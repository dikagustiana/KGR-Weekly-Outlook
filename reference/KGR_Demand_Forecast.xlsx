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mbid-my.sharepoint.com/personal/dika_irawan_samb_co_id/Documents/KGR/"/>
    </mc:Choice>
  </mc:AlternateContent>
  <xr:revisionPtr revIDLastSave="6" documentId="8_{8918C070-D441-4BAE-B8DC-BF367CEF7998}" xr6:coauthVersionLast="47" xr6:coauthVersionMax="47" xr10:uidLastSave="{E4EEDA71-DF1E-4B79-AA9B-579C670F81E1}"/>
  <bookViews>
    <workbookView xWindow="12710" yWindow="0" windowWidth="12980" windowHeight="16090" tabRatio="500" firstSheet="11" activeTab="14" xr2:uid="{00000000-000D-0000-FFFF-FFFF00000000}"/>
  </bookViews>
  <sheets>
    <sheet name="Model_Details" sheetId="1" r:id="rId1"/>
    <sheet name="I_Products" sheetId="2" r:id="rId2"/>
    <sheet name="I_Live_Bird" sheetId="3" r:id="rId3"/>
    <sheet name="I_Yield" sheetId="4" r:id="rId4"/>
    <sheet name="I_Sales_History" sheetId="5" r:id="rId5"/>
    <sheet name="I_Market_Intelligence" sheetId="6" r:id="rId6"/>
    <sheet name="I_MEV" sheetId="7" r:id="rId7"/>
    <sheet name="O_Demand_Rate" sheetId="8" r:id="rId8"/>
    <sheet name="O_Scenario_Multipliers" sheetId="9" r:id="rId9"/>
    <sheet name="O_Monte_Carlo" sheetId="10" r:id="rId10"/>
    <sheet name="O_Granger_Test" sheetId="11" r:id="rId11"/>
    <sheet name="O_Demand_Forecast" sheetId="12" r:id="rId12"/>
    <sheet name="O_Optimizer" sheetId="13" r:id="rId13"/>
    <sheet name="B_Purchase_Plan" sheetId="14" r:id="rId14"/>
    <sheet name="B_Alokasi_Stok" sheetId="15" r:id="rId15"/>
    <sheet name="O_Accuracy_Tracker" sheetId="16" r:id="rId16"/>
    <sheet name="Z_Model_Governance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16" l="1"/>
  <c r="H13" i="16"/>
  <c r="G13" i="16"/>
  <c r="I12" i="16"/>
  <c r="H12" i="16"/>
  <c r="G12" i="16"/>
  <c r="I11" i="16"/>
  <c r="H11" i="16"/>
  <c r="G11" i="16"/>
  <c r="I10" i="16"/>
  <c r="H10" i="16"/>
  <c r="G10" i="16"/>
  <c r="I9" i="16"/>
  <c r="H9" i="16"/>
  <c r="G9" i="16"/>
  <c r="I8" i="16"/>
  <c r="H8" i="16"/>
  <c r="G8" i="16"/>
  <c r="I7" i="16"/>
  <c r="H7" i="16"/>
  <c r="G7" i="16"/>
  <c r="I6" i="16"/>
  <c r="H6" i="16"/>
  <c r="G6" i="16"/>
  <c r="I5" i="16"/>
  <c r="H5" i="16"/>
  <c r="G5" i="16"/>
  <c r="I4" i="16"/>
  <c r="H4" i="16"/>
  <c r="B16" i="16" s="1"/>
  <c r="G4" i="16"/>
  <c r="B15" i="16" s="1"/>
  <c r="F85" i="15"/>
  <c r="E85" i="15"/>
  <c r="F84" i="15"/>
  <c r="E84" i="15"/>
  <c r="F83" i="15"/>
  <c r="E83" i="15"/>
  <c r="F82" i="15"/>
  <c r="E82" i="15"/>
  <c r="F81" i="15"/>
  <c r="E81" i="15"/>
  <c r="F80" i="15"/>
  <c r="E80" i="15"/>
  <c r="F79" i="15"/>
  <c r="E79" i="15"/>
  <c r="F78" i="15"/>
  <c r="E78" i="15"/>
  <c r="F77" i="15"/>
  <c r="E77" i="15"/>
  <c r="F76" i="15"/>
  <c r="E76" i="15"/>
  <c r="F75" i="15"/>
  <c r="E75" i="15"/>
  <c r="F74" i="15"/>
  <c r="E74" i="15"/>
  <c r="F73" i="15"/>
  <c r="E73" i="15"/>
  <c r="F72" i="15"/>
  <c r="E72" i="15"/>
  <c r="F71" i="15"/>
  <c r="E71" i="15"/>
  <c r="E70" i="15"/>
  <c r="F69" i="15"/>
  <c r="E69" i="15"/>
  <c r="F68" i="15"/>
  <c r="E68" i="15"/>
  <c r="F67" i="15"/>
  <c r="E67" i="15"/>
  <c r="F66" i="15"/>
  <c r="E66" i="15"/>
  <c r="D60" i="15"/>
  <c r="D59" i="15"/>
  <c r="C59" i="15"/>
  <c r="E58" i="15"/>
  <c r="D58" i="15"/>
  <c r="C58" i="15"/>
  <c r="B58" i="15"/>
  <c r="D57" i="15"/>
  <c r="D56" i="15"/>
  <c r="D55" i="15"/>
  <c r="B55" i="15"/>
  <c r="E55" i="15" s="1"/>
  <c r="D54" i="15"/>
  <c r="D53" i="15"/>
  <c r="D61" i="15" s="1"/>
  <c r="E49" i="15"/>
  <c r="G48" i="15"/>
  <c r="C48" i="15"/>
  <c r="A48" i="15"/>
  <c r="G47" i="15"/>
  <c r="C47" i="15"/>
  <c r="A47" i="15"/>
  <c r="G46" i="15"/>
  <c r="C46" i="15"/>
  <c r="A46" i="15"/>
  <c r="G45" i="15"/>
  <c r="C45" i="15"/>
  <c r="A45" i="15"/>
  <c r="G44" i="15"/>
  <c r="C44" i="15"/>
  <c r="A44" i="15"/>
  <c r="G43" i="15"/>
  <c r="C43" i="15"/>
  <c r="A43" i="15"/>
  <c r="G42" i="15"/>
  <c r="C42" i="15"/>
  <c r="A42" i="15"/>
  <c r="G41" i="15"/>
  <c r="C41" i="15"/>
  <c r="A41" i="15"/>
  <c r="G40" i="15"/>
  <c r="C40" i="15"/>
  <c r="A40" i="15"/>
  <c r="G39" i="15"/>
  <c r="C39" i="15"/>
  <c r="A39" i="15"/>
  <c r="G38" i="15"/>
  <c r="C38" i="15"/>
  <c r="A38" i="15"/>
  <c r="G37" i="15"/>
  <c r="C37" i="15"/>
  <c r="A37" i="15"/>
  <c r="G36" i="15"/>
  <c r="C36" i="15"/>
  <c r="A36" i="15"/>
  <c r="G35" i="15"/>
  <c r="C35" i="15"/>
  <c r="A35" i="15"/>
  <c r="G34" i="15"/>
  <c r="C34" i="15"/>
  <c r="A34" i="15"/>
  <c r="G33" i="15"/>
  <c r="C33" i="15"/>
  <c r="A33" i="15"/>
  <c r="G32" i="15"/>
  <c r="C32" i="15"/>
  <c r="A32" i="15"/>
  <c r="G31" i="15"/>
  <c r="C31" i="15"/>
  <c r="A31" i="15"/>
  <c r="G30" i="15"/>
  <c r="C30" i="15"/>
  <c r="A30" i="15"/>
  <c r="G29" i="15"/>
  <c r="C29" i="15"/>
  <c r="A29" i="15"/>
  <c r="G28" i="15"/>
  <c r="C28" i="15"/>
  <c r="A28" i="15"/>
  <c r="G27" i="15"/>
  <c r="C27" i="15"/>
  <c r="A27" i="15"/>
  <c r="G26" i="15"/>
  <c r="C26" i="15"/>
  <c r="A26" i="15"/>
  <c r="G25" i="15"/>
  <c r="C25" i="15"/>
  <c r="A25" i="15"/>
  <c r="G24" i="15"/>
  <c r="C24" i="15"/>
  <c r="A24" i="15"/>
  <c r="G23" i="15"/>
  <c r="C23" i="15"/>
  <c r="A23" i="15"/>
  <c r="G22" i="15"/>
  <c r="C22" i="15"/>
  <c r="A22" i="15"/>
  <c r="G21" i="15"/>
  <c r="C21" i="15"/>
  <c r="A21" i="15"/>
  <c r="G20" i="15"/>
  <c r="C20" i="15"/>
  <c r="A20" i="15"/>
  <c r="G19" i="15"/>
  <c r="G49" i="15" s="1"/>
  <c r="C19" i="15"/>
  <c r="A19" i="15"/>
  <c r="D14" i="15"/>
  <c r="C13" i="15"/>
  <c r="C60" i="15" s="1"/>
  <c r="B13" i="15"/>
  <c r="B60" i="15" s="1"/>
  <c r="E60" i="15" s="1"/>
  <c r="C12" i="15"/>
  <c r="B12" i="15"/>
  <c r="B59" i="15" s="1"/>
  <c r="E59" i="15" s="1"/>
  <c r="C11" i="15"/>
  <c r="B11" i="15"/>
  <c r="C10" i="15"/>
  <c r="C57" i="15" s="1"/>
  <c r="B10" i="15"/>
  <c r="B57" i="15" s="1"/>
  <c r="E57" i="15" s="1"/>
  <c r="C9" i="15"/>
  <c r="C56" i="15" s="1"/>
  <c r="B9" i="15"/>
  <c r="B56" i="15" s="1"/>
  <c r="E56" i="15" s="1"/>
  <c r="C8" i="15"/>
  <c r="C55" i="15" s="1"/>
  <c r="B8" i="15"/>
  <c r="C7" i="15"/>
  <c r="C54" i="15" s="1"/>
  <c r="B7" i="15"/>
  <c r="B54" i="15" s="1"/>
  <c r="E54" i="15" s="1"/>
  <c r="C6" i="15"/>
  <c r="C53" i="15" s="1"/>
  <c r="B6" i="15"/>
  <c r="B53" i="15" s="1"/>
  <c r="E53" i="15" s="1"/>
  <c r="B43" i="13"/>
  <c r="I31" i="13"/>
  <c r="I30" i="13"/>
  <c r="I29" i="13"/>
  <c r="I28" i="13"/>
  <c r="I27" i="13"/>
  <c r="I26" i="13"/>
  <c r="I25" i="13"/>
  <c r="I24" i="13"/>
  <c r="B19" i="13"/>
  <c r="J5" i="12"/>
  <c r="I5" i="12"/>
  <c r="H5" i="12"/>
  <c r="G5" i="12"/>
  <c r="F5" i="12"/>
  <c r="E5" i="12"/>
  <c r="D5" i="12"/>
  <c r="J4" i="12"/>
  <c r="J29" i="12" s="1"/>
  <c r="I4" i="12"/>
  <c r="I28" i="12" s="1"/>
  <c r="H4" i="12"/>
  <c r="G4" i="12"/>
  <c r="G29" i="12" s="1"/>
  <c r="F4" i="12"/>
  <c r="F28" i="12" s="1"/>
  <c r="E4" i="12"/>
  <c r="E30" i="12" s="1"/>
  <c r="D4" i="12"/>
  <c r="D26" i="12" s="1"/>
  <c r="E10" i="10"/>
  <c r="F10" i="10" s="1"/>
  <c r="C10" i="10"/>
  <c r="G10" i="10" s="1"/>
  <c r="C9" i="10"/>
  <c r="E9" i="10" s="1"/>
  <c r="E7" i="10"/>
  <c r="F7" i="10" s="1"/>
  <c r="C7" i="10"/>
  <c r="G7" i="10" s="1"/>
  <c r="C6" i="10"/>
  <c r="E6" i="10" s="1"/>
  <c r="F23" i="9"/>
  <c r="H30" i="12" s="1"/>
  <c r="D23" i="9"/>
  <c r="C23" i="9"/>
  <c r="F22" i="9"/>
  <c r="H27" i="12" s="1"/>
  <c r="C22" i="9"/>
  <c r="D22" i="9" s="1"/>
  <c r="C21" i="9"/>
  <c r="F21" i="9" s="1"/>
  <c r="H24" i="12" s="1"/>
  <c r="F20" i="9"/>
  <c r="D20" i="9"/>
  <c r="C20" i="9"/>
  <c r="F19" i="9"/>
  <c r="H18" i="12" s="1"/>
  <c r="D19" i="9"/>
  <c r="C19" i="9"/>
  <c r="F18" i="9"/>
  <c r="H15" i="12" s="1"/>
  <c r="C18" i="9"/>
  <c r="D18" i="9" s="1"/>
  <c r="C17" i="9"/>
  <c r="F17" i="9" s="1"/>
  <c r="H12" i="12" s="1"/>
  <c r="F16" i="9"/>
  <c r="D16" i="9"/>
  <c r="C16" i="9"/>
  <c r="B12" i="9"/>
  <c r="B10" i="9"/>
  <c r="E11" i="8"/>
  <c r="D11" i="8"/>
  <c r="C11" i="8"/>
  <c r="I30" i="12" s="1"/>
  <c r="E10" i="8"/>
  <c r="D10" i="8"/>
  <c r="C10" i="8"/>
  <c r="I27" i="12" s="1"/>
  <c r="E9" i="8"/>
  <c r="D9" i="8"/>
  <c r="C9" i="8"/>
  <c r="E8" i="8"/>
  <c r="D8" i="8"/>
  <c r="C8" i="8"/>
  <c r="I21" i="12" s="1"/>
  <c r="E7" i="8"/>
  <c r="D7" i="8"/>
  <c r="C7" i="8"/>
  <c r="I18" i="12" s="1"/>
  <c r="E6" i="8"/>
  <c r="D6" i="8"/>
  <c r="C6" i="8"/>
  <c r="I15" i="12" s="1"/>
  <c r="E5" i="8"/>
  <c r="D5" i="8"/>
  <c r="C5" i="8"/>
  <c r="I12" i="12" s="1"/>
  <c r="E4" i="8"/>
  <c r="D4" i="8"/>
  <c r="C4" i="8"/>
  <c r="I9" i="12" s="1"/>
  <c r="B7" i="3"/>
  <c r="B5" i="3"/>
  <c r="D15" i="4"/>
  <c r="D14" i="4"/>
  <c r="E14" i="4" s="1"/>
  <c r="E13" i="4"/>
  <c r="B31" i="13" s="1"/>
  <c r="E12" i="4"/>
  <c r="C12" i="13" s="1"/>
  <c r="E11" i="4"/>
  <c r="B29" i="13" s="1"/>
  <c r="E10" i="4"/>
  <c r="C10" i="13" s="1"/>
  <c r="E9" i="4"/>
  <c r="C9" i="13" s="1"/>
  <c r="E8" i="4"/>
  <c r="C8" i="13" s="1"/>
  <c r="E7" i="4"/>
  <c r="C7" i="13" s="1"/>
  <c r="E6" i="4"/>
  <c r="E15" i="4" s="1"/>
  <c r="B3" i="4"/>
  <c r="F70" i="15" l="1"/>
  <c r="E86" i="15"/>
  <c r="F86" i="15"/>
  <c r="F58" i="15"/>
  <c r="H58" i="15" s="1"/>
  <c r="F59" i="15"/>
  <c r="E61" i="15"/>
  <c r="G53" i="15"/>
  <c r="H59" i="15"/>
  <c r="G59" i="15"/>
  <c r="F60" i="15"/>
  <c r="H60" i="15"/>
  <c r="G60" i="15"/>
  <c r="G55" i="15"/>
  <c r="F55" i="15"/>
  <c r="H55" i="15" s="1"/>
  <c r="I24" i="12"/>
  <c r="G54" i="15"/>
  <c r="F54" i="15"/>
  <c r="H54" i="15" s="1"/>
  <c r="F57" i="15"/>
  <c r="H57" i="15" s="1"/>
  <c r="G6" i="10"/>
  <c r="F6" i="10"/>
  <c r="G56" i="15"/>
  <c r="F56" i="15"/>
  <c r="H56" i="15" s="1"/>
  <c r="G57" i="15"/>
  <c r="G9" i="10"/>
  <c r="F9" i="10"/>
  <c r="F8" i="12"/>
  <c r="J9" i="12"/>
  <c r="F11" i="12"/>
  <c r="J12" i="12"/>
  <c r="F14" i="12"/>
  <c r="J15" i="12"/>
  <c r="F17" i="12"/>
  <c r="J18" i="12"/>
  <c r="F20" i="12"/>
  <c r="J21" i="12"/>
  <c r="F23" i="12"/>
  <c r="J24" i="12"/>
  <c r="F26" i="12"/>
  <c r="J27" i="12"/>
  <c r="F29" i="12"/>
  <c r="J30" i="12"/>
  <c r="G8" i="12"/>
  <c r="G11" i="12"/>
  <c r="G14" i="12"/>
  <c r="G17" i="12"/>
  <c r="G20" i="12"/>
  <c r="G23" i="12"/>
  <c r="G26" i="12"/>
  <c r="C11" i="13"/>
  <c r="F20" i="14"/>
  <c r="F23" i="14"/>
  <c r="D7" i="12"/>
  <c r="H8" i="12"/>
  <c r="H11" i="12"/>
  <c r="D13" i="12"/>
  <c r="H14" i="12"/>
  <c r="D16" i="12"/>
  <c r="H17" i="12"/>
  <c r="D19" i="12"/>
  <c r="H20" i="12"/>
  <c r="H23" i="12"/>
  <c r="D25" i="12"/>
  <c r="H26" i="12"/>
  <c r="D28" i="12"/>
  <c r="H29" i="12"/>
  <c r="C6" i="13"/>
  <c r="E7" i="12"/>
  <c r="I8" i="12"/>
  <c r="I11" i="12"/>
  <c r="E13" i="12"/>
  <c r="I14" i="12"/>
  <c r="E16" i="12"/>
  <c r="I17" i="12"/>
  <c r="E19" i="12"/>
  <c r="I20" i="12"/>
  <c r="I23" i="12"/>
  <c r="E25" i="12"/>
  <c r="I26" i="12"/>
  <c r="E28" i="12"/>
  <c r="I29" i="12"/>
  <c r="C13" i="13"/>
  <c r="B24" i="13"/>
  <c r="B25" i="13"/>
  <c r="B26" i="13"/>
  <c r="B27" i="13"/>
  <c r="B28" i="13"/>
  <c r="B30" i="13"/>
  <c r="F53" i="15"/>
  <c r="G58" i="15"/>
  <c r="C4" i="10"/>
  <c r="F7" i="12"/>
  <c r="J8" i="12"/>
  <c r="J11" i="12"/>
  <c r="F13" i="12"/>
  <c r="J14" i="12"/>
  <c r="F16" i="12"/>
  <c r="J17" i="12"/>
  <c r="F19" i="12"/>
  <c r="J20" i="12"/>
  <c r="J23" i="12"/>
  <c r="F25" i="12"/>
  <c r="J26" i="12"/>
  <c r="G7" i="12"/>
  <c r="G13" i="12"/>
  <c r="G16" i="12"/>
  <c r="G19" i="12"/>
  <c r="G25" i="12"/>
  <c r="G28" i="12"/>
  <c r="F18" i="14"/>
  <c r="F21" i="14"/>
  <c r="F24" i="14"/>
  <c r="H7" i="12"/>
  <c r="D9" i="12"/>
  <c r="D12" i="12"/>
  <c r="H13" i="12"/>
  <c r="D15" i="12"/>
  <c r="H16" i="12"/>
  <c r="D18" i="12"/>
  <c r="K18" i="12" s="1"/>
  <c r="F9" i="13" s="1"/>
  <c r="I9" i="13" s="1"/>
  <c r="H19" i="12"/>
  <c r="D21" i="12"/>
  <c r="D24" i="12"/>
  <c r="H25" i="12"/>
  <c r="D27" i="12"/>
  <c r="H28" i="12"/>
  <c r="D30" i="12"/>
  <c r="I7" i="12"/>
  <c r="E9" i="12"/>
  <c r="E12" i="12"/>
  <c r="I13" i="12"/>
  <c r="E15" i="12"/>
  <c r="I16" i="12"/>
  <c r="E18" i="12"/>
  <c r="I19" i="12"/>
  <c r="E21" i="12"/>
  <c r="E24" i="12"/>
  <c r="I25" i="12"/>
  <c r="E27" i="12"/>
  <c r="D17" i="9"/>
  <c r="E10" i="12" s="1"/>
  <c r="D21" i="9"/>
  <c r="H22" i="12" s="1"/>
  <c r="C5" i="10"/>
  <c r="C8" i="10"/>
  <c r="C11" i="10"/>
  <c r="J7" i="12"/>
  <c r="F9" i="12"/>
  <c r="F12" i="12"/>
  <c r="J13" i="12"/>
  <c r="F15" i="12"/>
  <c r="J16" i="12"/>
  <c r="F18" i="12"/>
  <c r="J19" i="12"/>
  <c r="F21" i="12"/>
  <c r="F24" i="12"/>
  <c r="J25" i="12"/>
  <c r="F27" i="12"/>
  <c r="J28" i="12"/>
  <c r="F30" i="12"/>
  <c r="G9" i="12"/>
  <c r="G12" i="12"/>
  <c r="G15" i="12"/>
  <c r="G18" i="12"/>
  <c r="G21" i="12"/>
  <c r="G24" i="12"/>
  <c r="G27" i="12"/>
  <c r="G30" i="12"/>
  <c r="F19" i="14"/>
  <c r="F22" i="14"/>
  <c r="F25" i="14"/>
  <c r="H9" i="12"/>
  <c r="D29" i="12"/>
  <c r="D8" i="12"/>
  <c r="D11" i="12"/>
  <c r="K11" i="12" s="1"/>
  <c r="E7" i="13" s="1"/>
  <c r="D14" i="12"/>
  <c r="K14" i="12" s="1"/>
  <c r="E8" i="13" s="1"/>
  <c r="D17" i="12"/>
  <c r="K17" i="12" s="1"/>
  <c r="E9" i="13" s="1"/>
  <c r="D20" i="12"/>
  <c r="K20" i="12" s="1"/>
  <c r="E10" i="13" s="1"/>
  <c r="H21" i="12"/>
  <c r="D23" i="12"/>
  <c r="E8" i="12"/>
  <c r="E11" i="12"/>
  <c r="E14" i="12"/>
  <c r="E17" i="12"/>
  <c r="E20" i="12"/>
  <c r="E23" i="12"/>
  <c r="E26" i="12"/>
  <c r="K26" i="12" s="1"/>
  <c r="E12" i="13" s="1"/>
  <c r="E29" i="12"/>
  <c r="F61" i="15" l="1"/>
  <c r="D30" i="13"/>
  <c r="H12" i="13"/>
  <c r="H10" i="13"/>
  <c r="D28" i="13"/>
  <c r="J22" i="12"/>
  <c r="E8" i="10"/>
  <c r="F8" i="10" s="1"/>
  <c r="K21" i="12"/>
  <c r="F10" i="13" s="1"/>
  <c r="I10" i="13" s="1"/>
  <c r="F22" i="12"/>
  <c r="K28" i="12"/>
  <c r="D13" i="13" s="1"/>
  <c r="G13" i="13" s="1"/>
  <c r="D10" i="12"/>
  <c r="K10" i="12" s="1"/>
  <c r="D7" i="13" s="1"/>
  <c r="G7" i="13" s="1"/>
  <c r="E5" i="10"/>
  <c r="G5" i="10" s="1"/>
  <c r="E22" i="12"/>
  <c r="K15" i="12"/>
  <c r="F8" i="13" s="1"/>
  <c r="I8" i="13" s="1"/>
  <c r="D22" i="12"/>
  <c r="D27" i="13"/>
  <c r="H9" i="13"/>
  <c r="K8" i="12"/>
  <c r="E6" i="13" s="1"/>
  <c r="K30" i="12"/>
  <c r="F13" i="13" s="1"/>
  <c r="I13" i="13" s="1"/>
  <c r="K12" i="12"/>
  <c r="F7" i="13" s="1"/>
  <c r="I7" i="13" s="1"/>
  <c r="K19" i="12"/>
  <c r="D10" i="13" s="1"/>
  <c r="G10" i="13" s="1"/>
  <c r="H8" i="13"/>
  <c r="D26" i="13"/>
  <c r="G10" i="12"/>
  <c r="K7" i="12"/>
  <c r="D6" i="13" s="1"/>
  <c r="G6" i="13" s="1"/>
  <c r="G22" i="12"/>
  <c r="H10" i="12"/>
  <c r="J10" i="12"/>
  <c r="K27" i="12"/>
  <c r="F12" i="13" s="1"/>
  <c r="I12" i="13" s="1"/>
  <c r="K9" i="12"/>
  <c r="F6" i="13" s="1"/>
  <c r="I6" i="13" s="1"/>
  <c r="F10" i="12"/>
  <c r="K16" i="12"/>
  <c r="D9" i="13" s="1"/>
  <c r="G9" i="13" s="1"/>
  <c r="H53" i="15"/>
  <c r="I10" i="12"/>
  <c r="K29" i="12"/>
  <c r="E13" i="13" s="1"/>
  <c r="K24" i="12"/>
  <c r="F11" i="13" s="1"/>
  <c r="I11" i="13" s="1"/>
  <c r="K13" i="12"/>
  <c r="D8" i="13" s="1"/>
  <c r="G8" i="13" s="1"/>
  <c r="K25" i="12"/>
  <c r="D12" i="13" s="1"/>
  <c r="G12" i="13" s="1"/>
  <c r="D25" i="13"/>
  <c r="H7" i="13"/>
  <c r="I22" i="12"/>
  <c r="K23" i="12"/>
  <c r="E11" i="13" s="1"/>
  <c r="F11" i="10"/>
  <c r="E11" i="10"/>
  <c r="G11" i="10" s="1"/>
  <c r="E4" i="10"/>
  <c r="G4" i="10" s="1"/>
  <c r="H6" i="13" l="1"/>
  <c r="D24" i="13"/>
  <c r="G8" i="10"/>
  <c r="K22" i="12"/>
  <c r="D11" i="13" s="1"/>
  <c r="G11" i="13" s="1"/>
  <c r="F4" i="10"/>
  <c r="H13" i="13"/>
  <c r="D31" i="13"/>
  <c r="F5" i="10"/>
  <c r="H11" i="13"/>
  <c r="D29" i="13"/>
  <c r="B17" i="13" l="1"/>
  <c r="B16" i="13"/>
  <c r="B7" i="14" s="1"/>
  <c r="B20" i="13"/>
  <c r="B18" i="13"/>
  <c r="B34" i="13" l="1"/>
  <c r="B6" i="14"/>
  <c r="B5" i="14"/>
  <c r="C31" i="13"/>
  <c r="C30" i="13"/>
  <c r="C29" i="13"/>
  <c r="C28" i="13"/>
  <c r="C27" i="13"/>
  <c r="C26" i="13"/>
  <c r="C25" i="13"/>
  <c r="C24" i="13"/>
  <c r="F26" i="13" l="1"/>
  <c r="E26" i="13"/>
  <c r="L26" i="13"/>
  <c r="M26" i="13"/>
  <c r="G26" i="13"/>
  <c r="E20" i="14" s="1"/>
  <c r="F27" i="13"/>
  <c r="E27" i="13"/>
  <c r="L27" i="13"/>
  <c r="M27" i="13"/>
  <c r="G27" i="13"/>
  <c r="E21" i="14" s="1"/>
  <c r="F28" i="13"/>
  <c r="E28" i="13"/>
  <c r="L28" i="13"/>
  <c r="M28" i="13"/>
  <c r="G28" i="13"/>
  <c r="E22" i="14" s="1"/>
  <c r="F29" i="13"/>
  <c r="E29" i="13"/>
  <c r="L29" i="13"/>
  <c r="M29" i="13"/>
  <c r="G29" i="13"/>
  <c r="E23" i="14" s="1"/>
  <c r="F30" i="13"/>
  <c r="E30" i="13"/>
  <c r="L30" i="13"/>
  <c r="M30" i="13"/>
  <c r="G30" i="13"/>
  <c r="E24" i="14" s="1"/>
  <c r="F25" i="13"/>
  <c r="E25" i="13"/>
  <c r="L25" i="13"/>
  <c r="M25" i="13"/>
  <c r="G25" i="13"/>
  <c r="E19" i="14" s="1"/>
  <c r="F31" i="13"/>
  <c r="E31" i="13"/>
  <c r="L31" i="13"/>
  <c r="M31" i="13"/>
  <c r="G31" i="13"/>
  <c r="E25" i="14" s="1"/>
  <c r="F24" i="13"/>
  <c r="E24" i="13"/>
  <c r="M24" i="13"/>
  <c r="L24" i="13"/>
  <c r="G24" i="13"/>
  <c r="F32" i="13" l="1"/>
  <c r="D18" i="14"/>
  <c r="J24" i="13"/>
  <c r="B42" i="13"/>
  <c r="B44" i="13" s="1"/>
  <c r="B8" i="14" s="1"/>
  <c r="H28" i="13"/>
  <c r="C22" i="14" s="1"/>
  <c r="K28" i="13"/>
  <c r="H24" i="13"/>
  <c r="C18" i="14" s="1"/>
  <c r="E32" i="13"/>
  <c r="K24" i="13"/>
  <c r="K32" i="13" s="1"/>
  <c r="D22" i="14"/>
  <c r="J28" i="13"/>
  <c r="D24" i="14"/>
  <c r="J30" i="13"/>
  <c r="H31" i="13"/>
  <c r="C25" i="14" s="1"/>
  <c r="K31" i="13"/>
  <c r="D25" i="14"/>
  <c r="J31" i="13"/>
  <c r="H27" i="13"/>
  <c r="C21" i="14" s="1"/>
  <c r="K27" i="13"/>
  <c r="G32" i="13"/>
  <c r="E18" i="14"/>
  <c r="D23" i="14"/>
  <c r="J29" i="13"/>
  <c r="H30" i="13"/>
  <c r="C24" i="14" s="1"/>
  <c r="K30" i="13"/>
  <c r="D21" i="14"/>
  <c r="J27" i="13"/>
  <c r="H29" i="13"/>
  <c r="C23" i="14" s="1"/>
  <c r="K29" i="13"/>
  <c r="L32" i="13"/>
  <c r="B35" i="13" s="1"/>
  <c r="H25" i="13"/>
  <c r="C19" i="14" s="1"/>
  <c r="K25" i="13"/>
  <c r="M32" i="13"/>
  <c r="B37" i="13" s="1"/>
  <c r="B13" i="14" s="1"/>
  <c r="D19" i="14"/>
  <c r="J25" i="13"/>
  <c r="H26" i="13"/>
  <c r="C20" i="14" s="1"/>
  <c r="K26" i="13"/>
  <c r="D20" i="14"/>
  <c r="J26" i="13"/>
  <c r="B11" i="14" l="1"/>
  <c r="J32" i="13"/>
  <c r="B36" i="13"/>
  <c r="B12" i="14" s="1"/>
  <c r="B40" i="13" l="1"/>
  <c r="B14" i="14" s="1"/>
</calcChain>
</file>

<file path=xl/sharedStrings.xml><?xml version="1.0" encoding="utf-8"?>
<sst xmlns="http://schemas.openxmlformats.org/spreadsheetml/2006/main" count="1245" uniqueCount="363">
  <si>
    <t>KGR GROUP — Demand Forecast &amp; Inventory Optimizer (Working Paper)</t>
  </si>
  <si>
    <t>Joint-Production Optimizer</t>
  </si>
  <si>
    <t>MODEL INFORMATION</t>
  </si>
  <si>
    <t>Entity</t>
  </si>
  <si>
    <t>KGR (perusahaan trading &amp; potong ayam)</t>
  </si>
  <si>
    <t>Model purpose</t>
  </si>
  <si>
    <t>Demand forecast per potongan + keputusan beli ayam hidup (joint production)</t>
  </si>
  <si>
    <t>Methodology</t>
  </si>
  <si>
    <t>Overlay stack + scenario (Bear/Base/Bull) + multi-product newsvendor (joint supply)</t>
  </si>
  <si>
    <t>Basis</t>
  </si>
  <si>
    <t>Unit fisik - kg per potongan &amp; ekor ayam</t>
  </si>
  <si>
    <t>Forecast horizon</t>
  </si>
  <si>
    <t>7 hari ke depan (harian), window beli mingguan</t>
  </si>
  <si>
    <t>Historical data</t>
  </si>
  <si>
    <t>Penjualan harian per SKU (dummy 3 minggu pada skeleton)</t>
  </si>
  <si>
    <t>Scenarios</t>
  </si>
  <si>
    <t>Bear / Base / Bull</t>
  </si>
  <si>
    <t>SHEET MAP</t>
  </si>
  <si>
    <t>Sheet</t>
  </si>
  <si>
    <t>Purpose</t>
  </si>
  <si>
    <t>Type</t>
  </si>
  <si>
    <t>Status</t>
  </si>
  <si>
    <t>I_Products</t>
  </si>
  <si>
    <t>Master potongan/SKU: harga, shelf life, tier</t>
  </si>
  <si>
    <t>Input</t>
  </si>
  <si>
    <t>Edit</t>
  </si>
  <si>
    <t>I_Yield</t>
  </si>
  <si>
    <t>Yield matrix: 1 ekor → kg tiap potongan (KOPLING)</t>
  </si>
  <si>
    <t>Paste aktual RPA</t>
  </si>
  <si>
    <t>I_Live_Bird</t>
  </si>
  <si>
    <t>Biaya ayam hidup + constraint + model controls</t>
  </si>
  <si>
    <t>I_Sales_History</t>
  </si>
  <si>
    <t>Penjualan harian per SKU (kg) + flag stockout</t>
  </si>
  <si>
    <t>Paste data riil</t>
  </si>
  <si>
    <t>I_Market_Intelligence</t>
  </si>
  <si>
    <t>Seasonality DOW + override Lebaran/hari libur</t>
  </si>
  <si>
    <t>Isi judgment</t>
  </si>
  <si>
    <t>I_MEV</t>
  </si>
  <si>
    <t>Driver makro ayam (pakan, DOC, harga hidup)</t>
  </si>
  <si>
    <t>TBC — overlay OFF</t>
  </si>
  <si>
    <t>O_Demand_Rate</t>
  </si>
  <si>
    <t>Demand rate historis per SKU (censored)</t>
  </si>
  <si>
    <t>Calc</t>
  </si>
  <si>
    <t>Auto</t>
  </si>
  <si>
    <t>O_Scenario_Multipliers</t>
  </si>
  <si>
    <t>Multiplier skenario per SKU via tier</t>
  </si>
  <si>
    <t>O_Monte_Carlo</t>
  </si>
  <si>
    <t>Band probabilistik P10/P50/P90 per SKU</t>
  </si>
  <si>
    <t>O_Granger_Test</t>
  </si>
  <si>
    <t>Validasi MEV (placeholder)</t>
  </si>
  <si>
    <t>TBC</t>
  </si>
  <si>
    <t>O_Demand_Forecast</t>
  </si>
  <si>
    <t>LAYER 1 — forecast kg per SKU × skenario</t>
  </si>
  <si>
    <t>Output</t>
  </si>
  <si>
    <t>O_Optimizer</t>
  </si>
  <si>
    <t>LAYER 2 — beli berapa ekor (joint production)</t>
  </si>
  <si>
    <t>Auto + 1 decision</t>
  </si>
  <si>
    <t>B_Purchase_Plan</t>
  </si>
  <si>
    <t>Ringkasan: ekor/hari, profit, fill rate</t>
  </si>
  <si>
    <t>Summary</t>
  </si>
  <si>
    <t>O_Accuracy_Tracker</t>
  </si>
  <si>
    <t>Log forecast vs aktual (backtest)</t>
  </si>
  <si>
    <t>Tracker</t>
  </si>
  <si>
    <t>Isi tiap tutup</t>
  </si>
  <si>
    <t>Z_Model_Governance</t>
  </si>
  <si>
    <t>Versi, sign-off, disclosure</t>
  </si>
  <si>
    <t>Reference</t>
  </si>
  <si>
    <t>Active</t>
  </si>
  <si>
    <t>COLOR LEGEND</t>
  </si>
  <si>
    <t>Sample</t>
  </si>
  <si>
    <t>Teks biru = input aktual (hardcode) — edit</t>
  </si>
  <si>
    <t>Kuning = asumsi/judgment yang harus diisi</t>
  </si>
  <si>
    <t>Teks hitam = output formula — jangan edit</t>
  </si>
  <si>
    <t>Oranye = flag / perlu review</t>
  </si>
  <si>
    <t>Biru muda + tebal = baris total</t>
  </si>
  <si>
    <t>OPEN ITEMS</t>
  </si>
  <si>
    <t>Item</t>
  </si>
  <si>
    <t>Owner</t>
  </si>
  <si>
    <t>Notes</t>
  </si>
  <si>
    <t>Yield aktual per kelas bobot</t>
  </si>
  <si>
    <t>RPA / Ops</t>
  </si>
  <si>
    <t>Pending</t>
  </si>
  <si>
    <t>Skeleton pakai 1 kelas bobot + yield placeholder</t>
  </si>
  <si>
    <t>Data penjualan harian riil per SKU</t>
  </si>
  <si>
    <t>Sales</t>
  </si>
  <si>
    <t>Skeleton pakai dummy 3 minggu</t>
  </si>
  <si>
    <t>Harga jual aktual per potongan</t>
  </si>
  <si>
    <t>Finance</t>
  </si>
  <si>
    <t>I_Products kolom harga</t>
  </si>
  <si>
    <t>Seasonality DOW + uplift Lebaran</t>
  </si>
  <si>
    <t>Head of Sales</t>
  </si>
  <si>
    <t>I_Market_Intelligence — paling fondasional</t>
  </si>
  <si>
    <t>Validasi MEV (Granger ≥60 obs)</t>
  </si>
  <si>
    <t>Pakai indeks harga ayam/pakan seri panjang</t>
  </si>
  <si>
    <t>Optimizer stokastik harian + perishability</t>
  </si>
  <si>
    <t>Analytics</t>
  </si>
  <si>
    <t>Excel = aproksimasi mingguan; versi rigor di Python</t>
  </si>
  <si>
    <t>Jalur potong alternatif (jual karkas utuh)</t>
  </si>
  <si>
    <t>Ops</t>
  </si>
  <si>
    <t>Skeleton asumsikan semua dideboning</t>
  </si>
  <si>
    <t>I_Products — Master Potongan / SKU</t>
  </si>
  <si>
    <t>Input aktual KGR. Harga &amp; shelf life = placeholder; ganti dengan angka riil.</t>
  </si>
  <si>
    <t>SKU Code</t>
  </si>
  <si>
    <t>SKU Name</t>
  </si>
  <si>
    <t>Cut Type</t>
  </si>
  <si>
    <t>Fresh Shelf (hari)</t>
  </si>
  <si>
    <t>Frozen-Capable</t>
  </si>
  <si>
    <t>Frozen Shelf (hari)</t>
  </si>
  <si>
    <t>Sell Price (IDR/kg)</t>
  </si>
  <si>
    <t>Frozen Price Factor</t>
  </si>
  <si>
    <t>Tier</t>
  </si>
  <si>
    <t>BLD</t>
  </si>
  <si>
    <t>Boneless Dada (fillet)</t>
  </si>
  <si>
    <t>Boneless</t>
  </si>
  <si>
    <t>Y</t>
  </si>
  <si>
    <t>Neutral</t>
  </si>
  <si>
    <t>Binding cut — demand tertinggi</t>
  </si>
  <si>
    <t>BLP</t>
  </si>
  <si>
    <t>Boneless Paha (fillet)</t>
  </si>
  <si>
    <t>SYP</t>
  </si>
  <si>
    <t>Sayap</t>
  </si>
  <si>
    <t>Bone-in</t>
  </si>
  <si>
    <t>CKR</t>
  </si>
  <si>
    <t>Ceker</t>
  </si>
  <si>
    <t>Byproduct</t>
  </si>
  <si>
    <t>Cyclical</t>
  </si>
  <si>
    <t>Demand ekspor-sensitif</t>
  </si>
  <si>
    <t>KPL</t>
  </si>
  <si>
    <t>Kepala</t>
  </si>
  <si>
    <t>KLT</t>
  </si>
  <si>
    <t>Kulit</t>
  </si>
  <si>
    <t>JRN</t>
  </si>
  <si>
    <t>Jeroan (ati ampela)</t>
  </si>
  <si>
    <t>TLG</t>
  </si>
  <si>
    <t>Tulang / carcass frame</t>
  </si>
  <si>
    <t>Defensive</t>
  </si>
  <si>
    <t>Stok / pakan</t>
  </si>
  <si>
    <t>I_Live_Bird — Biaya Ayam Hidup, Constraint &amp; Model Controls</t>
  </si>
  <si>
    <t>Kuning = isi/ubah. Putih hitam = otomatis.</t>
  </si>
  <si>
    <t>Avg bobot ayam hidup (kg/ekor)</t>
  </si>
  <si>
    <t>Harga beli ayam hidup (IDR/kg)</t>
  </si>
  <si>
    <t>Harga beli per ekor (IDR/ekor)</t>
  </si>
  <si>
    <t>Otomatis: bobot × harga/kg</t>
  </si>
  <si>
    <t>Biaya potong RPA (IDR/ekor)</t>
  </si>
  <si>
    <t>Total biaya per ekor (IDR/ekor)</t>
  </si>
  <si>
    <t>Kapasitas freezer (kg)</t>
  </si>
  <si>
    <t>Biaya handling beku (IDR/kg)</t>
  </si>
  <si>
    <t>Nilai salvage unsold non-beku (IDR/kg)</t>
  </si>
  <si>
    <t>Kapasitas potong harian (ekor/hari)</t>
  </si>
  <si>
    <t>MODEL CONTROLS</t>
  </si>
  <si>
    <t>Planning window (hari)</t>
  </si>
  <si>
    <t>Trend mode (Flat / Clamped)</t>
  </si>
  <si>
    <t>Flat</t>
  </si>
  <si>
    <t>Flat = aman untuk data pendek</t>
  </si>
  <si>
    <t>Trend clamp (+/-)</t>
  </si>
  <si>
    <t>Batas trend bila mode=Clamped</t>
  </si>
  <si>
    <t>MEV overlay (Off / On)</t>
  </si>
  <si>
    <t>Off</t>
  </si>
  <si>
    <t>Off sampai Granger-validated</t>
  </si>
  <si>
    <t>I_Yield — Yield Matrix</t>
  </si>
  <si>
    <t>Ganti % dengan rendemen aktual RPA. kg/ekor = % × bobot hidup. Total % harus = 100%.</t>
  </si>
  <si>
    <t>Bobot hidup acuan (kg/ekor)</t>
  </si>
  <si>
    <t>Part Code</t>
  </si>
  <si>
    <t>Part Name</t>
  </si>
  <si>
    <t>Sellable</t>
  </si>
  <si>
    <t>Yield % Live Wt</t>
  </si>
  <si>
    <t>kg per Ekor</t>
  </si>
  <si>
    <t>SUSUT</t>
  </si>
  <si>
    <t>Susut (darah, bulu, drip, loss proses)</t>
  </si>
  <si>
    <t>N</t>
  </si>
  <si>
    <t>Penyeimbang ke 100%</t>
  </si>
  <si>
    <t>TOTAL</t>
  </si>
  <si>
    <t>Cek: % = 100%, kg = bobot hidup</t>
  </si>
  <si>
    <t>I_Sales_History — Penjualan Harian per SKU (kg)</t>
  </si>
  <si>
    <t>Data aktual (dummy pada skeleton). Flag "Stockout" = hari kehabisan stok → DIKECUALIKAN dari demand rate (censored).</t>
  </si>
  <si>
    <t>Tanggal</t>
  </si>
  <si>
    <t>Qty Sold (kg)</t>
  </si>
  <si>
    <t>Stockout Flag</t>
  </si>
  <si>
    <t>Normal</t>
  </si>
  <si>
    <t>Stockout</t>
  </si>
  <si>
    <t>Habis stok siang</t>
  </si>
  <si>
    <t>I_Market_Intelligence — Judgment Interface (seasonality &amp; event)</t>
  </si>
  <si>
    <t>Sheet yang diisi Head of Sales. Semua angka kuning = override pengetahuan pasar.</t>
  </si>
  <si>
    <t>SECTION 1 — SEASONALITY HARI (berlaku semua potongan)</t>
  </si>
  <si>
    <t>Index: 1.00 = rata-rata. 1.15 = 15% di atas, 0.85 = 15% di bawah.</t>
  </si>
  <si>
    <t>Hari</t>
  </si>
  <si>
    <t>Seasonality Index</t>
  </si>
  <si>
    <t>Monday</t>
  </si>
  <si>
    <t>Tuesday</t>
  </si>
  <si>
    <t>Wednesday</t>
  </si>
  <si>
    <t>Thursday</t>
  </si>
  <si>
    <t>Friday</t>
  </si>
  <si>
    <t>Saturday</t>
  </si>
  <si>
    <t>Sunday</t>
  </si>
  <si>
    <t>SECTION 2 — OVERRIDE HARI LIBUR / RAMADAN / LEBARAN</t>
  </si>
  <si>
    <t>Lebaran ikut kalender Hijriah (geser ~11 hari/thn) → harus disuntik manual, model tak bisa pelajari dari data pendek.</t>
  </si>
  <si>
    <t>Uplift Factor</t>
  </si>
  <si>
    <t>Catatan</t>
  </si>
  <si>
    <t>Contoh: H-2 Lebaran (di luar window skeleton)</t>
  </si>
  <si>
    <t>I_MEV — Driver Makro (overlay OFF sampai Granger-validated)</t>
  </si>
  <si>
    <t>Variabel relevan untuk ayam. Proyeksi = TBC.</t>
  </si>
  <si>
    <t>Variabel</t>
  </si>
  <si>
    <t>Unit</t>
  </si>
  <si>
    <t>Nilai Terbaru</t>
  </si>
  <si>
    <t>Sumber</t>
  </si>
  <si>
    <t>Proj Bear</t>
  </si>
  <si>
    <t>Proj Base</t>
  </si>
  <si>
    <t>Proj Bull</t>
  </si>
  <si>
    <t>Harga jagung (pakan)</t>
  </si>
  <si>
    <t>IDR/kg</t>
  </si>
  <si>
    <t>BPS / BI / pasar</t>
  </si>
  <si>
    <t>Harga DOC</t>
  </si>
  <si>
    <t>IDR/ekor</t>
  </si>
  <si>
    <t>Harga ayam hidup</t>
  </si>
  <si>
    <t>CPI Pangan</t>
  </si>
  <si>
    <t>index</t>
  </si>
  <si>
    <t>BI Rate</t>
  </si>
  <si>
    <t>%</t>
  </si>
  <si>
    <t>O_Demand_Rate — Demand Rate Historis per SKU (censored)</t>
  </si>
  <si>
    <t>Avg harian DIHITUNG HANYA dari hari "Normal" → koreksi censored demand (stockout tak menyeret rata-rata turun).</t>
  </si>
  <si>
    <t>Avg Daily Demand (kg, hari Normal)</t>
  </si>
  <si>
    <t>Hari Tercatat</t>
  </si>
  <si>
    <t>Hari Stockout</t>
  </si>
  <si>
    <t>Manual WoW Trend %</t>
  </si>
  <si>
    <t>Stockout dikecualikan</t>
  </si>
  <si>
    <t>O_Scenario_Multipliers — Multiplier Skenario per SKU</t>
  </si>
  <si>
    <t>SECTION 1 — ELASTISITAS TIER (spread skenario)</t>
  </si>
  <si>
    <t>Bear Factor</t>
  </si>
  <si>
    <t>Bull Factor</t>
  </si>
  <si>
    <t>Makna</t>
  </si>
  <si>
    <t>Inelastis (tulang/stok)</t>
  </si>
  <si>
    <t>Default</t>
  </si>
  <si>
    <t>Diskresioner (byproduct/ekspor)</t>
  </si>
  <si>
    <t>SECTION 1b — MULTIPLIER MEV GABUNGAN (Off = 1.000)</t>
  </si>
  <si>
    <t>Bear MEV</t>
  </si>
  <si>
    <t>Base MEV</t>
  </si>
  <si>
    <t>Bull MEV</t>
  </si>
  <si>
    <t>SECTION 2 — MULTIPLIER PER SKU</t>
  </si>
  <si>
    <t>Bear</t>
  </si>
  <si>
    <t>Base</t>
  </si>
  <si>
    <t>Bull</t>
  </si>
  <si>
    <t>O_Monte_Carlo — Band Probabilistik per SKU</t>
  </si>
  <si>
    <t>P10/P50/P90 deterministik via NORMINV (stabil, tak volatile). Untuk simulasi penuh jalankan di Python (scipy).</t>
  </si>
  <si>
    <t>Avg Daily (kg)</t>
  </si>
  <si>
    <t>CV %</t>
  </si>
  <si>
    <t>Std Dev</t>
  </si>
  <si>
    <t>P10 (kg)</t>
  </si>
  <si>
    <t>P90 (kg)</t>
  </si>
  <si>
    <t>O_Granger_Test — Validasi MEV (PLACEHOLDER)</t>
  </si>
  <si>
    <t>Butuh ≥60 observasi bulanan seri eksternal (mis. indeks harga ayam/pakan). Jalankan grangercausalitytests, paste F/p di sini.</t>
  </si>
  <si>
    <t>MEV Variable</t>
  </si>
  <si>
    <t>Lag (bln)</t>
  </si>
  <si>
    <t>F-Stat</t>
  </si>
  <si>
    <t>P-Value</t>
  </si>
  <si>
    <t>Significant?</t>
  </si>
  <si>
    <t>Arah Kausal</t>
  </si>
  <si>
    <t>Harga jagung</t>
  </si>
  <si>
    <t>O_Demand_Forecast — LAYER 1: Forecast kg per SKU × Skenario (7 hari)</t>
  </si>
  <si>
    <t>Cell = base rate × seasonality(hari) × multiplier skenario × MEV × trend.</t>
  </si>
  <si>
    <t>Seasonality (×)</t>
  </si>
  <si>
    <t>Scenario</t>
  </si>
  <si>
    <t>7-Hari Total (kg)</t>
  </si>
  <si>
    <t>O_Optimizer — LAYER 2: Keputusan Beli Ayam (Joint Production)</t>
  </si>
  <si>
    <t>Window 7 hari. Implied ekor per potongan = demand / (kg per ekor). Binding cut = ekor terbanyak.</t>
  </si>
  <si>
    <t>BAGIAN A — DEMAND 7-HARI &amp; IMPLIED EKOR</t>
  </si>
  <si>
    <t>kg/Ekor</t>
  </si>
  <si>
    <t>Demand Bear</t>
  </si>
  <si>
    <t>Demand Base</t>
  </si>
  <si>
    <t>Demand Bull</t>
  </si>
  <si>
    <t>Ekor Bear</t>
  </si>
  <si>
    <t>Ekor Base</t>
  </si>
  <si>
    <t>Ekor Bull</t>
  </si>
  <si>
    <t>BAGIAN B</t>
  </si>
  <si>
    <t>Binding cut (Base)</t>
  </si>
  <si>
    <t>Max implied ekor (Base) — penuhi semua demand</t>
  </si>
  <si>
    <t>Min implied ekor (Base)</t>
  </si>
  <si>
    <t>Kapasitas potong mingguan (ekor)</t>
  </si>
  <si>
    <t>EKOR DIBELI — DECISION (7 hari)</t>
  </si>
  <si>
    <t>default = penuhi binding cut; timpa dengan angkamu untuk trade-off surplus vs service</t>
  </si>
  <si>
    <t>BAGIAN C — EKONOMI @ DECISION N (Base) + kontribusi Bear/Bull</t>
  </si>
  <si>
    <t>SKU</t>
  </si>
  <si>
    <t>Supply (kg)</t>
  </si>
  <si>
    <t>Sold</t>
  </si>
  <si>
    <t>Surplus</t>
  </si>
  <si>
    <t>Shortfall</t>
  </si>
  <si>
    <t>Fill %</t>
  </si>
  <si>
    <t>Beku?</t>
  </si>
  <si>
    <t>Nilai Surplus (IDR)</t>
  </si>
  <si>
    <t>Revenue (IDR)</t>
  </si>
  <si>
    <t>Kontrib Bear</t>
  </si>
  <si>
    <t>Kontrib Bull</t>
  </si>
  <si>
    <t>Biaya ayam total (N × biaya/ekor)</t>
  </si>
  <si>
    <t>PROFIT — Bear (IDR)</t>
  </si>
  <si>
    <t>PROFIT — Base (IDR)</t>
  </si>
  <si>
    <t>PROFIT — Bull (IDR)</t>
  </si>
  <si>
    <t>Bobot skenario (Bear/Base/Bull)</t>
  </si>
  <si>
    <t>EXPECTED PROFIT (terbobot, IDR)</t>
  </si>
  <si>
    <t>Surplus untuk dibekukan (kg)</t>
  </si>
  <si>
    <t>Status freezer</t>
  </si>
  <si>
    <t>B_Purchase_Plan — Ringkasan Keputusan Beli</t>
  </si>
  <si>
    <t>Headline output yang dipakai operasional. Semua otomatis dari O_Optimizer.</t>
  </si>
  <si>
    <t>KEPUTUSAN UTAMA</t>
  </si>
  <si>
    <t>Ekor dibeli (7 hari)</t>
  </si>
  <si>
    <t>Ekor per hari</t>
  </si>
  <si>
    <t>Binding cut (penentu jumlah)</t>
  </si>
  <si>
    <t>PROFIT 7-HARI per SKENARIO</t>
  </si>
  <si>
    <t>Expected (terbobot)</t>
  </si>
  <si>
    <t>FILL RATE &amp; SURPLUS per POTONGAN (Base)</t>
  </si>
  <si>
    <t>Surplus (kg)</t>
  </si>
  <si>
    <t>Shortfall (kg)</t>
  </si>
  <si>
    <t>B_Alokasi_Stok — Pemetaan Stok On-hand ke Customer</t>
  </si>
  <si>
    <t>Diisi ops. Petakan stok ~100 ton per SKU ke customer/buyer tujuan. Rekonsiliasi otomatis: total alokasi harus = stok on-hand (tidak over, tidak ada sisa nyangkut).</t>
  </si>
  <si>
    <t>SECTION 1 — STOK ON-HAND per SKU  (isi kg aktual; teks biru/kuning = ganti dgn angka riil)</t>
  </si>
  <si>
    <t>Stok On-hand (kg)</t>
  </si>
  <si>
    <t>SECTION 2 — ALOKASI KE CUSTOMER  (tambah baris sesuai kebutuhan)</t>
  </si>
  <si>
    <t>Satu baris = satu alokasi. Stok 1 SKU boleh dipecah ke banyak customer (buat beberapa baris). Pilih SKU &amp; Customer dari dropdown. Kolom Harga/Nilai opsional.</t>
  </si>
  <si>
    <t>No</t>
  </si>
  <si>
    <t>Customer / Buyer</t>
  </si>
  <si>
    <t>Qty Alokasi (kg)</t>
  </si>
  <si>
    <t>Harga Deal (IDR/kg)</t>
  </si>
  <si>
    <t>Nilai (IDR)</t>
  </si>
  <si>
    <t>SECTION 3 — REKONSILIASI per SKU  (otomatis)</t>
  </si>
  <si>
    <t>Total Dialokasi (kg)</t>
  </si>
  <si>
    <t>Sisa Belum Dialokasi (kg)</t>
  </si>
  <si>
    <t>% Teralokasi</t>
  </si>
  <si>
    <t>SECTION 4 — DAFTAR CUSTOMER &amp; REKAP  (isi daftar = sumber dropdown; rekap otomatis)</t>
  </si>
  <si>
    <t>Isi daftar customer riil di kolom Customer (baris di bawah = contoh, ganti). Dropdown alokasi ambil dari sini. Total kg &amp; nilai per customer otomatis.</t>
  </si>
  <si>
    <t>Total Qty (kg)</t>
  </si>
  <si>
    <t>Total Nilai (IDR)</t>
  </si>
  <si>
    <t>Pasar Induk Cibitung</t>
  </si>
  <si>
    <t>Superindo Bekasi (MT)</t>
  </si>
  <si>
    <t>Katering Amanah</t>
  </si>
  <si>
    <t>Bakso Jaya (industri)</t>
  </si>
  <si>
    <t>CV Distribusi Nusantara</t>
  </si>
  <si>
    <t>O_Accuracy_Tracker — Log Forecast vs Aktual (backtest)</t>
  </si>
  <si>
    <t>Catat tiap periode tutup. MAPE/bias akumulasi → backtest mulai periode ke-2.</t>
  </si>
  <si>
    <t>Periode</t>
  </si>
  <si>
    <t>Forecast (kg)</t>
  </si>
  <si>
    <t>Aktual (kg)</t>
  </si>
  <si>
    <t>Abs % Error</t>
  </si>
  <si>
    <t>Signed % Error</t>
  </si>
  <si>
    <t>Arah Benar?</t>
  </si>
  <si>
    <t>MAPE (rata-rata Abs % Error)</t>
  </si>
  <si>
    <t>Bias (rata-rata Signed % Error)</t>
  </si>
  <si>
    <t>Z_Model_Governance — Versi &amp; Sign-off</t>
  </si>
  <si>
    <t>SECTION 1 — VERSION HISTORY</t>
  </si>
  <si>
    <t>Versi</t>
  </si>
  <si>
    <t>Author</t>
  </si>
  <si>
    <t>Ringkasan</t>
  </si>
  <si>
    <t>Reviewer</t>
  </si>
  <si>
    <t>v0.1</t>
  </si>
  <si>
    <t>Jun 2026</t>
  </si>
  <si>
    <t>Skeleton awal: arsitektur overlay (adaptasi SAMB) + Layer yield + optimizer joint-production + hardening</t>
  </si>
  <si>
    <t>SECTION 2 — SIGN-OFF</t>
  </si>
  <si>
    <t>Peran</t>
  </si>
  <si>
    <t>Nama</t>
  </si>
  <si>
    <t>Scope</t>
  </si>
  <si>
    <t>Model preparer</t>
  </si>
  <si>
    <t>Head of Sales (input)</t>
  </si>
  <si>
    <t>Ops / RPA (yield)</t>
  </si>
  <si>
    <t>Finance Controller</t>
  </si>
  <si>
    <t>CEO</t>
  </si>
  <si>
    <t>KFC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</si>
</sst>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7" formatCode="0.000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sz val="9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0" borderId="0" xfId="0" applyFont="1"/>
    <xf numFmtId="0" fontId="4" fillId="0" borderId="0" xfId="0" applyFont="1"/>
    <xf numFmtId="0" fontId="3" fillId="3" borderId="0" xfId="0" applyFont="1" applyFill="1"/>
    <xf numFmtId="0" fontId="1" fillId="2" borderId="0" xfId="0" applyFont="1" applyFill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5" fillId="0" borderId="0" xfId="0" applyFont="1"/>
    <xf numFmtId="0" fontId="4" fillId="4" borderId="0" xfId="0" applyFont="1" applyFill="1"/>
    <xf numFmtId="0" fontId="4" fillId="5" borderId="0" xfId="0" applyFont="1" applyFill="1"/>
    <xf numFmtId="0" fontId="2" fillId="6" borderId="0" xfId="0" applyFont="1" applyFill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3" fontId="5" fillId="4" borderId="0" xfId="0" applyNumberFormat="1" applyFont="1" applyFill="1"/>
    <xf numFmtId="2" fontId="5" fillId="4" borderId="0" xfId="0" applyNumberFormat="1" applyFont="1" applyFill="1"/>
    <xf numFmtId="164" fontId="5" fillId="4" borderId="0" xfId="0" applyNumberFormat="1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3" fontId="2" fillId="6" borderId="0" xfId="0" applyNumberFormat="1" applyFont="1" applyFill="1" applyAlignment="1">
      <alignment horizontal="right"/>
    </xf>
    <xf numFmtId="1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165" fontId="5" fillId="4" borderId="0" xfId="0" applyNumberFormat="1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5" fillId="4" borderId="0" xfId="0" applyNumberFormat="1" applyFont="1" applyFill="1"/>
    <xf numFmtId="166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2" fillId="6" borderId="1" xfId="0" applyNumberFormat="1" applyFont="1" applyFill="1" applyBorder="1" applyAlignment="1">
      <alignment horizontal="right"/>
    </xf>
    <xf numFmtId="166" fontId="2" fillId="6" borderId="1" xfId="0" applyNumberFormat="1" applyFont="1" applyFill="1" applyBorder="1" applyAlignment="1">
      <alignment horizontal="right"/>
    </xf>
    <xf numFmtId="0" fontId="6" fillId="6" borderId="0" xfId="0" applyFont="1" applyFill="1"/>
    <xf numFmtId="15" fontId="5" fillId="0" borderId="0" xfId="0" applyNumberFormat="1" applyFont="1"/>
    <xf numFmtId="166" fontId="5" fillId="0" borderId="0" xfId="0" applyNumberFormat="1" applyFont="1" applyAlignment="1">
      <alignment horizontal="right"/>
    </xf>
    <xf numFmtId="0" fontId="5" fillId="5" borderId="0" xfId="0" applyFont="1" applyFill="1" applyAlignment="1">
      <alignment horizontal="center"/>
    </xf>
    <xf numFmtId="2" fontId="5" fillId="4" borderId="0" xfId="0" applyNumberFormat="1" applyFont="1" applyFill="1" applyAlignment="1">
      <alignment horizontal="right"/>
    </xf>
    <xf numFmtId="15" fontId="5" fillId="4" borderId="0" xfId="0" applyNumberFormat="1" applyFont="1" applyFill="1"/>
    <xf numFmtId="0" fontId="5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/>
    <xf numFmtId="1" fontId="4" fillId="0" borderId="0" xfId="0" applyNumberFormat="1" applyFont="1" applyAlignment="1">
      <alignment horizontal="right"/>
    </xf>
    <xf numFmtId="1" fontId="4" fillId="5" borderId="0" xfId="0" applyNumberFormat="1" applyFont="1" applyFill="1" applyAlignment="1">
      <alignment horizontal="right"/>
    </xf>
    <xf numFmtId="167" fontId="4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2" fontId="4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2" borderId="0" xfId="0" applyFont="1" applyFill="1"/>
    <xf numFmtId="16" fontId="3" fillId="2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2" fillId="4" borderId="0" xfId="0" applyNumberFormat="1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0" fontId="2" fillId="6" borderId="1" xfId="0" applyFont="1" applyFill="1" applyBorder="1"/>
    <xf numFmtId="3" fontId="2" fillId="6" borderId="1" xfId="0" applyNumberFormat="1" applyFont="1" applyFill="1" applyBorder="1" applyAlignment="1">
      <alignment horizontal="right"/>
    </xf>
    <xf numFmtId="3" fontId="2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3" fontId="5" fillId="4" borderId="2" xfId="0" applyNumberFormat="1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left"/>
    </xf>
    <xf numFmtId="3" fontId="2" fillId="6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3" fontId="4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5" fontId="2" fillId="0" borderId="0" xfId="0" applyNumberFormat="1" applyFont="1"/>
    <xf numFmtId="0" fontId="4" fillId="4" borderId="0" xfId="0" applyFont="1" applyFill="1" applyAlignment="1">
      <alignment horizontal="center"/>
    </xf>
    <xf numFmtId="0" fontId="3" fillId="3" borderId="0" xfId="0" applyFont="1" applyFill="1"/>
    <xf numFmtId="0" fontId="8" fillId="0" borderId="0" xfId="0" applyFont="1"/>
    <xf numFmtId="0" fontId="1" fillId="2" borderId="0" xfId="0" applyFont="1" applyFill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1">
    <dxf>
      <font>
        <b/>
        <sz val="10"/>
        <color rgb="FF833C00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opLeftCell="A33" zoomScaleNormal="100" workbookViewId="0">
      <selection activeCell="B44" sqref="B44"/>
    </sheetView>
  </sheetViews>
  <sheetFormatPr defaultColWidth="8.54296875" defaultRowHeight="14.5" x14ac:dyDescent="0.35"/>
  <cols>
    <col min="1" max="1" width="34" customWidth="1"/>
    <col min="2" max="8" width="22" customWidth="1"/>
  </cols>
  <sheetData>
    <row r="1" spans="1:8" ht="16.5" customHeight="1" x14ac:dyDescent="0.35">
      <c r="A1" s="73" t="s">
        <v>0</v>
      </c>
      <c r="B1" s="73"/>
      <c r="C1" s="73"/>
      <c r="D1" s="73"/>
      <c r="E1" s="73"/>
      <c r="F1" s="73"/>
      <c r="G1" s="73"/>
      <c r="H1" s="73"/>
    </row>
    <row r="3" spans="1:8" x14ac:dyDescent="0.35">
      <c r="A3" s="5" t="s">
        <v>1</v>
      </c>
    </row>
    <row r="5" spans="1:8" x14ac:dyDescent="0.35">
      <c r="A5" s="71" t="s">
        <v>2</v>
      </c>
      <c r="B5" s="71"/>
      <c r="C5" s="71"/>
      <c r="D5" s="71"/>
      <c r="E5" s="71"/>
      <c r="F5" s="71"/>
      <c r="G5" s="71"/>
      <c r="H5" s="71"/>
    </row>
    <row r="6" spans="1:8" x14ac:dyDescent="0.35">
      <c r="A6" s="5" t="s">
        <v>3</v>
      </c>
      <c r="B6" s="74" t="s">
        <v>4</v>
      </c>
      <c r="C6" s="74"/>
      <c r="D6" s="74"/>
      <c r="E6" s="74"/>
      <c r="F6" s="74"/>
      <c r="G6" s="74"/>
      <c r="H6" s="74"/>
    </row>
    <row r="7" spans="1:8" x14ac:dyDescent="0.35">
      <c r="A7" s="5" t="s">
        <v>5</v>
      </c>
      <c r="B7" s="74" t="s">
        <v>6</v>
      </c>
      <c r="C7" s="74"/>
      <c r="D7" s="74"/>
      <c r="E7" s="74"/>
      <c r="F7" s="74"/>
      <c r="G7" s="74"/>
      <c r="H7" s="74"/>
    </row>
    <row r="8" spans="1:8" x14ac:dyDescent="0.35">
      <c r="A8" s="5" t="s">
        <v>7</v>
      </c>
      <c r="B8" s="74" t="s">
        <v>8</v>
      </c>
      <c r="C8" s="74"/>
      <c r="D8" s="74"/>
      <c r="E8" s="74"/>
      <c r="F8" s="74"/>
      <c r="G8" s="74"/>
      <c r="H8" s="74"/>
    </row>
    <row r="9" spans="1:8" x14ac:dyDescent="0.35">
      <c r="A9" s="5" t="s">
        <v>9</v>
      </c>
      <c r="B9" s="74" t="s">
        <v>10</v>
      </c>
      <c r="C9" s="74"/>
      <c r="D9" s="74"/>
      <c r="E9" s="74"/>
      <c r="F9" s="74"/>
      <c r="G9" s="74"/>
      <c r="H9" s="74"/>
    </row>
    <row r="10" spans="1:8" x14ac:dyDescent="0.35">
      <c r="A10" s="5" t="s">
        <v>11</v>
      </c>
      <c r="B10" s="74" t="s">
        <v>12</v>
      </c>
      <c r="C10" s="74"/>
      <c r="D10" s="74"/>
      <c r="E10" s="74"/>
      <c r="F10" s="74"/>
      <c r="G10" s="74"/>
      <c r="H10" s="74"/>
    </row>
    <row r="11" spans="1:8" x14ac:dyDescent="0.35">
      <c r="A11" s="5" t="s">
        <v>13</v>
      </c>
      <c r="B11" s="74" t="s">
        <v>14</v>
      </c>
      <c r="C11" s="74"/>
      <c r="D11" s="74"/>
      <c r="E11" s="74"/>
      <c r="F11" s="74"/>
      <c r="G11" s="74"/>
      <c r="H11" s="74"/>
    </row>
    <row r="12" spans="1:8" x14ac:dyDescent="0.35">
      <c r="A12" s="5" t="s">
        <v>15</v>
      </c>
      <c r="B12" s="74" t="s">
        <v>16</v>
      </c>
      <c r="C12" s="74"/>
      <c r="D12" s="74"/>
      <c r="E12" s="74"/>
      <c r="F12" s="74"/>
      <c r="G12" s="74"/>
      <c r="H12" s="74"/>
    </row>
    <row r="14" spans="1:8" x14ac:dyDescent="0.35">
      <c r="A14" s="71" t="s">
        <v>17</v>
      </c>
      <c r="B14" s="71"/>
      <c r="C14" s="71"/>
      <c r="D14" s="71"/>
      <c r="E14" s="71"/>
      <c r="F14" s="71"/>
      <c r="G14" s="71"/>
      <c r="H14" s="71"/>
    </row>
    <row r="15" spans="1:8" x14ac:dyDescent="0.35">
      <c r="A15" s="6" t="s">
        <v>18</v>
      </c>
      <c r="B15" s="6" t="s">
        <v>19</v>
      </c>
      <c r="C15" s="6" t="s">
        <v>20</v>
      </c>
      <c r="D15" s="6" t="s">
        <v>21</v>
      </c>
    </row>
    <row r="16" spans="1:8" x14ac:dyDescent="0.35">
      <c r="A16" s="5" t="s">
        <v>22</v>
      </c>
      <c r="B16" s="2" t="s">
        <v>23</v>
      </c>
      <c r="C16" s="2"/>
      <c r="D16" s="2"/>
      <c r="E16" s="2"/>
      <c r="F16" s="2"/>
      <c r="G16" s="2" t="s">
        <v>24</v>
      </c>
      <c r="H16" s="2" t="s">
        <v>25</v>
      </c>
    </row>
    <row r="17" spans="1:8" x14ac:dyDescent="0.35">
      <c r="A17" s="5" t="s">
        <v>26</v>
      </c>
      <c r="B17" s="2" t="s">
        <v>27</v>
      </c>
      <c r="C17" s="2"/>
      <c r="D17" s="2"/>
      <c r="E17" s="2"/>
      <c r="F17" s="2"/>
      <c r="G17" s="2" t="s">
        <v>24</v>
      </c>
      <c r="H17" s="2" t="s">
        <v>28</v>
      </c>
    </row>
    <row r="18" spans="1:8" x14ac:dyDescent="0.35">
      <c r="A18" s="5" t="s">
        <v>29</v>
      </c>
      <c r="B18" s="2" t="s">
        <v>30</v>
      </c>
      <c r="C18" s="2"/>
      <c r="D18" s="2"/>
      <c r="E18" s="2"/>
      <c r="F18" s="2"/>
      <c r="G18" s="2" t="s">
        <v>24</v>
      </c>
      <c r="H18" s="2" t="s">
        <v>25</v>
      </c>
    </row>
    <row r="19" spans="1:8" x14ac:dyDescent="0.35">
      <c r="A19" s="5" t="s">
        <v>31</v>
      </c>
      <c r="B19" s="2" t="s">
        <v>32</v>
      </c>
      <c r="C19" s="2"/>
      <c r="D19" s="2"/>
      <c r="E19" s="2"/>
      <c r="F19" s="2"/>
      <c r="G19" s="2" t="s">
        <v>24</v>
      </c>
      <c r="H19" s="2" t="s">
        <v>33</v>
      </c>
    </row>
    <row r="20" spans="1:8" x14ac:dyDescent="0.35">
      <c r="A20" s="5" t="s">
        <v>34</v>
      </c>
      <c r="B20" s="2" t="s">
        <v>35</v>
      </c>
      <c r="C20" s="2"/>
      <c r="D20" s="2"/>
      <c r="E20" s="2"/>
      <c r="F20" s="2"/>
      <c r="G20" s="2" t="s">
        <v>24</v>
      </c>
      <c r="H20" s="2" t="s">
        <v>36</v>
      </c>
    </row>
    <row r="21" spans="1:8" x14ac:dyDescent="0.35">
      <c r="A21" s="5" t="s">
        <v>37</v>
      </c>
      <c r="B21" s="2" t="s">
        <v>38</v>
      </c>
      <c r="C21" s="2"/>
      <c r="D21" s="2"/>
      <c r="E21" s="2"/>
      <c r="F21" s="2"/>
      <c r="G21" s="2" t="s">
        <v>24</v>
      </c>
      <c r="H21" s="2" t="s">
        <v>39</v>
      </c>
    </row>
    <row r="22" spans="1:8" x14ac:dyDescent="0.35">
      <c r="A22" s="5" t="s">
        <v>40</v>
      </c>
      <c r="B22" s="2" t="s">
        <v>41</v>
      </c>
      <c r="C22" s="2"/>
      <c r="D22" s="2"/>
      <c r="E22" s="2"/>
      <c r="F22" s="2"/>
      <c r="G22" s="2" t="s">
        <v>42</v>
      </c>
      <c r="H22" s="2" t="s">
        <v>43</v>
      </c>
    </row>
    <row r="23" spans="1:8" x14ac:dyDescent="0.35">
      <c r="A23" s="5" t="s">
        <v>44</v>
      </c>
      <c r="B23" s="2" t="s">
        <v>45</v>
      </c>
      <c r="C23" s="2"/>
      <c r="D23" s="2"/>
      <c r="E23" s="2"/>
      <c r="F23" s="2"/>
      <c r="G23" s="2" t="s">
        <v>42</v>
      </c>
      <c r="H23" s="2" t="s">
        <v>43</v>
      </c>
    </row>
    <row r="24" spans="1:8" x14ac:dyDescent="0.35">
      <c r="A24" s="5" t="s">
        <v>46</v>
      </c>
      <c r="B24" s="2" t="s">
        <v>47</v>
      </c>
      <c r="C24" s="2"/>
      <c r="D24" s="2"/>
      <c r="E24" s="2"/>
      <c r="F24" s="2"/>
      <c r="G24" s="2" t="s">
        <v>42</v>
      </c>
      <c r="H24" s="2" t="s">
        <v>43</v>
      </c>
    </row>
    <row r="25" spans="1:8" x14ac:dyDescent="0.35">
      <c r="A25" s="5" t="s">
        <v>48</v>
      </c>
      <c r="B25" s="2" t="s">
        <v>49</v>
      </c>
      <c r="C25" s="2"/>
      <c r="D25" s="2"/>
      <c r="E25" s="2"/>
      <c r="F25" s="2"/>
      <c r="G25" s="2" t="s">
        <v>42</v>
      </c>
      <c r="H25" s="2" t="s">
        <v>50</v>
      </c>
    </row>
    <row r="26" spans="1:8" x14ac:dyDescent="0.35">
      <c r="A26" s="5" t="s">
        <v>51</v>
      </c>
      <c r="B26" s="2" t="s">
        <v>52</v>
      </c>
      <c r="C26" s="2"/>
      <c r="D26" s="2"/>
      <c r="E26" s="2"/>
      <c r="F26" s="2"/>
      <c r="G26" s="2" t="s">
        <v>53</v>
      </c>
      <c r="H26" s="2" t="s">
        <v>43</v>
      </c>
    </row>
    <row r="27" spans="1:8" x14ac:dyDescent="0.35">
      <c r="A27" s="5" t="s">
        <v>54</v>
      </c>
      <c r="B27" s="2" t="s">
        <v>55</v>
      </c>
      <c r="C27" s="2"/>
      <c r="D27" s="2"/>
      <c r="E27" s="2"/>
      <c r="F27" s="2"/>
      <c r="G27" s="2" t="s">
        <v>53</v>
      </c>
      <c r="H27" s="2" t="s">
        <v>56</v>
      </c>
    </row>
    <row r="28" spans="1:8" x14ac:dyDescent="0.35">
      <c r="A28" s="5" t="s">
        <v>57</v>
      </c>
      <c r="B28" s="2" t="s">
        <v>58</v>
      </c>
      <c r="C28" s="2"/>
      <c r="D28" s="2"/>
      <c r="E28" s="2"/>
      <c r="F28" s="2"/>
      <c r="G28" s="2" t="s">
        <v>59</v>
      </c>
      <c r="H28" s="2" t="s">
        <v>43</v>
      </c>
    </row>
    <row r="29" spans="1:8" x14ac:dyDescent="0.35">
      <c r="A29" s="5" t="s">
        <v>60</v>
      </c>
      <c r="B29" s="2" t="s">
        <v>61</v>
      </c>
      <c r="C29" s="2"/>
      <c r="D29" s="2"/>
      <c r="E29" s="2"/>
      <c r="F29" s="2"/>
      <c r="G29" s="2" t="s">
        <v>62</v>
      </c>
      <c r="H29" s="2" t="s">
        <v>63</v>
      </c>
    </row>
    <row r="30" spans="1:8" x14ac:dyDescent="0.35">
      <c r="A30" s="5" t="s">
        <v>64</v>
      </c>
      <c r="B30" s="2" t="s">
        <v>65</v>
      </c>
      <c r="C30" s="2"/>
      <c r="D30" s="2"/>
      <c r="E30" s="2"/>
      <c r="F30" s="2"/>
      <c r="G30" s="2" t="s">
        <v>66</v>
      </c>
      <c r="H30" s="2" t="s">
        <v>67</v>
      </c>
    </row>
    <row r="32" spans="1:8" x14ac:dyDescent="0.35">
      <c r="A32" s="71" t="s">
        <v>68</v>
      </c>
      <c r="B32" s="71"/>
      <c r="C32" s="71"/>
      <c r="D32" s="71"/>
      <c r="E32" s="71"/>
      <c r="F32" s="71"/>
      <c r="G32" s="71"/>
      <c r="H32" s="71"/>
    </row>
    <row r="33" spans="1:8" x14ac:dyDescent="0.35">
      <c r="A33" s="7" t="s">
        <v>69</v>
      </c>
      <c r="B33" s="74" t="s">
        <v>70</v>
      </c>
      <c r="C33" s="74"/>
      <c r="D33" s="74"/>
      <c r="E33" s="74"/>
      <c r="F33" s="74"/>
      <c r="G33" s="74"/>
      <c r="H33" s="74"/>
    </row>
    <row r="34" spans="1:8" x14ac:dyDescent="0.35">
      <c r="A34" s="8" t="s">
        <v>69</v>
      </c>
      <c r="B34" s="74" t="s">
        <v>71</v>
      </c>
      <c r="C34" s="74"/>
      <c r="D34" s="74"/>
      <c r="E34" s="74"/>
      <c r="F34" s="74"/>
      <c r="G34" s="74"/>
      <c r="H34" s="74"/>
    </row>
    <row r="35" spans="1:8" x14ac:dyDescent="0.35">
      <c r="A35" s="2" t="s">
        <v>69</v>
      </c>
      <c r="B35" s="74" t="s">
        <v>72</v>
      </c>
      <c r="C35" s="74"/>
      <c r="D35" s="74"/>
      <c r="E35" s="74"/>
      <c r="F35" s="74"/>
      <c r="G35" s="74"/>
      <c r="H35" s="74"/>
    </row>
    <row r="36" spans="1:8" x14ac:dyDescent="0.35">
      <c r="A36" s="9" t="s">
        <v>69</v>
      </c>
      <c r="B36" s="74" t="s">
        <v>73</v>
      </c>
      <c r="C36" s="74"/>
      <c r="D36" s="74"/>
      <c r="E36" s="74"/>
      <c r="F36" s="74"/>
      <c r="G36" s="74"/>
      <c r="H36" s="74"/>
    </row>
    <row r="37" spans="1:8" x14ac:dyDescent="0.35">
      <c r="A37" s="10" t="s">
        <v>69</v>
      </c>
      <c r="B37" s="74" t="s">
        <v>74</v>
      </c>
      <c r="C37" s="74"/>
      <c r="D37" s="74"/>
      <c r="E37" s="74"/>
      <c r="F37" s="74"/>
      <c r="G37" s="74"/>
      <c r="H37" s="74"/>
    </row>
    <row r="39" spans="1:8" x14ac:dyDescent="0.35">
      <c r="A39" s="71" t="s">
        <v>75</v>
      </c>
      <c r="B39" s="71"/>
      <c r="C39" s="71"/>
      <c r="D39" s="71"/>
      <c r="E39" s="71"/>
      <c r="F39" s="71"/>
      <c r="G39" s="71"/>
      <c r="H39" s="71"/>
    </row>
    <row r="40" spans="1:8" x14ac:dyDescent="0.35">
      <c r="A40" s="6" t="s">
        <v>76</v>
      </c>
      <c r="B40" s="6" t="s">
        <v>77</v>
      </c>
      <c r="C40" s="6" t="s">
        <v>21</v>
      </c>
      <c r="D40" s="6" t="s">
        <v>78</v>
      </c>
    </row>
    <row r="41" spans="1:8" x14ac:dyDescent="0.35">
      <c r="A41" s="2" t="s">
        <v>79</v>
      </c>
      <c r="B41" s="2" t="s">
        <v>80</v>
      </c>
      <c r="C41" s="2" t="s">
        <v>81</v>
      </c>
      <c r="D41" s="74" t="s">
        <v>82</v>
      </c>
      <c r="E41" s="74"/>
      <c r="F41" s="74"/>
      <c r="G41" s="74"/>
      <c r="H41" s="74"/>
    </row>
    <row r="42" spans="1:8" x14ac:dyDescent="0.35">
      <c r="A42" s="2" t="s">
        <v>83</v>
      </c>
      <c r="B42" s="2" t="s">
        <v>84</v>
      </c>
      <c r="C42" s="2" t="s">
        <v>81</v>
      </c>
      <c r="D42" s="74" t="s">
        <v>85</v>
      </c>
      <c r="E42" s="74"/>
      <c r="F42" s="74"/>
      <c r="G42" s="74"/>
      <c r="H42" s="74"/>
    </row>
    <row r="43" spans="1:8" x14ac:dyDescent="0.35">
      <c r="A43" s="2" t="s">
        <v>86</v>
      </c>
      <c r="B43" s="2" t="s">
        <v>87</v>
      </c>
      <c r="C43" s="2" t="s">
        <v>81</v>
      </c>
      <c r="D43" s="74" t="s">
        <v>88</v>
      </c>
      <c r="E43" s="74"/>
      <c r="F43" s="74"/>
      <c r="G43" s="74"/>
      <c r="H43" s="74"/>
    </row>
    <row r="44" spans="1:8" x14ac:dyDescent="0.35">
      <c r="A44" s="2" t="s">
        <v>89</v>
      </c>
      <c r="B44" s="2" t="s">
        <v>90</v>
      </c>
      <c r="C44" s="2" t="s">
        <v>81</v>
      </c>
      <c r="D44" s="74" t="s">
        <v>91</v>
      </c>
      <c r="E44" s="74"/>
      <c r="F44" s="74"/>
      <c r="G44" s="74"/>
      <c r="H44" s="74"/>
    </row>
    <row r="45" spans="1:8" x14ac:dyDescent="0.35">
      <c r="A45" s="2" t="s">
        <v>92</v>
      </c>
      <c r="B45" s="2" t="s">
        <v>87</v>
      </c>
      <c r="C45" s="2" t="s">
        <v>81</v>
      </c>
      <c r="D45" s="74" t="s">
        <v>93</v>
      </c>
      <c r="E45" s="74"/>
      <c r="F45" s="74"/>
      <c r="G45" s="74"/>
      <c r="H45" s="74"/>
    </row>
    <row r="46" spans="1:8" x14ac:dyDescent="0.35">
      <c r="A46" s="2" t="s">
        <v>94</v>
      </c>
      <c r="B46" s="2" t="s">
        <v>95</v>
      </c>
      <c r="C46" s="2" t="s">
        <v>81</v>
      </c>
      <c r="D46" s="74" t="s">
        <v>96</v>
      </c>
      <c r="E46" s="74"/>
      <c r="F46" s="74"/>
      <c r="G46" s="74"/>
      <c r="H46" s="74"/>
    </row>
    <row r="47" spans="1:8" x14ac:dyDescent="0.35">
      <c r="A47" s="2" t="s">
        <v>97</v>
      </c>
      <c r="B47" s="2" t="s">
        <v>98</v>
      </c>
      <c r="C47" s="2" t="s">
        <v>81</v>
      </c>
      <c r="D47" s="74" t="s">
        <v>99</v>
      </c>
      <c r="E47" s="74"/>
      <c r="F47" s="74"/>
      <c r="G47" s="74"/>
      <c r="H47" s="74"/>
    </row>
  </sheetData>
  <mergeCells count="24">
    <mergeCell ref="D44:H44"/>
    <mergeCell ref="D45:H45"/>
    <mergeCell ref="D46:H46"/>
    <mergeCell ref="D47:H47"/>
    <mergeCell ref="B37:H37"/>
    <mergeCell ref="A39:H39"/>
    <mergeCell ref="D41:H41"/>
    <mergeCell ref="D42:H42"/>
    <mergeCell ref="D43:H43"/>
    <mergeCell ref="A32:H32"/>
    <mergeCell ref="B33:H33"/>
    <mergeCell ref="B34:H34"/>
    <mergeCell ref="B35:H35"/>
    <mergeCell ref="B36:H36"/>
    <mergeCell ref="B9:H9"/>
    <mergeCell ref="B10:H10"/>
    <mergeCell ref="B11:H11"/>
    <mergeCell ref="B12:H12"/>
    <mergeCell ref="A14:H14"/>
    <mergeCell ref="A1:H1"/>
    <mergeCell ref="A5:H5"/>
    <mergeCell ref="B6:H6"/>
    <mergeCell ref="B7:H7"/>
    <mergeCell ref="B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Normal="100" workbookViewId="0">
      <selection activeCell="F6" sqref="F6"/>
    </sheetView>
  </sheetViews>
  <sheetFormatPr defaultColWidth="8.54296875" defaultRowHeight="14.5" x14ac:dyDescent="0.35"/>
  <cols>
    <col min="1" max="1" width="10" customWidth="1"/>
    <col min="2" max="2" width="26" customWidth="1"/>
    <col min="3" max="6" width="12" customWidth="1"/>
    <col min="7" max="7" width="16" customWidth="1"/>
    <col min="8" max="8" width="14" customWidth="1"/>
    <col min="9" max="9" width="11" customWidth="1"/>
    <col min="10" max="10" width="26" customWidth="1"/>
  </cols>
  <sheetData>
    <row r="1" spans="1:10" ht="16.5" customHeight="1" x14ac:dyDescent="0.35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1" t="s">
        <v>101</v>
      </c>
    </row>
    <row r="3" spans="1:10" ht="25.5" customHeight="1" x14ac:dyDescent="0.35">
      <c r="A3" s="6" t="s">
        <v>102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  <c r="G3" s="6" t="s">
        <v>108</v>
      </c>
      <c r="H3" s="6" t="s">
        <v>109</v>
      </c>
      <c r="I3" s="6" t="s">
        <v>110</v>
      </c>
      <c r="J3" s="6" t="s">
        <v>78</v>
      </c>
    </row>
    <row r="4" spans="1:10" x14ac:dyDescent="0.35">
      <c r="A4" s="7" t="s">
        <v>111</v>
      </c>
      <c r="B4" s="2" t="s">
        <v>112</v>
      </c>
      <c r="C4" s="2" t="s">
        <v>113</v>
      </c>
      <c r="D4" s="11">
        <v>2</v>
      </c>
      <c r="E4" s="12" t="s">
        <v>114</v>
      </c>
      <c r="F4" s="11">
        <v>90</v>
      </c>
      <c r="G4" s="13">
        <v>55000</v>
      </c>
      <c r="H4" s="14">
        <v>0.9</v>
      </c>
      <c r="I4" s="12" t="s">
        <v>115</v>
      </c>
      <c r="J4" s="1" t="s">
        <v>116</v>
      </c>
    </row>
    <row r="5" spans="1:10" x14ac:dyDescent="0.35">
      <c r="A5" s="7" t="s">
        <v>117</v>
      </c>
      <c r="B5" s="2" t="s">
        <v>118</v>
      </c>
      <c r="C5" s="2" t="s">
        <v>113</v>
      </c>
      <c r="D5" s="11">
        <v>2</v>
      </c>
      <c r="E5" s="12" t="s">
        <v>114</v>
      </c>
      <c r="F5" s="11">
        <v>90</v>
      </c>
      <c r="G5" s="13">
        <v>48000</v>
      </c>
      <c r="H5" s="14">
        <v>0.9</v>
      </c>
      <c r="I5" s="12" t="s">
        <v>115</v>
      </c>
      <c r="J5" s="1"/>
    </row>
    <row r="6" spans="1:10" x14ac:dyDescent="0.35">
      <c r="A6" s="7" t="s">
        <v>119</v>
      </c>
      <c r="B6" s="2" t="s">
        <v>120</v>
      </c>
      <c r="C6" s="2" t="s">
        <v>121</v>
      </c>
      <c r="D6" s="11">
        <v>2</v>
      </c>
      <c r="E6" s="12" t="s">
        <v>114</v>
      </c>
      <c r="F6" s="11">
        <v>90</v>
      </c>
      <c r="G6" s="13">
        <v>38000</v>
      </c>
      <c r="H6" s="14">
        <v>0.92</v>
      </c>
      <c r="I6" s="12" t="s">
        <v>115</v>
      </c>
      <c r="J6" s="1"/>
    </row>
    <row r="7" spans="1:10" x14ac:dyDescent="0.35">
      <c r="A7" s="7" t="s">
        <v>122</v>
      </c>
      <c r="B7" s="2" t="s">
        <v>123</v>
      </c>
      <c r="C7" s="2" t="s">
        <v>124</v>
      </c>
      <c r="D7" s="11">
        <v>2</v>
      </c>
      <c r="E7" s="12" t="s">
        <v>114</v>
      </c>
      <c r="F7" s="11">
        <v>120</v>
      </c>
      <c r="G7" s="13">
        <v>28000</v>
      </c>
      <c r="H7" s="14">
        <v>0.95</v>
      </c>
      <c r="I7" s="12" t="s">
        <v>125</v>
      </c>
      <c r="J7" s="1" t="s">
        <v>126</v>
      </c>
    </row>
    <row r="8" spans="1:10" x14ac:dyDescent="0.35">
      <c r="A8" s="7" t="s">
        <v>127</v>
      </c>
      <c r="B8" s="2" t="s">
        <v>128</v>
      </c>
      <c r="C8" s="2" t="s">
        <v>124</v>
      </c>
      <c r="D8" s="11">
        <v>1</v>
      </c>
      <c r="E8" s="12" t="s">
        <v>114</v>
      </c>
      <c r="F8" s="11">
        <v>90</v>
      </c>
      <c r="G8" s="13">
        <v>12000</v>
      </c>
      <c r="H8" s="14">
        <v>0.95</v>
      </c>
      <c r="I8" s="12" t="s">
        <v>125</v>
      </c>
      <c r="J8" s="1"/>
    </row>
    <row r="9" spans="1:10" x14ac:dyDescent="0.35">
      <c r="A9" s="7" t="s">
        <v>129</v>
      </c>
      <c r="B9" s="2" t="s">
        <v>130</v>
      </c>
      <c r="C9" s="2" t="s">
        <v>124</v>
      </c>
      <c r="D9" s="11">
        <v>1</v>
      </c>
      <c r="E9" s="12" t="s">
        <v>114</v>
      </c>
      <c r="F9" s="11">
        <v>90</v>
      </c>
      <c r="G9" s="13">
        <v>25000</v>
      </c>
      <c r="H9" s="14">
        <v>0.92</v>
      </c>
      <c r="I9" s="12" t="s">
        <v>125</v>
      </c>
      <c r="J9" s="1"/>
    </row>
    <row r="10" spans="1:10" x14ac:dyDescent="0.35">
      <c r="A10" s="7" t="s">
        <v>131</v>
      </c>
      <c r="B10" s="2" t="s">
        <v>132</v>
      </c>
      <c r="C10" s="2" t="s">
        <v>124</v>
      </c>
      <c r="D10" s="11">
        <v>1</v>
      </c>
      <c r="E10" s="12" t="s">
        <v>114</v>
      </c>
      <c r="F10" s="11">
        <v>60</v>
      </c>
      <c r="G10" s="13">
        <v>22000</v>
      </c>
      <c r="H10" s="14">
        <v>0.9</v>
      </c>
      <c r="I10" s="12" t="s">
        <v>125</v>
      </c>
      <c r="J10" s="1"/>
    </row>
    <row r="11" spans="1:10" x14ac:dyDescent="0.35">
      <c r="A11" s="7" t="s">
        <v>133</v>
      </c>
      <c r="B11" s="2" t="s">
        <v>134</v>
      </c>
      <c r="C11" s="2" t="s">
        <v>124</v>
      </c>
      <c r="D11" s="11">
        <v>2</v>
      </c>
      <c r="E11" s="12" t="s">
        <v>114</v>
      </c>
      <c r="F11" s="11">
        <v>90</v>
      </c>
      <c r="G11" s="13">
        <v>8000</v>
      </c>
      <c r="H11" s="14">
        <v>0.95</v>
      </c>
      <c r="I11" s="12" t="s">
        <v>135</v>
      </c>
      <c r="J11" s="1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opLeftCell="A3" zoomScaleNormal="100" workbookViewId="0">
      <selection activeCell="A2" sqref="A2"/>
    </sheetView>
  </sheetViews>
  <sheetFormatPr defaultColWidth="8.54296875" defaultRowHeight="14.5" x14ac:dyDescent="0.35"/>
  <cols>
    <col min="1" max="1" width="42" customWidth="1"/>
    <col min="2" max="2" width="16" customWidth="1"/>
    <col min="3" max="3" width="40" customWidth="1"/>
  </cols>
  <sheetData>
    <row r="1" spans="1:5" ht="16.5" customHeight="1" x14ac:dyDescent="0.35">
      <c r="A1" s="4" t="s">
        <v>137</v>
      </c>
      <c r="B1" s="4"/>
      <c r="C1" s="4"/>
      <c r="D1" s="4"/>
      <c r="E1" s="4"/>
    </row>
    <row r="2" spans="1:5" x14ac:dyDescent="0.35">
      <c r="A2" s="1" t="s">
        <v>138</v>
      </c>
    </row>
    <row r="3" spans="1:5" x14ac:dyDescent="0.35">
      <c r="A3" s="2" t="s">
        <v>139</v>
      </c>
      <c r="B3" s="15">
        <v>2</v>
      </c>
    </row>
    <row r="4" spans="1:5" x14ac:dyDescent="0.35">
      <c r="A4" s="2" t="s">
        <v>140</v>
      </c>
      <c r="B4" s="16">
        <v>19000</v>
      </c>
    </row>
    <row r="5" spans="1:5" x14ac:dyDescent="0.35">
      <c r="A5" s="2" t="s">
        <v>141</v>
      </c>
      <c r="B5" s="17">
        <f>B3*B4</f>
        <v>38000</v>
      </c>
      <c r="C5" s="1" t="s">
        <v>142</v>
      </c>
    </row>
    <row r="6" spans="1:5" x14ac:dyDescent="0.35">
      <c r="A6" s="2" t="s">
        <v>143</v>
      </c>
      <c r="B6" s="16">
        <v>3000</v>
      </c>
    </row>
    <row r="7" spans="1:5" x14ac:dyDescent="0.35">
      <c r="A7" s="5" t="s">
        <v>144</v>
      </c>
      <c r="B7" s="18">
        <f>B5+B6</f>
        <v>41000</v>
      </c>
    </row>
    <row r="8" spans="1:5" x14ac:dyDescent="0.35">
      <c r="A8" s="2" t="s">
        <v>145</v>
      </c>
      <c r="B8" s="16">
        <v>5000</v>
      </c>
    </row>
    <row r="9" spans="1:5" x14ac:dyDescent="0.35">
      <c r="A9" s="2" t="s">
        <v>146</v>
      </c>
      <c r="B9" s="16">
        <v>500</v>
      </c>
    </row>
    <row r="10" spans="1:5" x14ac:dyDescent="0.35">
      <c r="A10" s="2" t="s">
        <v>147</v>
      </c>
      <c r="B10" s="16">
        <v>1000</v>
      </c>
    </row>
    <row r="11" spans="1:5" x14ac:dyDescent="0.35">
      <c r="A11" s="2" t="s">
        <v>148</v>
      </c>
      <c r="B11" s="16">
        <v>1500</v>
      </c>
    </row>
    <row r="13" spans="1:5" x14ac:dyDescent="0.35">
      <c r="A13" s="3" t="s">
        <v>149</v>
      </c>
      <c r="B13" s="3"/>
      <c r="C13" s="3"/>
    </row>
    <row r="14" spans="1:5" x14ac:dyDescent="0.35">
      <c r="A14" s="2" t="s">
        <v>150</v>
      </c>
      <c r="B14" s="19">
        <v>7</v>
      </c>
    </row>
    <row r="15" spans="1:5" x14ac:dyDescent="0.35">
      <c r="A15" s="2" t="s">
        <v>151</v>
      </c>
      <c r="B15" s="20" t="s">
        <v>152</v>
      </c>
      <c r="C15" s="1" t="s">
        <v>153</v>
      </c>
    </row>
    <row r="16" spans="1:5" x14ac:dyDescent="0.35">
      <c r="A16" s="2" t="s">
        <v>154</v>
      </c>
      <c r="B16" s="21">
        <v>0.1</v>
      </c>
      <c r="C16" s="1" t="s">
        <v>155</v>
      </c>
    </row>
    <row r="17" spans="1:3" x14ac:dyDescent="0.35">
      <c r="A17" s="2" t="s">
        <v>156</v>
      </c>
      <c r="B17" s="20" t="s">
        <v>157</v>
      </c>
      <c r="C17" s="1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>
      <selection activeCell="A2" sqref="A2"/>
    </sheetView>
  </sheetViews>
  <sheetFormatPr defaultColWidth="8.54296875" defaultRowHeight="14.5" x14ac:dyDescent="0.35"/>
  <cols>
    <col min="1" max="1" width="12" customWidth="1"/>
    <col min="2" max="2" width="24" customWidth="1"/>
    <col min="3" max="3" width="11" customWidth="1"/>
    <col min="4" max="5" width="14" customWidth="1"/>
    <col min="6" max="6" width="26" customWidth="1"/>
  </cols>
  <sheetData>
    <row r="1" spans="1:6" ht="16.5" customHeight="1" x14ac:dyDescent="0.35">
      <c r="A1" s="4" t="s">
        <v>159</v>
      </c>
      <c r="B1" s="4"/>
      <c r="C1" s="4"/>
      <c r="D1" s="4"/>
      <c r="E1" s="4"/>
      <c r="F1" s="4"/>
    </row>
    <row r="2" spans="1:6" x14ac:dyDescent="0.35">
      <c r="A2" s="1" t="s">
        <v>160</v>
      </c>
    </row>
    <row r="3" spans="1:6" x14ac:dyDescent="0.35">
      <c r="A3" s="2" t="s">
        <v>161</v>
      </c>
      <c r="B3" s="22">
        <f>I_Live_Bird!$B$3</f>
        <v>2</v>
      </c>
    </row>
    <row r="5" spans="1:6" ht="25.5" customHeight="1" x14ac:dyDescent="0.35">
      <c r="A5" s="6" t="s">
        <v>162</v>
      </c>
      <c r="B5" s="6" t="s">
        <v>163</v>
      </c>
      <c r="C5" s="6" t="s">
        <v>164</v>
      </c>
      <c r="D5" s="6" t="s">
        <v>165</v>
      </c>
      <c r="E5" s="6" t="s">
        <v>166</v>
      </c>
      <c r="F5" s="6" t="s">
        <v>78</v>
      </c>
    </row>
    <row r="6" spans="1:6" x14ac:dyDescent="0.35">
      <c r="A6" s="7" t="s">
        <v>111</v>
      </c>
      <c r="B6" s="2" t="s">
        <v>112</v>
      </c>
      <c r="C6" s="23" t="s">
        <v>114</v>
      </c>
      <c r="D6" s="24">
        <v>0.18</v>
      </c>
      <c r="E6" s="25">
        <f t="shared" ref="E6:E14" si="0">D6*$B$3</f>
        <v>0.36</v>
      </c>
      <c r="F6" s="1" t="s">
        <v>116</v>
      </c>
    </row>
    <row r="7" spans="1:6" x14ac:dyDescent="0.35">
      <c r="A7" s="7" t="s">
        <v>117</v>
      </c>
      <c r="B7" s="2" t="s">
        <v>118</v>
      </c>
      <c r="C7" s="23" t="s">
        <v>114</v>
      </c>
      <c r="D7" s="24">
        <v>0.13</v>
      </c>
      <c r="E7" s="25">
        <f t="shared" si="0"/>
        <v>0.26</v>
      </c>
      <c r="F7" s="1"/>
    </row>
    <row r="8" spans="1:6" x14ac:dyDescent="0.35">
      <c r="A8" s="7" t="s">
        <v>119</v>
      </c>
      <c r="B8" s="2" t="s">
        <v>120</v>
      </c>
      <c r="C8" s="23" t="s">
        <v>114</v>
      </c>
      <c r="D8" s="24">
        <v>0.09</v>
      </c>
      <c r="E8" s="25">
        <f t="shared" si="0"/>
        <v>0.18</v>
      </c>
      <c r="F8" s="1"/>
    </row>
    <row r="9" spans="1:6" x14ac:dyDescent="0.35">
      <c r="A9" s="7" t="s">
        <v>122</v>
      </c>
      <c r="B9" s="2" t="s">
        <v>123</v>
      </c>
      <c r="C9" s="23" t="s">
        <v>114</v>
      </c>
      <c r="D9" s="24">
        <v>0.04</v>
      </c>
      <c r="E9" s="25">
        <f t="shared" si="0"/>
        <v>0.08</v>
      </c>
      <c r="F9" s="1" t="s">
        <v>126</v>
      </c>
    </row>
    <row r="10" spans="1:6" x14ac:dyDescent="0.35">
      <c r="A10" s="7" t="s">
        <v>127</v>
      </c>
      <c r="B10" s="2" t="s">
        <v>128</v>
      </c>
      <c r="C10" s="23" t="s">
        <v>114</v>
      </c>
      <c r="D10" s="24">
        <v>0.03</v>
      </c>
      <c r="E10" s="25">
        <f t="shared" si="0"/>
        <v>0.06</v>
      </c>
      <c r="F10" s="1"/>
    </row>
    <row r="11" spans="1:6" x14ac:dyDescent="0.35">
      <c r="A11" s="7" t="s">
        <v>129</v>
      </c>
      <c r="B11" s="2" t="s">
        <v>130</v>
      </c>
      <c r="C11" s="23" t="s">
        <v>114</v>
      </c>
      <c r="D11" s="24">
        <v>0.06</v>
      </c>
      <c r="E11" s="25">
        <f t="shared" si="0"/>
        <v>0.12</v>
      </c>
      <c r="F11" s="1"/>
    </row>
    <row r="12" spans="1:6" x14ac:dyDescent="0.35">
      <c r="A12" s="7" t="s">
        <v>131</v>
      </c>
      <c r="B12" s="2" t="s">
        <v>132</v>
      </c>
      <c r="C12" s="23" t="s">
        <v>114</v>
      </c>
      <c r="D12" s="24">
        <v>0.05</v>
      </c>
      <c r="E12" s="25">
        <f t="shared" si="0"/>
        <v>0.1</v>
      </c>
      <c r="F12" s="1"/>
    </row>
    <row r="13" spans="1:6" x14ac:dyDescent="0.35">
      <c r="A13" s="7" t="s">
        <v>133</v>
      </c>
      <c r="B13" s="2" t="s">
        <v>134</v>
      </c>
      <c r="C13" s="23" t="s">
        <v>114</v>
      </c>
      <c r="D13" s="24">
        <v>0.28000000000000003</v>
      </c>
      <c r="E13" s="25">
        <f t="shared" si="0"/>
        <v>0.56000000000000005</v>
      </c>
      <c r="F13" s="1" t="s">
        <v>136</v>
      </c>
    </row>
    <row r="14" spans="1:6" x14ac:dyDescent="0.35">
      <c r="A14" s="2" t="s">
        <v>167</v>
      </c>
      <c r="B14" s="2" t="s">
        <v>168</v>
      </c>
      <c r="C14" s="23" t="s">
        <v>169</v>
      </c>
      <c r="D14" s="26">
        <f>1-SUM(D6:D13)</f>
        <v>0.1399999999999999</v>
      </c>
      <c r="E14" s="25">
        <f t="shared" si="0"/>
        <v>0.2799999999999998</v>
      </c>
      <c r="F14" s="1" t="s">
        <v>170</v>
      </c>
    </row>
    <row r="15" spans="1:6" x14ac:dyDescent="0.35">
      <c r="A15" s="10" t="s">
        <v>171</v>
      </c>
      <c r="B15" s="10"/>
      <c r="C15" s="10"/>
      <c r="D15" s="27">
        <f>SUM(D6:D14)</f>
        <v>1</v>
      </c>
      <c r="E15" s="28">
        <f>SUM(E6:E14)</f>
        <v>2</v>
      </c>
      <c r="F15" s="29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1"/>
  <sheetViews>
    <sheetView topLeftCell="A152" zoomScaleNormal="100" workbookViewId="0">
      <selection activeCell="C7" sqref="C7"/>
    </sheetView>
  </sheetViews>
  <sheetFormatPr defaultColWidth="8.54296875" defaultRowHeight="14.5" x14ac:dyDescent="0.35"/>
  <cols>
    <col min="1" max="1" width="12" customWidth="1"/>
    <col min="2" max="2" width="10" customWidth="1"/>
    <col min="3" max="3" width="24" customWidth="1"/>
    <col min="4" max="5" width="14" customWidth="1"/>
    <col min="6" max="6" width="24" customWidth="1"/>
  </cols>
  <sheetData>
    <row r="1" spans="1:6" ht="16.5" customHeight="1" x14ac:dyDescent="0.35">
      <c r="A1" s="73" t="s">
        <v>173</v>
      </c>
      <c r="B1" s="73"/>
      <c r="C1" s="73"/>
      <c r="D1" s="73"/>
      <c r="E1" s="73"/>
      <c r="F1" s="73"/>
    </row>
    <row r="2" spans="1:6" x14ac:dyDescent="0.35">
      <c r="A2" s="1" t="s">
        <v>174</v>
      </c>
    </row>
    <row r="3" spans="1:6" x14ac:dyDescent="0.35">
      <c r="A3" s="6" t="s">
        <v>175</v>
      </c>
      <c r="B3" s="6" t="s">
        <v>102</v>
      </c>
      <c r="C3" s="6" t="s">
        <v>103</v>
      </c>
      <c r="D3" s="6" t="s">
        <v>176</v>
      </c>
      <c r="E3" s="6" t="s">
        <v>177</v>
      </c>
      <c r="F3" s="6" t="s">
        <v>78</v>
      </c>
    </row>
    <row r="4" spans="1:6" x14ac:dyDescent="0.35">
      <c r="A4" s="30">
        <v>46174</v>
      </c>
      <c r="B4" s="7" t="s">
        <v>111</v>
      </c>
      <c r="C4" s="2" t="s">
        <v>112</v>
      </c>
      <c r="D4" s="31">
        <v>319.3</v>
      </c>
      <c r="E4" s="12" t="s">
        <v>178</v>
      </c>
    </row>
    <row r="5" spans="1:6" x14ac:dyDescent="0.35">
      <c r="A5" s="30">
        <v>46174</v>
      </c>
      <c r="B5" s="7" t="s">
        <v>117</v>
      </c>
      <c r="C5" s="2" t="s">
        <v>118</v>
      </c>
      <c r="D5" s="31">
        <v>215.5</v>
      </c>
      <c r="E5" s="12" t="s">
        <v>178</v>
      </c>
    </row>
    <row r="6" spans="1:6" x14ac:dyDescent="0.35">
      <c r="A6" s="30">
        <v>46174</v>
      </c>
      <c r="B6" s="7" t="s">
        <v>119</v>
      </c>
      <c r="C6" s="2" t="s">
        <v>120</v>
      </c>
      <c r="D6" s="31">
        <v>141.19999999999999</v>
      </c>
      <c r="E6" s="12" t="s">
        <v>178</v>
      </c>
    </row>
    <row r="7" spans="1:6" x14ac:dyDescent="0.35">
      <c r="A7" s="30">
        <v>46174</v>
      </c>
      <c r="B7" s="7" t="s">
        <v>122</v>
      </c>
      <c r="C7" s="2" t="s">
        <v>123</v>
      </c>
      <c r="D7" s="31">
        <v>60.2</v>
      </c>
      <c r="E7" s="12" t="s">
        <v>178</v>
      </c>
    </row>
    <row r="8" spans="1:6" x14ac:dyDescent="0.35">
      <c r="A8" s="30">
        <v>46174</v>
      </c>
      <c r="B8" s="7" t="s">
        <v>127</v>
      </c>
      <c r="C8" s="2" t="s">
        <v>128</v>
      </c>
      <c r="D8" s="31">
        <v>28.2</v>
      </c>
      <c r="E8" s="12" t="s">
        <v>178</v>
      </c>
    </row>
    <row r="9" spans="1:6" x14ac:dyDescent="0.35">
      <c r="A9" s="30">
        <v>46174</v>
      </c>
      <c r="B9" s="7" t="s">
        <v>129</v>
      </c>
      <c r="C9" s="2" t="s">
        <v>130</v>
      </c>
      <c r="D9" s="31">
        <v>58.5</v>
      </c>
      <c r="E9" s="12" t="s">
        <v>178</v>
      </c>
    </row>
    <row r="10" spans="1:6" x14ac:dyDescent="0.35">
      <c r="A10" s="30">
        <v>46174</v>
      </c>
      <c r="B10" s="7" t="s">
        <v>131</v>
      </c>
      <c r="C10" s="2" t="s">
        <v>132</v>
      </c>
      <c r="D10" s="31">
        <v>53.6</v>
      </c>
      <c r="E10" s="12" t="s">
        <v>178</v>
      </c>
    </row>
    <row r="11" spans="1:6" x14ac:dyDescent="0.35">
      <c r="A11" s="30">
        <v>46174</v>
      </c>
      <c r="B11" s="7" t="s">
        <v>133</v>
      </c>
      <c r="C11" s="2" t="s">
        <v>134</v>
      </c>
      <c r="D11" s="31">
        <v>185.9</v>
      </c>
      <c r="E11" s="12" t="s">
        <v>178</v>
      </c>
    </row>
    <row r="12" spans="1:6" x14ac:dyDescent="0.35">
      <c r="A12" s="30">
        <v>46175</v>
      </c>
      <c r="B12" s="7" t="s">
        <v>111</v>
      </c>
      <c r="C12" s="2" t="s">
        <v>112</v>
      </c>
      <c r="D12" s="31">
        <v>310.7</v>
      </c>
      <c r="E12" s="12" t="s">
        <v>178</v>
      </c>
    </row>
    <row r="13" spans="1:6" x14ac:dyDescent="0.35">
      <c r="A13" s="30">
        <v>46175</v>
      </c>
      <c r="B13" s="7" t="s">
        <v>117</v>
      </c>
      <c r="C13" s="2" t="s">
        <v>118</v>
      </c>
      <c r="D13" s="31">
        <v>215.9</v>
      </c>
      <c r="E13" s="12" t="s">
        <v>178</v>
      </c>
    </row>
    <row r="14" spans="1:6" x14ac:dyDescent="0.35">
      <c r="A14" s="30">
        <v>46175</v>
      </c>
      <c r="B14" s="7" t="s">
        <v>119</v>
      </c>
      <c r="C14" s="2" t="s">
        <v>120</v>
      </c>
      <c r="D14" s="31">
        <v>142.1</v>
      </c>
      <c r="E14" s="12" t="s">
        <v>178</v>
      </c>
    </row>
    <row r="15" spans="1:6" x14ac:dyDescent="0.35">
      <c r="A15" s="30">
        <v>46175</v>
      </c>
      <c r="B15" s="7" t="s">
        <v>122</v>
      </c>
      <c r="C15" s="2" t="s">
        <v>123</v>
      </c>
      <c r="D15" s="31">
        <v>61</v>
      </c>
      <c r="E15" s="12" t="s">
        <v>178</v>
      </c>
    </row>
    <row r="16" spans="1:6" x14ac:dyDescent="0.35">
      <c r="A16" s="30">
        <v>46175</v>
      </c>
      <c r="B16" s="7" t="s">
        <v>127</v>
      </c>
      <c r="C16" s="2" t="s">
        <v>128</v>
      </c>
      <c r="D16" s="31">
        <v>29.4</v>
      </c>
      <c r="E16" s="12" t="s">
        <v>178</v>
      </c>
    </row>
    <row r="17" spans="1:5" x14ac:dyDescent="0.35">
      <c r="A17" s="30">
        <v>46175</v>
      </c>
      <c r="B17" s="7" t="s">
        <v>129</v>
      </c>
      <c r="C17" s="2" t="s">
        <v>130</v>
      </c>
      <c r="D17" s="31">
        <v>65.7</v>
      </c>
      <c r="E17" s="12" t="s">
        <v>178</v>
      </c>
    </row>
    <row r="18" spans="1:5" x14ac:dyDescent="0.35">
      <c r="A18" s="30">
        <v>46175</v>
      </c>
      <c r="B18" s="7" t="s">
        <v>131</v>
      </c>
      <c r="C18" s="2" t="s">
        <v>132</v>
      </c>
      <c r="D18" s="31">
        <v>48.1</v>
      </c>
      <c r="E18" s="12" t="s">
        <v>178</v>
      </c>
    </row>
    <row r="19" spans="1:5" x14ac:dyDescent="0.35">
      <c r="A19" s="30">
        <v>46175</v>
      </c>
      <c r="B19" s="7" t="s">
        <v>133</v>
      </c>
      <c r="C19" s="2" t="s">
        <v>134</v>
      </c>
      <c r="D19" s="31">
        <v>170.9</v>
      </c>
      <c r="E19" s="12" t="s">
        <v>178</v>
      </c>
    </row>
    <row r="20" spans="1:5" x14ac:dyDescent="0.35">
      <c r="A20" s="30">
        <v>46176</v>
      </c>
      <c r="B20" s="7" t="s">
        <v>111</v>
      </c>
      <c r="C20" s="2" t="s">
        <v>112</v>
      </c>
      <c r="D20" s="31">
        <v>329.4</v>
      </c>
      <c r="E20" s="12" t="s">
        <v>178</v>
      </c>
    </row>
    <row r="21" spans="1:5" x14ac:dyDescent="0.35">
      <c r="A21" s="30">
        <v>46176</v>
      </c>
      <c r="B21" s="7" t="s">
        <v>117</v>
      </c>
      <c r="C21" s="2" t="s">
        <v>118</v>
      </c>
      <c r="D21" s="31">
        <v>241.4</v>
      </c>
      <c r="E21" s="12" t="s">
        <v>178</v>
      </c>
    </row>
    <row r="22" spans="1:5" x14ac:dyDescent="0.35">
      <c r="A22" s="30">
        <v>46176</v>
      </c>
      <c r="B22" s="7" t="s">
        <v>119</v>
      </c>
      <c r="C22" s="2" t="s">
        <v>120</v>
      </c>
      <c r="D22" s="31">
        <v>143</v>
      </c>
      <c r="E22" s="12" t="s">
        <v>178</v>
      </c>
    </row>
    <row r="23" spans="1:5" x14ac:dyDescent="0.35">
      <c r="A23" s="30">
        <v>46176</v>
      </c>
      <c r="B23" s="7" t="s">
        <v>122</v>
      </c>
      <c r="C23" s="2" t="s">
        <v>123</v>
      </c>
      <c r="D23" s="31">
        <v>56.5</v>
      </c>
      <c r="E23" s="12" t="s">
        <v>178</v>
      </c>
    </row>
    <row r="24" spans="1:5" x14ac:dyDescent="0.35">
      <c r="A24" s="30">
        <v>46176</v>
      </c>
      <c r="B24" s="7" t="s">
        <v>127</v>
      </c>
      <c r="C24" s="2" t="s">
        <v>128</v>
      </c>
      <c r="D24" s="31">
        <v>29.7</v>
      </c>
      <c r="E24" s="12" t="s">
        <v>178</v>
      </c>
    </row>
    <row r="25" spans="1:5" x14ac:dyDescent="0.35">
      <c r="A25" s="30">
        <v>46176</v>
      </c>
      <c r="B25" s="7" t="s">
        <v>129</v>
      </c>
      <c r="C25" s="2" t="s">
        <v>130</v>
      </c>
      <c r="D25" s="31">
        <v>58.8</v>
      </c>
      <c r="E25" s="12" t="s">
        <v>178</v>
      </c>
    </row>
    <row r="26" spans="1:5" x14ac:dyDescent="0.35">
      <c r="A26" s="30">
        <v>46176</v>
      </c>
      <c r="B26" s="7" t="s">
        <v>131</v>
      </c>
      <c r="C26" s="2" t="s">
        <v>132</v>
      </c>
      <c r="D26" s="31">
        <v>50.9</v>
      </c>
      <c r="E26" s="12" t="s">
        <v>178</v>
      </c>
    </row>
    <row r="27" spans="1:5" x14ac:dyDescent="0.35">
      <c r="A27" s="30">
        <v>46176</v>
      </c>
      <c r="B27" s="7" t="s">
        <v>133</v>
      </c>
      <c r="C27" s="2" t="s">
        <v>134</v>
      </c>
      <c r="D27" s="31">
        <v>197.5</v>
      </c>
      <c r="E27" s="12" t="s">
        <v>178</v>
      </c>
    </row>
    <row r="28" spans="1:5" x14ac:dyDescent="0.35">
      <c r="A28" s="30">
        <v>46177</v>
      </c>
      <c r="B28" s="7" t="s">
        <v>111</v>
      </c>
      <c r="C28" s="2" t="s">
        <v>112</v>
      </c>
      <c r="D28" s="31">
        <v>363.8</v>
      </c>
      <c r="E28" s="12" t="s">
        <v>178</v>
      </c>
    </row>
    <row r="29" spans="1:5" x14ac:dyDescent="0.35">
      <c r="A29" s="30">
        <v>46177</v>
      </c>
      <c r="B29" s="7" t="s">
        <v>117</v>
      </c>
      <c r="C29" s="2" t="s">
        <v>118</v>
      </c>
      <c r="D29" s="31">
        <v>225.6</v>
      </c>
      <c r="E29" s="12" t="s">
        <v>178</v>
      </c>
    </row>
    <row r="30" spans="1:5" x14ac:dyDescent="0.35">
      <c r="A30" s="30">
        <v>46177</v>
      </c>
      <c r="B30" s="7" t="s">
        <v>119</v>
      </c>
      <c r="C30" s="2" t="s">
        <v>120</v>
      </c>
      <c r="D30" s="31">
        <v>154.5</v>
      </c>
      <c r="E30" s="12" t="s">
        <v>178</v>
      </c>
    </row>
    <row r="31" spans="1:5" x14ac:dyDescent="0.35">
      <c r="A31" s="30">
        <v>46177</v>
      </c>
      <c r="B31" s="7" t="s">
        <v>122</v>
      </c>
      <c r="C31" s="2" t="s">
        <v>123</v>
      </c>
      <c r="D31" s="31">
        <v>61.2</v>
      </c>
      <c r="E31" s="12" t="s">
        <v>178</v>
      </c>
    </row>
    <row r="32" spans="1:5" x14ac:dyDescent="0.35">
      <c r="A32" s="30">
        <v>46177</v>
      </c>
      <c r="B32" s="7" t="s">
        <v>127</v>
      </c>
      <c r="C32" s="2" t="s">
        <v>128</v>
      </c>
      <c r="D32" s="31">
        <v>31.9</v>
      </c>
      <c r="E32" s="12" t="s">
        <v>178</v>
      </c>
    </row>
    <row r="33" spans="1:6" x14ac:dyDescent="0.35">
      <c r="A33" s="30">
        <v>46177</v>
      </c>
      <c r="B33" s="7" t="s">
        <v>129</v>
      </c>
      <c r="C33" s="2" t="s">
        <v>130</v>
      </c>
      <c r="D33" s="31">
        <v>63.8</v>
      </c>
      <c r="E33" s="12" t="s">
        <v>178</v>
      </c>
    </row>
    <row r="34" spans="1:6" x14ac:dyDescent="0.35">
      <c r="A34" s="30">
        <v>46177</v>
      </c>
      <c r="B34" s="7" t="s">
        <v>131</v>
      </c>
      <c r="C34" s="2" t="s">
        <v>132</v>
      </c>
      <c r="D34" s="31">
        <v>57.5</v>
      </c>
      <c r="E34" s="12" t="s">
        <v>178</v>
      </c>
    </row>
    <row r="35" spans="1:6" x14ac:dyDescent="0.35">
      <c r="A35" s="30">
        <v>46177</v>
      </c>
      <c r="B35" s="7" t="s">
        <v>133</v>
      </c>
      <c r="C35" s="2" t="s">
        <v>134</v>
      </c>
      <c r="D35" s="31">
        <v>175.8</v>
      </c>
      <c r="E35" s="12" t="s">
        <v>178</v>
      </c>
    </row>
    <row r="36" spans="1:6" x14ac:dyDescent="0.35">
      <c r="A36" s="30">
        <v>46178</v>
      </c>
      <c r="B36" s="7" t="s">
        <v>111</v>
      </c>
      <c r="C36" s="2" t="s">
        <v>112</v>
      </c>
      <c r="D36" s="31">
        <v>295.60000000000002</v>
      </c>
      <c r="E36" s="12" t="s">
        <v>178</v>
      </c>
    </row>
    <row r="37" spans="1:6" x14ac:dyDescent="0.35">
      <c r="A37" s="30">
        <v>46178</v>
      </c>
      <c r="B37" s="7" t="s">
        <v>117</v>
      </c>
      <c r="C37" s="2" t="s">
        <v>118</v>
      </c>
      <c r="D37" s="31">
        <v>240.7</v>
      </c>
      <c r="E37" s="12" t="s">
        <v>178</v>
      </c>
    </row>
    <row r="38" spans="1:6" x14ac:dyDescent="0.35">
      <c r="A38" s="30">
        <v>46178</v>
      </c>
      <c r="B38" s="7" t="s">
        <v>119</v>
      </c>
      <c r="C38" s="2" t="s">
        <v>120</v>
      </c>
      <c r="D38" s="31">
        <v>152.9</v>
      </c>
      <c r="E38" s="12" t="s">
        <v>178</v>
      </c>
    </row>
    <row r="39" spans="1:6" x14ac:dyDescent="0.35">
      <c r="A39" s="30">
        <v>46178</v>
      </c>
      <c r="B39" s="7" t="s">
        <v>122</v>
      </c>
      <c r="C39" s="2" t="s">
        <v>123</v>
      </c>
      <c r="D39" s="31">
        <v>70.599999999999994</v>
      </c>
      <c r="E39" s="12" t="s">
        <v>178</v>
      </c>
    </row>
    <row r="40" spans="1:6" x14ac:dyDescent="0.35">
      <c r="A40" s="30">
        <v>46178</v>
      </c>
      <c r="B40" s="7" t="s">
        <v>127</v>
      </c>
      <c r="C40" s="2" t="s">
        <v>128</v>
      </c>
      <c r="D40" s="31">
        <v>34.799999999999997</v>
      </c>
      <c r="E40" s="12" t="s">
        <v>178</v>
      </c>
    </row>
    <row r="41" spans="1:6" x14ac:dyDescent="0.35">
      <c r="A41" s="30">
        <v>46178</v>
      </c>
      <c r="B41" s="7" t="s">
        <v>129</v>
      </c>
      <c r="C41" s="2" t="s">
        <v>130</v>
      </c>
      <c r="D41" s="31">
        <v>69.5</v>
      </c>
      <c r="E41" s="12" t="s">
        <v>178</v>
      </c>
    </row>
    <row r="42" spans="1:6" x14ac:dyDescent="0.35">
      <c r="A42" s="30">
        <v>46178</v>
      </c>
      <c r="B42" s="7" t="s">
        <v>131</v>
      </c>
      <c r="C42" s="2" t="s">
        <v>132</v>
      </c>
      <c r="D42" s="31">
        <v>64.599999999999994</v>
      </c>
      <c r="E42" s="12" t="s">
        <v>178</v>
      </c>
    </row>
    <row r="43" spans="1:6" x14ac:dyDescent="0.35">
      <c r="A43" s="30">
        <v>46178</v>
      </c>
      <c r="B43" s="7" t="s">
        <v>133</v>
      </c>
      <c r="C43" s="2" t="s">
        <v>134</v>
      </c>
      <c r="D43" s="31">
        <v>202.4</v>
      </c>
      <c r="E43" s="12" t="s">
        <v>178</v>
      </c>
    </row>
    <row r="44" spans="1:6" x14ac:dyDescent="0.35">
      <c r="A44" s="30">
        <v>46179</v>
      </c>
      <c r="B44" s="7" t="s">
        <v>111</v>
      </c>
      <c r="C44" s="2" t="s">
        <v>112</v>
      </c>
      <c r="D44" s="31">
        <v>187</v>
      </c>
      <c r="E44" s="32" t="s">
        <v>179</v>
      </c>
      <c r="F44" s="1" t="s">
        <v>180</v>
      </c>
    </row>
    <row r="45" spans="1:6" x14ac:dyDescent="0.35">
      <c r="A45" s="30">
        <v>46179</v>
      </c>
      <c r="B45" s="7" t="s">
        <v>117</v>
      </c>
      <c r="C45" s="2" t="s">
        <v>118</v>
      </c>
      <c r="D45" s="31">
        <v>269.5</v>
      </c>
      <c r="E45" s="12" t="s">
        <v>178</v>
      </c>
    </row>
    <row r="46" spans="1:6" x14ac:dyDescent="0.35">
      <c r="A46" s="30">
        <v>46179</v>
      </c>
      <c r="B46" s="7" t="s">
        <v>119</v>
      </c>
      <c r="C46" s="2" t="s">
        <v>120</v>
      </c>
      <c r="D46" s="31">
        <v>181.6</v>
      </c>
      <c r="E46" s="12" t="s">
        <v>178</v>
      </c>
    </row>
    <row r="47" spans="1:6" x14ac:dyDescent="0.35">
      <c r="A47" s="30">
        <v>46179</v>
      </c>
      <c r="B47" s="7" t="s">
        <v>122</v>
      </c>
      <c r="C47" s="2" t="s">
        <v>123</v>
      </c>
      <c r="D47" s="31">
        <v>76.7</v>
      </c>
      <c r="E47" s="12" t="s">
        <v>178</v>
      </c>
    </row>
    <row r="48" spans="1:6" x14ac:dyDescent="0.35">
      <c r="A48" s="30">
        <v>46179</v>
      </c>
      <c r="B48" s="7" t="s">
        <v>127</v>
      </c>
      <c r="C48" s="2" t="s">
        <v>128</v>
      </c>
      <c r="D48" s="31">
        <v>37.799999999999997</v>
      </c>
      <c r="E48" s="12" t="s">
        <v>178</v>
      </c>
    </row>
    <row r="49" spans="1:5" x14ac:dyDescent="0.35">
      <c r="A49" s="30">
        <v>46179</v>
      </c>
      <c r="B49" s="7" t="s">
        <v>129</v>
      </c>
      <c r="C49" s="2" t="s">
        <v>130</v>
      </c>
      <c r="D49" s="31">
        <v>86.4</v>
      </c>
      <c r="E49" s="12" t="s">
        <v>178</v>
      </c>
    </row>
    <row r="50" spans="1:5" x14ac:dyDescent="0.35">
      <c r="A50" s="30">
        <v>46179</v>
      </c>
      <c r="B50" s="7" t="s">
        <v>131</v>
      </c>
      <c r="C50" s="2" t="s">
        <v>132</v>
      </c>
      <c r="D50" s="31">
        <v>69.400000000000006</v>
      </c>
      <c r="E50" s="12" t="s">
        <v>178</v>
      </c>
    </row>
    <row r="51" spans="1:5" x14ac:dyDescent="0.35">
      <c r="A51" s="30">
        <v>46179</v>
      </c>
      <c r="B51" s="7" t="s">
        <v>133</v>
      </c>
      <c r="C51" s="2" t="s">
        <v>134</v>
      </c>
      <c r="D51" s="31">
        <v>249.2</v>
      </c>
      <c r="E51" s="12" t="s">
        <v>178</v>
      </c>
    </row>
    <row r="52" spans="1:5" x14ac:dyDescent="0.35">
      <c r="A52" s="30">
        <v>46180</v>
      </c>
      <c r="B52" s="7" t="s">
        <v>111</v>
      </c>
      <c r="C52" s="2" t="s">
        <v>112</v>
      </c>
      <c r="D52" s="31">
        <v>371.4</v>
      </c>
      <c r="E52" s="12" t="s">
        <v>178</v>
      </c>
    </row>
    <row r="53" spans="1:5" x14ac:dyDescent="0.35">
      <c r="A53" s="30">
        <v>46180</v>
      </c>
      <c r="B53" s="7" t="s">
        <v>117</v>
      </c>
      <c r="C53" s="2" t="s">
        <v>118</v>
      </c>
      <c r="D53" s="31">
        <v>249.3</v>
      </c>
      <c r="E53" s="12" t="s">
        <v>178</v>
      </c>
    </row>
    <row r="54" spans="1:5" x14ac:dyDescent="0.35">
      <c r="A54" s="30">
        <v>46180</v>
      </c>
      <c r="B54" s="7" t="s">
        <v>119</v>
      </c>
      <c r="C54" s="2" t="s">
        <v>120</v>
      </c>
      <c r="D54" s="31">
        <v>166</v>
      </c>
      <c r="E54" s="12" t="s">
        <v>178</v>
      </c>
    </row>
    <row r="55" spans="1:5" x14ac:dyDescent="0.35">
      <c r="A55" s="30">
        <v>46180</v>
      </c>
      <c r="B55" s="7" t="s">
        <v>122</v>
      </c>
      <c r="C55" s="2" t="s">
        <v>123</v>
      </c>
      <c r="D55" s="31">
        <v>71.8</v>
      </c>
      <c r="E55" s="12" t="s">
        <v>178</v>
      </c>
    </row>
    <row r="56" spans="1:5" x14ac:dyDescent="0.35">
      <c r="A56" s="30">
        <v>46180</v>
      </c>
      <c r="B56" s="7" t="s">
        <v>127</v>
      </c>
      <c r="C56" s="2" t="s">
        <v>128</v>
      </c>
      <c r="D56" s="31">
        <v>33.799999999999997</v>
      </c>
      <c r="E56" s="12" t="s">
        <v>178</v>
      </c>
    </row>
    <row r="57" spans="1:5" x14ac:dyDescent="0.35">
      <c r="A57" s="30">
        <v>46180</v>
      </c>
      <c r="B57" s="7" t="s">
        <v>129</v>
      </c>
      <c r="C57" s="2" t="s">
        <v>130</v>
      </c>
      <c r="D57" s="31">
        <v>95.5</v>
      </c>
      <c r="E57" s="12" t="s">
        <v>178</v>
      </c>
    </row>
    <row r="58" spans="1:5" x14ac:dyDescent="0.35">
      <c r="A58" s="30">
        <v>46180</v>
      </c>
      <c r="B58" s="7" t="s">
        <v>131</v>
      </c>
      <c r="C58" s="2" t="s">
        <v>132</v>
      </c>
      <c r="D58" s="31">
        <v>59.1</v>
      </c>
      <c r="E58" s="12" t="s">
        <v>178</v>
      </c>
    </row>
    <row r="59" spans="1:5" x14ac:dyDescent="0.35">
      <c r="A59" s="30">
        <v>46180</v>
      </c>
      <c r="B59" s="7" t="s">
        <v>133</v>
      </c>
      <c r="C59" s="2" t="s">
        <v>134</v>
      </c>
      <c r="D59" s="31">
        <v>209.8</v>
      </c>
      <c r="E59" s="12" t="s">
        <v>178</v>
      </c>
    </row>
    <row r="60" spans="1:5" x14ac:dyDescent="0.35">
      <c r="A60" s="30">
        <v>46181</v>
      </c>
      <c r="B60" s="7" t="s">
        <v>111</v>
      </c>
      <c r="C60" s="2" t="s">
        <v>112</v>
      </c>
      <c r="D60" s="31">
        <v>342.9</v>
      </c>
      <c r="E60" s="12" t="s">
        <v>178</v>
      </c>
    </row>
    <row r="61" spans="1:5" x14ac:dyDescent="0.35">
      <c r="A61" s="30">
        <v>46181</v>
      </c>
      <c r="B61" s="7" t="s">
        <v>117</v>
      </c>
      <c r="C61" s="2" t="s">
        <v>118</v>
      </c>
      <c r="D61" s="31">
        <v>243.4</v>
      </c>
      <c r="E61" s="12" t="s">
        <v>178</v>
      </c>
    </row>
    <row r="62" spans="1:5" x14ac:dyDescent="0.35">
      <c r="A62" s="30">
        <v>46181</v>
      </c>
      <c r="B62" s="7" t="s">
        <v>119</v>
      </c>
      <c r="C62" s="2" t="s">
        <v>120</v>
      </c>
      <c r="D62" s="31">
        <v>148.30000000000001</v>
      </c>
      <c r="E62" s="12" t="s">
        <v>178</v>
      </c>
    </row>
    <row r="63" spans="1:5" x14ac:dyDescent="0.35">
      <c r="A63" s="30">
        <v>46181</v>
      </c>
      <c r="B63" s="7" t="s">
        <v>122</v>
      </c>
      <c r="C63" s="2" t="s">
        <v>123</v>
      </c>
      <c r="D63" s="31">
        <v>60.8</v>
      </c>
      <c r="E63" s="12" t="s">
        <v>178</v>
      </c>
    </row>
    <row r="64" spans="1:5" x14ac:dyDescent="0.35">
      <c r="A64" s="30">
        <v>46181</v>
      </c>
      <c r="B64" s="7" t="s">
        <v>127</v>
      </c>
      <c r="C64" s="2" t="s">
        <v>128</v>
      </c>
      <c r="D64" s="31">
        <v>31.8</v>
      </c>
      <c r="E64" s="12" t="s">
        <v>178</v>
      </c>
    </row>
    <row r="65" spans="1:5" x14ac:dyDescent="0.35">
      <c r="A65" s="30">
        <v>46181</v>
      </c>
      <c r="B65" s="7" t="s">
        <v>129</v>
      </c>
      <c r="C65" s="2" t="s">
        <v>130</v>
      </c>
      <c r="D65" s="31">
        <v>66</v>
      </c>
      <c r="E65" s="12" t="s">
        <v>178</v>
      </c>
    </row>
    <row r="66" spans="1:5" x14ac:dyDescent="0.35">
      <c r="A66" s="30">
        <v>46181</v>
      </c>
      <c r="B66" s="7" t="s">
        <v>131</v>
      </c>
      <c r="C66" s="2" t="s">
        <v>132</v>
      </c>
      <c r="D66" s="31">
        <v>46.3</v>
      </c>
      <c r="E66" s="12" t="s">
        <v>178</v>
      </c>
    </row>
    <row r="67" spans="1:5" x14ac:dyDescent="0.35">
      <c r="A67" s="30">
        <v>46181</v>
      </c>
      <c r="B67" s="7" t="s">
        <v>133</v>
      </c>
      <c r="C67" s="2" t="s">
        <v>134</v>
      </c>
      <c r="D67" s="31">
        <v>181.9</v>
      </c>
      <c r="E67" s="12" t="s">
        <v>178</v>
      </c>
    </row>
    <row r="68" spans="1:5" x14ac:dyDescent="0.35">
      <c r="A68" s="30">
        <v>46182</v>
      </c>
      <c r="B68" s="7" t="s">
        <v>111</v>
      </c>
      <c r="C68" s="2" t="s">
        <v>112</v>
      </c>
      <c r="D68" s="31">
        <v>340.3</v>
      </c>
      <c r="E68" s="12" t="s">
        <v>178</v>
      </c>
    </row>
    <row r="69" spans="1:5" x14ac:dyDescent="0.35">
      <c r="A69" s="30">
        <v>46182</v>
      </c>
      <c r="B69" s="7" t="s">
        <v>117</v>
      </c>
      <c r="C69" s="2" t="s">
        <v>118</v>
      </c>
      <c r="D69" s="31">
        <v>189.2</v>
      </c>
      <c r="E69" s="12" t="s">
        <v>178</v>
      </c>
    </row>
    <row r="70" spans="1:5" x14ac:dyDescent="0.35">
      <c r="A70" s="30">
        <v>46182</v>
      </c>
      <c r="B70" s="7" t="s">
        <v>119</v>
      </c>
      <c r="C70" s="2" t="s">
        <v>120</v>
      </c>
      <c r="D70" s="31">
        <v>139.9</v>
      </c>
      <c r="E70" s="12" t="s">
        <v>178</v>
      </c>
    </row>
    <row r="71" spans="1:5" x14ac:dyDescent="0.35">
      <c r="A71" s="30">
        <v>46182</v>
      </c>
      <c r="B71" s="7" t="s">
        <v>122</v>
      </c>
      <c r="C71" s="2" t="s">
        <v>123</v>
      </c>
      <c r="D71" s="31">
        <v>56.9</v>
      </c>
      <c r="E71" s="12" t="s">
        <v>178</v>
      </c>
    </row>
    <row r="72" spans="1:5" x14ac:dyDescent="0.35">
      <c r="A72" s="30">
        <v>46182</v>
      </c>
      <c r="B72" s="7" t="s">
        <v>127</v>
      </c>
      <c r="C72" s="2" t="s">
        <v>128</v>
      </c>
      <c r="D72" s="31">
        <v>27.2</v>
      </c>
      <c r="E72" s="12" t="s">
        <v>178</v>
      </c>
    </row>
    <row r="73" spans="1:5" x14ac:dyDescent="0.35">
      <c r="A73" s="30">
        <v>46182</v>
      </c>
      <c r="B73" s="7" t="s">
        <v>129</v>
      </c>
      <c r="C73" s="2" t="s">
        <v>130</v>
      </c>
      <c r="D73" s="31">
        <v>68.900000000000006</v>
      </c>
      <c r="E73" s="12" t="s">
        <v>178</v>
      </c>
    </row>
    <row r="74" spans="1:5" x14ac:dyDescent="0.35">
      <c r="A74" s="30">
        <v>46182</v>
      </c>
      <c r="B74" s="7" t="s">
        <v>131</v>
      </c>
      <c r="C74" s="2" t="s">
        <v>132</v>
      </c>
      <c r="D74" s="31">
        <v>53.5</v>
      </c>
      <c r="E74" s="12" t="s">
        <v>178</v>
      </c>
    </row>
    <row r="75" spans="1:5" x14ac:dyDescent="0.35">
      <c r="A75" s="30">
        <v>46182</v>
      </c>
      <c r="B75" s="7" t="s">
        <v>133</v>
      </c>
      <c r="C75" s="2" t="s">
        <v>134</v>
      </c>
      <c r="D75" s="31">
        <v>220.5</v>
      </c>
      <c r="E75" s="12" t="s">
        <v>178</v>
      </c>
    </row>
    <row r="76" spans="1:5" x14ac:dyDescent="0.35">
      <c r="A76" s="30">
        <v>46183</v>
      </c>
      <c r="B76" s="7" t="s">
        <v>111</v>
      </c>
      <c r="C76" s="2" t="s">
        <v>112</v>
      </c>
      <c r="D76" s="31">
        <v>339</v>
      </c>
      <c r="E76" s="12" t="s">
        <v>178</v>
      </c>
    </row>
    <row r="77" spans="1:5" x14ac:dyDescent="0.35">
      <c r="A77" s="30">
        <v>46183</v>
      </c>
      <c r="B77" s="7" t="s">
        <v>117</v>
      </c>
      <c r="C77" s="2" t="s">
        <v>118</v>
      </c>
      <c r="D77" s="31">
        <v>207.8</v>
      </c>
      <c r="E77" s="12" t="s">
        <v>178</v>
      </c>
    </row>
    <row r="78" spans="1:5" x14ac:dyDescent="0.35">
      <c r="A78" s="30">
        <v>46183</v>
      </c>
      <c r="B78" s="7" t="s">
        <v>119</v>
      </c>
      <c r="C78" s="2" t="s">
        <v>120</v>
      </c>
      <c r="D78" s="31">
        <v>136.1</v>
      </c>
      <c r="E78" s="12" t="s">
        <v>178</v>
      </c>
    </row>
    <row r="79" spans="1:5" x14ac:dyDescent="0.35">
      <c r="A79" s="30">
        <v>46183</v>
      </c>
      <c r="B79" s="7" t="s">
        <v>122</v>
      </c>
      <c r="C79" s="2" t="s">
        <v>123</v>
      </c>
      <c r="D79" s="31">
        <v>53.2</v>
      </c>
      <c r="E79" s="12" t="s">
        <v>178</v>
      </c>
    </row>
    <row r="80" spans="1:5" x14ac:dyDescent="0.35">
      <c r="A80" s="30">
        <v>46183</v>
      </c>
      <c r="B80" s="7" t="s">
        <v>127</v>
      </c>
      <c r="C80" s="2" t="s">
        <v>128</v>
      </c>
      <c r="D80" s="31">
        <v>30.7</v>
      </c>
      <c r="E80" s="12" t="s">
        <v>178</v>
      </c>
    </row>
    <row r="81" spans="1:5" x14ac:dyDescent="0.35">
      <c r="A81" s="30">
        <v>46183</v>
      </c>
      <c r="B81" s="7" t="s">
        <v>129</v>
      </c>
      <c r="C81" s="2" t="s">
        <v>130</v>
      </c>
      <c r="D81" s="31">
        <v>63.5</v>
      </c>
      <c r="E81" s="12" t="s">
        <v>178</v>
      </c>
    </row>
    <row r="82" spans="1:5" x14ac:dyDescent="0.35">
      <c r="A82" s="30">
        <v>46183</v>
      </c>
      <c r="B82" s="7" t="s">
        <v>131</v>
      </c>
      <c r="C82" s="2" t="s">
        <v>132</v>
      </c>
      <c r="D82" s="31">
        <v>52</v>
      </c>
      <c r="E82" s="12" t="s">
        <v>178</v>
      </c>
    </row>
    <row r="83" spans="1:5" x14ac:dyDescent="0.35">
      <c r="A83" s="30">
        <v>46183</v>
      </c>
      <c r="B83" s="7" t="s">
        <v>133</v>
      </c>
      <c r="C83" s="2" t="s">
        <v>134</v>
      </c>
      <c r="D83" s="31">
        <v>201.4</v>
      </c>
      <c r="E83" s="12" t="s">
        <v>178</v>
      </c>
    </row>
    <row r="84" spans="1:5" x14ac:dyDescent="0.35">
      <c r="A84" s="30">
        <v>46184</v>
      </c>
      <c r="B84" s="7" t="s">
        <v>111</v>
      </c>
      <c r="C84" s="2" t="s">
        <v>112</v>
      </c>
      <c r="D84" s="31">
        <v>320.3</v>
      </c>
      <c r="E84" s="12" t="s">
        <v>178</v>
      </c>
    </row>
    <row r="85" spans="1:5" x14ac:dyDescent="0.35">
      <c r="A85" s="30">
        <v>46184</v>
      </c>
      <c r="B85" s="7" t="s">
        <v>117</v>
      </c>
      <c r="C85" s="2" t="s">
        <v>118</v>
      </c>
      <c r="D85" s="31">
        <v>224.6</v>
      </c>
      <c r="E85" s="12" t="s">
        <v>178</v>
      </c>
    </row>
    <row r="86" spans="1:5" x14ac:dyDescent="0.35">
      <c r="A86" s="30">
        <v>46184</v>
      </c>
      <c r="B86" s="7" t="s">
        <v>119</v>
      </c>
      <c r="C86" s="2" t="s">
        <v>120</v>
      </c>
      <c r="D86" s="31">
        <v>127.9</v>
      </c>
      <c r="E86" s="12" t="s">
        <v>178</v>
      </c>
    </row>
    <row r="87" spans="1:5" x14ac:dyDescent="0.35">
      <c r="A87" s="30">
        <v>46184</v>
      </c>
      <c r="B87" s="7" t="s">
        <v>122</v>
      </c>
      <c r="C87" s="2" t="s">
        <v>123</v>
      </c>
      <c r="D87" s="31">
        <v>54.8</v>
      </c>
      <c r="E87" s="12" t="s">
        <v>178</v>
      </c>
    </row>
    <row r="88" spans="1:5" x14ac:dyDescent="0.35">
      <c r="A88" s="30">
        <v>46184</v>
      </c>
      <c r="B88" s="7" t="s">
        <v>127</v>
      </c>
      <c r="C88" s="2" t="s">
        <v>128</v>
      </c>
      <c r="D88" s="31">
        <v>28.6</v>
      </c>
      <c r="E88" s="12" t="s">
        <v>178</v>
      </c>
    </row>
    <row r="89" spans="1:5" x14ac:dyDescent="0.35">
      <c r="A89" s="30">
        <v>46184</v>
      </c>
      <c r="B89" s="7" t="s">
        <v>129</v>
      </c>
      <c r="C89" s="2" t="s">
        <v>130</v>
      </c>
      <c r="D89" s="31">
        <v>72.3</v>
      </c>
      <c r="E89" s="12" t="s">
        <v>178</v>
      </c>
    </row>
    <row r="90" spans="1:5" x14ac:dyDescent="0.35">
      <c r="A90" s="30">
        <v>46184</v>
      </c>
      <c r="B90" s="7" t="s">
        <v>131</v>
      </c>
      <c r="C90" s="2" t="s">
        <v>132</v>
      </c>
      <c r="D90" s="31">
        <v>60.3</v>
      </c>
      <c r="E90" s="12" t="s">
        <v>178</v>
      </c>
    </row>
    <row r="91" spans="1:5" x14ac:dyDescent="0.35">
      <c r="A91" s="30">
        <v>46184</v>
      </c>
      <c r="B91" s="7" t="s">
        <v>133</v>
      </c>
      <c r="C91" s="2" t="s">
        <v>134</v>
      </c>
      <c r="D91" s="31">
        <v>199.7</v>
      </c>
      <c r="E91" s="12" t="s">
        <v>178</v>
      </c>
    </row>
    <row r="92" spans="1:5" x14ac:dyDescent="0.35">
      <c r="A92" s="30">
        <v>46185</v>
      </c>
      <c r="B92" s="7" t="s">
        <v>111</v>
      </c>
      <c r="C92" s="2" t="s">
        <v>112</v>
      </c>
      <c r="D92" s="31">
        <v>381.8</v>
      </c>
      <c r="E92" s="12" t="s">
        <v>178</v>
      </c>
    </row>
    <row r="93" spans="1:5" x14ac:dyDescent="0.35">
      <c r="A93" s="30">
        <v>46185</v>
      </c>
      <c r="B93" s="7" t="s">
        <v>117</v>
      </c>
      <c r="C93" s="2" t="s">
        <v>118</v>
      </c>
      <c r="D93" s="31">
        <v>256.39999999999998</v>
      </c>
      <c r="E93" s="12" t="s">
        <v>178</v>
      </c>
    </row>
    <row r="94" spans="1:5" x14ac:dyDescent="0.35">
      <c r="A94" s="30">
        <v>46185</v>
      </c>
      <c r="B94" s="7" t="s">
        <v>119</v>
      </c>
      <c r="C94" s="2" t="s">
        <v>120</v>
      </c>
      <c r="D94" s="31">
        <v>179.3</v>
      </c>
      <c r="E94" s="12" t="s">
        <v>178</v>
      </c>
    </row>
    <row r="95" spans="1:5" x14ac:dyDescent="0.35">
      <c r="A95" s="30">
        <v>46185</v>
      </c>
      <c r="B95" s="7" t="s">
        <v>122</v>
      </c>
      <c r="C95" s="2" t="s">
        <v>123</v>
      </c>
      <c r="D95" s="31">
        <v>70.7</v>
      </c>
      <c r="E95" s="12" t="s">
        <v>178</v>
      </c>
    </row>
    <row r="96" spans="1:5" x14ac:dyDescent="0.35">
      <c r="A96" s="30">
        <v>46185</v>
      </c>
      <c r="B96" s="7" t="s">
        <v>127</v>
      </c>
      <c r="C96" s="2" t="s">
        <v>128</v>
      </c>
      <c r="D96" s="31">
        <v>33.700000000000003</v>
      </c>
      <c r="E96" s="12" t="s">
        <v>178</v>
      </c>
    </row>
    <row r="97" spans="1:6" x14ac:dyDescent="0.35">
      <c r="A97" s="30">
        <v>46185</v>
      </c>
      <c r="B97" s="7" t="s">
        <v>129</v>
      </c>
      <c r="C97" s="2" t="s">
        <v>130</v>
      </c>
      <c r="D97" s="31">
        <v>70.8</v>
      </c>
      <c r="E97" s="12" t="s">
        <v>178</v>
      </c>
    </row>
    <row r="98" spans="1:6" x14ac:dyDescent="0.35">
      <c r="A98" s="30">
        <v>46185</v>
      </c>
      <c r="B98" s="7" t="s">
        <v>131</v>
      </c>
      <c r="C98" s="2" t="s">
        <v>132</v>
      </c>
      <c r="D98" s="31">
        <v>64.900000000000006</v>
      </c>
      <c r="E98" s="12" t="s">
        <v>178</v>
      </c>
    </row>
    <row r="99" spans="1:6" x14ac:dyDescent="0.35">
      <c r="A99" s="30">
        <v>46185</v>
      </c>
      <c r="B99" s="7" t="s">
        <v>133</v>
      </c>
      <c r="C99" s="2" t="s">
        <v>134</v>
      </c>
      <c r="D99" s="31">
        <v>226.7</v>
      </c>
      <c r="E99" s="12" t="s">
        <v>178</v>
      </c>
    </row>
    <row r="100" spans="1:6" x14ac:dyDescent="0.35">
      <c r="A100" s="30">
        <v>46186</v>
      </c>
      <c r="B100" s="7" t="s">
        <v>111</v>
      </c>
      <c r="C100" s="2" t="s">
        <v>112</v>
      </c>
      <c r="D100" s="31">
        <v>187</v>
      </c>
      <c r="E100" s="32" t="s">
        <v>179</v>
      </c>
      <c r="F100" s="1" t="s">
        <v>180</v>
      </c>
    </row>
    <row r="101" spans="1:6" x14ac:dyDescent="0.35">
      <c r="A101" s="30">
        <v>46186</v>
      </c>
      <c r="B101" s="7" t="s">
        <v>117</v>
      </c>
      <c r="C101" s="2" t="s">
        <v>118</v>
      </c>
      <c r="D101" s="31">
        <v>275.3</v>
      </c>
      <c r="E101" s="12" t="s">
        <v>178</v>
      </c>
    </row>
    <row r="102" spans="1:6" x14ac:dyDescent="0.35">
      <c r="A102" s="30">
        <v>46186</v>
      </c>
      <c r="B102" s="7" t="s">
        <v>119</v>
      </c>
      <c r="C102" s="2" t="s">
        <v>120</v>
      </c>
      <c r="D102" s="31">
        <v>208.1</v>
      </c>
      <c r="E102" s="12" t="s">
        <v>178</v>
      </c>
    </row>
    <row r="103" spans="1:6" x14ac:dyDescent="0.35">
      <c r="A103" s="30">
        <v>46186</v>
      </c>
      <c r="B103" s="7" t="s">
        <v>122</v>
      </c>
      <c r="C103" s="2" t="s">
        <v>123</v>
      </c>
      <c r="D103" s="31">
        <v>69.900000000000006</v>
      </c>
      <c r="E103" s="12" t="s">
        <v>178</v>
      </c>
    </row>
    <row r="104" spans="1:6" x14ac:dyDescent="0.35">
      <c r="A104" s="30">
        <v>46186</v>
      </c>
      <c r="B104" s="7" t="s">
        <v>127</v>
      </c>
      <c r="C104" s="2" t="s">
        <v>128</v>
      </c>
      <c r="D104" s="31">
        <v>40.6</v>
      </c>
      <c r="E104" s="12" t="s">
        <v>178</v>
      </c>
    </row>
    <row r="105" spans="1:6" x14ac:dyDescent="0.35">
      <c r="A105" s="30">
        <v>46186</v>
      </c>
      <c r="B105" s="7" t="s">
        <v>129</v>
      </c>
      <c r="C105" s="2" t="s">
        <v>130</v>
      </c>
      <c r="D105" s="31">
        <v>84.8</v>
      </c>
      <c r="E105" s="12" t="s">
        <v>178</v>
      </c>
    </row>
    <row r="106" spans="1:6" x14ac:dyDescent="0.35">
      <c r="A106" s="30">
        <v>46186</v>
      </c>
      <c r="B106" s="7" t="s">
        <v>131</v>
      </c>
      <c r="C106" s="2" t="s">
        <v>132</v>
      </c>
      <c r="D106" s="31">
        <v>63.3</v>
      </c>
      <c r="E106" s="12" t="s">
        <v>178</v>
      </c>
    </row>
    <row r="107" spans="1:6" x14ac:dyDescent="0.35">
      <c r="A107" s="30">
        <v>46186</v>
      </c>
      <c r="B107" s="7" t="s">
        <v>133</v>
      </c>
      <c r="C107" s="2" t="s">
        <v>134</v>
      </c>
      <c r="D107" s="31">
        <v>218.3</v>
      </c>
      <c r="E107" s="12" t="s">
        <v>178</v>
      </c>
    </row>
    <row r="108" spans="1:6" x14ac:dyDescent="0.35">
      <c r="A108" s="30">
        <v>46187</v>
      </c>
      <c r="B108" s="7" t="s">
        <v>111</v>
      </c>
      <c r="C108" s="2" t="s">
        <v>112</v>
      </c>
      <c r="D108" s="31">
        <v>386.3</v>
      </c>
      <c r="E108" s="12" t="s">
        <v>178</v>
      </c>
    </row>
    <row r="109" spans="1:6" x14ac:dyDescent="0.35">
      <c r="A109" s="30">
        <v>46187</v>
      </c>
      <c r="B109" s="7" t="s">
        <v>117</v>
      </c>
      <c r="C109" s="2" t="s">
        <v>118</v>
      </c>
      <c r="D109" s="31">
        <v>294.60000000000002</v>
      </c>
      <c r="E109" s="12" t="s">
        <v>178</v>
      </c>
    </row>
    <row r="110" spans="1:6" x14ac:dyDescent="0.35">
      <c r="A110" s="30">
        <v>46187</v>
      </c>
      <c r="B110" s="7" t="s">
        <v>119</v>
      </c>
      <c r="C110" s="2" t="s">
        <v>120</v>
      </c>
      <c r="D110" s="31">
        <v>183.8</v>
      </c>
      <c r="E110" s="12" t="s">
        <v>178</v>
      </c>
    </row>
    <row r="111" spans="1:6" x14ac:dyDescent="0.35">
      <c r="A111" s="30">
        <v>46187</v>
      </c>
      <c r="B111" s="7" t="s">
        <v>122</v>
      </c>
      <c r="C111" s="2" t="s">
        <v>123</v>
      </c>
      <c r="D111" s="31">
        <v>72.8</v>
      </c>
      <c r="E111" s="12" t="s">
        <v>178</v>
      </c>
    </row>
    <row r="112" spans="1:6" x14ac:dyDescent="0.35">
      <c r="A112" s="30">
        <v>46187</v>
      </c>
      <c r="B112" s="7" t="s">
        <v>127</v>
      </c>
      <c r="C112" s="2" t="s">
        <v>128</v>
      </c>
      <c r="D112" s="31">
        <v>27.9</v>
      </c>
      <c r="E112" s="12" t="s">
        <v>178</v>
      </c>
    </row>
    <row r="113" spans="1:5" x14ac:dyDescent="0.35">
      <c r="A113" s="30">
        <v>46187</v>
      </c>
      <c r="B113" s="7" t="s">
        <v>129</v>
      </c>
      <c r="C113" s="2" t="s">
        <v>130</v>
      </c>
      <c r="D113" s="31">
        <v>85.1</v>
      </c>
      <c r="E113" s="12" t="s">
        <v>178</v>
      </c>
    </row>
    <row r="114" spans="1:5" x14ac:dyDescent="0.35">
      <c r="A114" s="30">
        <v>46187</v>
      </c>
      <c r="B114" s="7" t="s">
        <v>131</v>
      </c>
      <c r="C114" s="2" t="s">
        <v>132</v>
      </c>
      <c r="D114" s="31">
        <v>66.099999999999994</v>
      </c>
      <c r="E114" s="12" t="s">
        <v>178</v>
      </c>
    </row>
    <row r="115" spans="1:5" x14ac:dyDescent="0.35">
      <c r="A115" s="30">
        <v>46187</v>
      </c>
      <c r="B115" s="7" t="s">
        <v>133</v>
      </c>
      <c r="C115" s="2" t="s">
        <v>134</v>
      </c>
      <c r="D115" s="31">
        <v>219.9</v>
      </c>
      <c r="E115" s="12" t="s">
        <v>178</v>
      </c>
    </row>
    <row r="116" spans="1:5" x14ac:dyDescent="0.35">
      <c r="A116" s="30">
        <v>46188</v>
      </c>
      <c r="B116" s="7" t="s">
        <v>111</v>
      </c>
      <c r="C116" s="2" t="s">
        <v>112</v>
      </c>
      <c r="D116" s="31">
        <v>306.8</v>
      </c>
      <c r="E116" s="12" t="s">
        <v>178</v>
      </c>
    </row>
    <row r="117" spans="1:5" x14ac:dyDescent="0.35">
      <c r="A117" s="30">
        <v>46188</v>
      </c>
      <c r="B117" s="7" t="s">
        <v>117</v>
      </c>
      <c r="C117" s="2" t="s">
        <v>118</v>
      </c>
      <c r="D117" s="31">
        <v>218.5</v>
      </c>
      <c r="E117" s="12" t="s">
        <v>178</v>
      </c>
    </row>
    <row r="118" spans="1:5" x14ac:dyDescent="0.35">
      <c r="A118" s="30">
        <v>46188</v>
      </c>
      <c r="B118" s="7" t="s">
        <v>119</v>
      </c>
      <c r="C118" s="2" t="s">
        <v>120</v>
      </c>
      <c r="D118" s="31">
        <v>162.19999999999999</v>
      </c>
      <c r="E118" s="12" t="s">
        <v>178</v>
      </c>
    </row>
    <row r="119" spans="1:5" x14ac:dyDescent="0.35">
      <c r="A119" s="30">
        <v>46188</v>
      </c>
      <c r="B119" s="7" t="s">
        <v>122</v>
      </c>
      <c r="C119" s="2" t="s">
        <v>123</v>
      </c>
      <c r="D119" s="31">
        <v>52.2</v>
      </c>
      <c r="E119" s="12" t="s">
        <v>178</v>
      </c>
    </row>
    <row r="120" spans="1:5" x14ac:dyDescent="0.35">
      <c r="A120" s="30">
        <v>46188</v>
      </c>
      <c r="B120" s="7" t="s">
        <v>127</v>
      </c>
      <c r="C120" s="2" t="s">
        <v>128</v>
      </c>
      <c r="D120" s="31">
        <v>27.5</v>
      </c>
      <c r="E120" s="12" t="s">
        <v>178</v>
      </c>
    </row>
    <row r="121" spans="1:5" x14ac:dyDescent="0.35">
      <c r="A121" s="30">
        <v>46188</v>
      </c>
      <c r="B121" s="7" t="s">
        <v>129</v>
      </c>
      <c r="C121" s="2" t="s">
        <v>130</v>
      </c>
      <c r="D121" s="31">
        <v>73.7</v>
      </c>
      <c r="E121" s="12" t="s">
        <v>178</v>
      </c>
    </row>
    <row r="122" spans="1:5" x14ac:dyDescent="0.35">
      <c r="A122" s="30">
        <v>46188</v>
      </c>
      <c r="B122" s="7" t="s">
        <v>131</v>
      </c>
      <c r="C122" s="2" t="s">
        <v>132</v>
      </c>
      <c r="D122" s="31">
        <v>50.4</v>
      </c>
      <c r="E122" s="12" t="s">
        <v>178</v>
      </c>
    </row>
    <row r="123" spans="1:5" x14ac:dyDescent="0.35">
      <c r="A123" s="30">
        <v>46188</v>
      </c>
      <c r="B123" s="7" t="s">
        <v>133</v>
      </c>
      <c r="C123" s="2" t="s">
        <v>134</v>
      </c>
      <c r="D123" s="31">
        <v>184.5</v>
      </c>
      <c r="E123" s="12" t="s">
        <v>178</v>
      </c>
    </row>
    <row r="124" spans="1:5" x14ac:dyDescent="0.35">
      <c r="A124" s="30">
        <v>46189</v>
      </c>
      <c r="B124" s="7" t="s">
        <v>111</v>
      </c>
      <c r="C124" s="2" t="s">
        <v>112</v>
      </c>
      <c r="D124" s="31">
        <v>318.7</v>
      </c>
      <c r="E124" s="12" t="s">
        <v>178</v>
      </c>
    </row>
    <row r="125" spans="1:5" x14ac:dyDescent="0.35">
      <c r="A125" s="30">
        <v>46189</v>
      </c>
      <c r="B125" s="7" t="s">
        <v>117</v>
      </c>
      <c r="C125" s="2" t="s">
        <v>118</v>
      </c>
      <c r="D125" s="31">
        <v>192.7</v>
      </c>
      <c r="E125" s="12" t="s">
        <v>178</v>
      </c>
    </row>
    <row r="126" spans="1:5" x14ac:dyDescent="0.35">
      <c r="A126" s="30">
        <v>46189</v>
      </c>
      <c r="B126" s="7" t="s">
        <v>119</v>
      </c>
      <c r="C126" s="2" t="s">
        <v>120</v>
      </c>
      <c r="D126" s="31">
        <v>142</v>
      </c>
      <c r="E126" s="12" t="s">
        <v>178</v>
      </c>
    </row>
    <row r="127" spans="1:5" x14ac:dyDescent="0.35">
      <c r="A127" s="30">
        <v>46189</v>
      </c>
      <c r="B127" s="7" t="s">
        <v>122</v>
      </c>
      <c r="C127" s="2" t="s">
        <v>123</v>
      </c>
      <c r="D127" s="31">
        <v>50.4</v>
      </c>
      <c r="E127" s="12" t="s">
        <v>178</v>
      </c>
    </row>
    <row r="128" spans="1:5" x14ac:dyDescent="0.35">
      <c r="A128" s="30">
        <v>46189</v>
      </c>
      <c r="B128" s="7" t="s">
        <v>127</v>
      </c>
      <c r="C128" s="2" t="s">
        <v>128</v>
      </c>
      <c r="D128" s="31">
        <v>29.9</v>
      </c>
      <c r="E128" s="12" t="s">
        <v>178</v>
      </c>
    </row>
    <row r="129" spans="1:5" x14ac:dyDescent="0.35">
      <c r="A129" s="30">
        <v>46189</v>
      </c>
      <c r="B129" s="7" t="s">
        <v>129</v>
      </c>
      <c r="C129" s="2" t="s">
        <v>130</v>
      </c>
      <c r="D129" s="31">
        <v>65.099999999999994</v>
      </c>
      <c r="E129" s="12" t="s">
        <v>178</v>
      </c>
    </row>
    <row r="130" spans="1:5" x14ac:dyDescent="0.35">
      <c r="A130" s="30">
        <v>46189</v>
      </c>
      <c r="B130" s="7" t="s">
        <v>131</v>
      </c>
      <c r="C130" s="2" t="s">
        <v>132</v>
      </c>
      <c r="D130" s="31">
        <v>60.5</v>
      </c>
      <c r="E130" s="12" t="s">
        <v>178</v>
      </c>
    </row>
    <row r="131" spans="1:5" x14ac:dyDescent="0.35">
      <c r="A131" s="30">
        <v>46189</v>
      </c>
      <c r="B131" s="7" t="s">
        <v>133</v>
      </c>
      <c r="C131" s="2" t="s">
        <v>134</v>
      </c>
      <c r="D131" s="31">
        <v>190.2</v>
      </c>
      <c r="E131" s="12" t="s">
        <v>178</v>
      </c>
    </row>
    <row r="132" spans="1:5" x14ac:dyDescent="0.35">
      <c r="A132" s="30">
        <v>46190</v>
      </c>
      <c r="B132" s="7" t="s">
        <v>111</v>
      </c>
      <c r="C132" s="2" t="s">
        <v>112</v>
      </c>
      <c r="D132" s="31">
        <v>358.3</v>
      </c>
      <c r="E132" s="12" t="s">
        <v>178</v>
      </c>
    </row>
    <row r="133" spans="1:5" x14ac:dyDescent="0.35">
      <c r="A133" s="30">
        <v>46190</v>
      </c>
      <c r="B133" s="7" t="s">
        <v>117</v>
      </c>
      <c r="C133" s="2" t="s">
        <v>118</v>
      </c>
      <c r="D133" s="31">
        <v>195.7</v>
      </c>
      <c r="E133" s="12" t="s">
        <v>178</v>
      </c>
    </row>
    <row r="134" spans="1:5" x14ac:dyDescent="0.35">
      <c r="A134" s="30">
        <v>46190</v>
      </c>
      <c r="B134" s="7" t="s">
        <v>119</v>
      </c>
      <c r="C134" s="2" t="s">
        <v>120</v>
      </c>
      <c r="D134" s="31">
        <v>141.1</v>
      </c>
      <c r="E134" s="12" t="s">
        <v>178</v>
      </c>
    </row>
    <row r="135" spans="1:5" x14ac:dyDescent="0.35">
      <c r="A135" s="30">
        <v>46190</v>
      </c>
      <c r="B135" s="7" t="s">
        <v>122</v>
      </c>
      <c r="C135" s="2" t="s">
        <v>123</v>
      </c>
      <c r="D135" s="31">
        <v>58.5</v>
      </c>
      <c r="E135" s="12" t="s">
        <v>178</v>
      </c>
    </row>
    <row r="136" spans="1:5" x14ac:dyDescent="0.35">
      <c r="A136" s="30">
        <v>46190</v>
      </c>
      <c r="B136" s="7" t="s">
        <v>127</v>
      </c>
      <c r="C136" s="2" t="s">
        <v>128</v>
      </c>
      <c r="D136" s="31">
        <v>32.5</v>
      </c>
      <c r="E136" s="12" t="s">
        <v>178</v>
      </c>
    </row>
    <row r="137" spans="1:5" x14ac:dyDescent="0.35">
      <c r="A137" s="30">
        <v>46190</v>
      </c>
      <c r="B137" s="7" t="s">
        <v>129</v>
      </c>
      <c r="C137" s="2" t="s">
        <v>130</v>
      </c>
      <c r="D137" s="31">
        <v>57.6</v>
      </c>
      <c r="E137" s="12" t="s">
        <v>178</v>
      </c>
    </row>
    <row r="138" spans="1:5" x14ac:dyDescent="0.35">
      <c r="A138" s="30">
        <v>46190</v>
      </c>
      <c r="B138" s="7" t="s">
        <v>131</v>
      </c>
      <c r="C138" s="2" t="s">
        <v>132</v>
      </c>
      <c r="D138" s="31">
        <v>56.4</v>
      </c>
      <c r="E138" s="12" t="s">
        <v>178</v>
      </c>
    </row>
    <row r="139" spans="1:5" x14ac:dyDescent="0.35">
      <c r="A139" s="30">
        <v>46190</v>
      </c>
      <c r="B139" s="7" t="s">
        <v>133</v>
      </c>
      <c r="C139" s="2" t="s">
        <v>134</v>
      </c>
      <c r="D139" s="31">
        <v>199</v>
      </c>
      <c r="E139" s="12" t="s">
        <v>178</v>
      </c>
    </row>
    <row r="140" spans="1:5" x14ac:dyDescent="0.35">
      <c r="A140" s="30">
        <v>46191</v>
      </c>
      <c r="B140" s="7" t="s">
        <v>111</v>
      </c>
      <c r="C140" s="2" t="s">
        <v>112</v>
      </c>
      <c r="D140" s="31">
        <v>381.7</v>
      </c>
      <c r="E140" s="12" t="s">
        <v>178</v>
      </c>
    </row>
    <row r="141" spans="1:5" x14ac:dyDescent="0.35">
      <c r="A141" s="30">
        <v>46191</v>
      </c>
      <c r="B141" s="7" t="s">
        <v>117</v>
      </c>
      <c r="C141" s="2" t="s">
        <v>118</v>
      </c>
      <c r="D141" s="31">
        <v>243.1</v>
      </c>
      <c r="E141" s="12" t="s">
        <v>178</v>
      </c>
    </row>
    <row r="142" spans="1:5" x14ac:dyDescent="0.35">
      <c r="A142" s="30">
        <v>46191</v>
      </c>
      <c r="B142" s="7" t="s">
        <v>119</v>
      </c>
      <c r="C142" s="2" t="s">
        <v>120</v>
      </c>
      <c r="D142" s="31">
        <v>150.6</v>
      </c>
      <c r="E142" s="12" t="s">
        <v>178</v>
      </c>
    </row>
    <row r="143" spans="1:5" x14ac:dyDescent="0.35">
      <c r="A143" s="30">
        <v>46191</v>
      </c>
      <c r="B143" s="7" t="s">
        <v>122</v>
      </c>
      <c r="C143" s="2" t="s">
        <v>123</v>
      </c>
      <c r="D143" s="31">
        <v>57.5</v>
      </c>
      <c r="E143" s="12" t="s">
        <v>178</v>
      </c>
    </row>
    <row r="144" spans="1:5" x14ac:dyDescent="0.35">
      <c r="A144" s="30">
        <v>46191</v>
      </c>
      <c r="B144" s="7" t="s">
        <v>127</v>
      </c>
      <c r="C144" s="2" t="s">
        <v>128</v>
      </c>
      <c r="D144" s="31">
        <v>27</v>
      </c>
      <c r="E144" s="12" t="s">
        <v>178</v>
      </c>
    </row>
    <row r="145" spans="1:5" x14ac:dyDescent="0.35">
      <c r="A145" s="30">
        <v>46191</v>
      </c>
      <c r="B145" s="7" t="s">
        <v>129</v>
      </c>
      <c r="C145" s="2" t="s">
        <v>130</v>
      </c>
      <c r="D145" s="31">
        <v>71.099999999999994</v>
      </c>
      <c r="E145" s="12" t="s">
        <v>178</v>
      </c>
    </row>
    <row r="146" spans="1:5" x14ac:dyDescent="0.35">
      <c r="A146" s="30">
        <v>46191</v>
      </c>
      <c r="B146" s="7" t="s">
        <v>131</v>
      </c>
      <c r="C146" s="2" t="s">
        <v>132</v>
      </c>
      <c r="D146" s="31">
        <v>54.2</v>
      </c>
      <c r="E146" s="12" t="s">
        <v>178</v>
      </c>
    </row>
    <row r="147" spans="1:5" x14ac:dyDescent="0.35">
      <c r="A147" s="30">
        <v>46191</v>
      </c>
      <c r="B147" s="7" t="s">
        <v>133</v>
      </c>
      <c r="C147" s="2" t="s">
        <v>134</v>
      </c>
      <c r="D147" s="31">
        <v>232.3</v>
      </c>
      <c r="E147" s="12" t="s">
        <v>178</v>
      </c>
    </row>
    <row r="148" spans="1:5" x14ac:dyDescent="0.35">
      <c r="A148" s="30">
        <v>46192</v>
      </c>
      <c r="B148" s="7" t="s">
        <v>111</v>
      </c>
      <c r="C148" s="2" t="s">
        <v>112</v>
      </c>
      <c r="D148" s="31">
        <v>355.7</v>
      </c>
      <c r="E148" s="12" t="s">
        <v>178</v>
      </c>
    </row>
    <row r="149" spans="1:5" x14ac:dyDescent="0.35">
      <c r="A149" s="30">
        <v>46192</v>
      </c>
      <c r="B149" s="7" t="s">
        <v>117</v>
      </c>
      <c r="C149" s="2" t="s">
        <v>118</v>
      </c>
      <c r="D149" s="31">
        <v>259.5</v>
      </c>
      <c r="E149" s="12" t="s">
        <v>178</v>
      </c>
    </row>
    <row r="150" spans="1:5" x14ac:dyDescent="0.35">
      <c r="A150" s="30">
        <v>46192</v>
      </c>
      <c r="B150" s="7" t="s">
        <v>119</v>
      </c>
      <c r="C150" s="2" t="s">
        <v>120</v>
      </c>
      <c r="D150" s="31">
        <v>144.30000000000001</v>
      </c>
      <c r="E150" s="12" t="s">
        <v>178</v>
      </c>
    </row>
    <row r="151" spans="1:5" x14ac:dyDescent="0.35">
      <c r="A151" s="30">
        <v>46192</v>
      </c>
      <c r="B151" s="7" t="s">
        <v>122</v>
      </c>
      <c r="C151" s="2" t="s">
        <v>123</v>
      </c>
      <c r="D151" s="31">
        <v>63.9</v>
      </c>
      <c r="E151" s="12" t="s">
        <v>178</v>
      </c>
    </row>
    <row r="152" spans="1:5" x14ac:dyDescent="0.35">
      <c r="A152" s="30">
        <v>46192</v>
      </c>
      <c r="B152" s="7" t="s">
        <v>127</v>
      </c>
      <c r="C152" s="2" t="s">
        <v>128</v>
      </c>
      <c r="D152" s="31">
        <v>33.700000000000003</v>
      </c>
      <c r="E152" s="12" t="s">
        <v>178</v>
      </c>
    </row>
    <row r="153" spans="1:5" x14ac:dyDescent="0.35">
      <c r="A153" s="30">
        <v>46192</v>
      </c>
      <c r="B153" s="7" t="s">
        <v>129</v>
      </c>
      <c r="C153" s="2" t="s">
        <v>130</v>
      </c>
      <c r="D153" s="31">
        <v>82.1</v>
      </c>
      <c r="E153" s="12" t="s">
        <v>178</v>
      </c>
    </row>
    <row r="154" spans="1:5" x14ac:dyDescent="0.35">
      <c r="A154" s="30">
        <v>46192</v>
      </c>
      <c r="B154" s="7" t="s">
        <v>131</v>
      </c>
      <c r="C154" s="2" t="s">
        <v>132</v>
      </c>
      <c r="D154" s="31">
        <v>67.5</v>
      </c>
      <c r="E154" s="12" t="s">
        <v>178</v>
      </c>
    </row>
    <row r="155" spans="1:5" x14ac:dyDescent="0.35">
      <c r="A155" s="30">
        <v>46192</v>
      </c>
      <c r="B155" s="7" t="s">
        <v>133</v>
      </c>
      <c r="C155" s="2" t="s">
        <v>134</v>
      </c>
      <c r="D155" s="31">
        <v>219.2</v>
      </c>
      <c r="E155" s="12" t="s">
        <v>178</v>
      </c>
    </row>
    <row r="156" spans="1:5" x14ac:dyDescent="0.35">
      <c r="A156" s="30">
        <v>46193</v>
      </c>
      <c r="B156" s="7" t="s">
        <v>111</v>
      </c>
      <c r="C156" s="2" t="s">
        <v>112</v>
      </c>
      <c r="D156" s="31">
        <v>371.5</v>
      </c>
      <c r="E156" s="12" t="s">
        <v>178</v>
      </c>
    </row>
    <row r="157" spans="1:5" x14ac:dyDescent="0.35">
      <c r="A157" s="30">
        <v>46193</v>
      </c>
      <c r="B157" s="7" t="s">
        <v>117</v>
      </c>
      <c r="C157" s="2" t="s">
        <v>118</v>
      </c>
      <c r="D157" s="31">
        <v>286.10000000000002</v>
      </c>
      <c r="E157" s="12" t="s">
        <v>178</v>
      </c>
    </row>
    <row r="158" spans="1:5" x14ac:dyDescent="0.35">
      <c r="A158" s="30">
        <v>46193</v>
      </c>
      <c r="B158" s="7" t="s">
        <v>119</v>
      </c>
      <c r="C158" s="2" t="s">
        <v>120</v>
      </c>
      <c r="D158" s="31">
        <v>187.4</v>
      </c>
      <c r="E158" s="12" t="s">
        <v>178</v>
      </c>
    </row>
    <row r="159" spans="1:5" x14ac:dyDescent="0.35">
      <c r="A159" s="30">
        <v>46193</v>
      </c>
      <c r="B159" s="7" t="s">
        <v>122</v>
      </c>
      <c r="C159" s="2" t="s">
        <v>123</v>
      </c>
      <c r="D159" s="31">
        <v>74.8</v>
      </c>
      <c r="E159" s="12" t="s">
        <v>178</v>
      </c>
    </row>
    <row r="160" spans="1:5" x14ac:dyDescent="0.35">
      <c r="A160" s="30">
        <v>46193</v>
      </c>
      <c r="B160" s="7" t="s">
        <v>127</v>
      </c>
      <c r="C160" s="2" t="s">
        <v>128</v>
      </c>
      <c r="D160" s="31">
        <v>34</v>
      </c>
      <c r="E160" s="12" t="s">
        <v>178</v>
      </c>
    </row>
    <row r="161" spans="1:5" x14ac:dyDescent="0.35">
      <c r="A161" s="30">
        <v>46193</v>
      </c>
      <c r="B161" s="7" t="s">
        <v>129</v>
      </c>
      <c r="C161" s="2" t="s">
        <v>130</v>
      </c>
      <c r="D161" s="31">
        <v>91.6</v>
      </c>
      <c r="E161" s="12" t="s">
        <v>178</v>
      </c>
    </row>
    <row r="162" spans="1:5" x14ac:dyDescent="0.35">
      <c r="A162" s="30">
        <v>46193</v>
      </c>
      <c r="B162" s="7" t="s">
        <v>131</v>
      </c>
      <c r="C162" s="2" t="s">
        <v>132</v>
      </c>
      <c r="D162" s="31">
        <v>66.5</v>
      </c>
      <c r="E162" s="12" t="s">
        <v>178</v>
      </c>
    </row>
    <row r="163" spans="1:5" x14ac:dyDescent="0.35">
      <c r="A163" s="30">
        <v>46193</v>
      </c>
      <c r="B163" s="7" t="s">
        <v>133</v>
      </c>
      <c r="C163" s="2" t="s">
        <v>134</v>
      </c>
      <c r="D163" s="31">
        <v>253.4</v>
      </c>
      <c r="E163" s="12" t="s">
        <v>178</v>
      </c>
    </row>
    <row r="164" spans="1:5" x14ac:dyDescent="0.35">
      <c r="A164" s="30">
        <v>46194</v>
      </c>
      <c r="B164" s="7" t="s">
        <v>111</v>
      </c>
      <c r="C164" s="2" t="s">
        <v>112</v>
      </c>
      <c r="D164" s="31">
        <v>430.9</v>
      </c>
      <c r="E164" s="12" t="s">
        <v>178</v>
      </c>
    </row>
    <row r="165" spans="1:5" x14ac:dyDescent="0.35">
      <c r="A165" s="30">
        <v>46194</v>
      </c>
      <c r="B165" s="7" t="s">
        <v>117</v>
      </c>
      <c r="C165" s="2" t="s">
        <v>118</v>
      </c>
      <c r="D165" s="31">
        <v>277.39999999999998</v>
      </c>
      <c r="E165" s="12" t="s">
        <v>178</v>
      </c>
    </row>
    <row r="166" spans="1:5" x14ac:dyDescent="0.35">
      <c r="A166" s="30">
        <v>46194</v>
      </c>
      <c r="B166" s="7" t="s">
        <v>119</v>
      </c>
      <c r="C166" s="2" t="s">
        <v>120</v>
      </c>
      <c r="D166" s="31">
        <v>176.5</v>
      </c>
      <c r="E166" s="12" t="s">
        <v>178</v>
      </c>
    </row>
    <row r="167" spans="1:5" x14ac:dyDescent="0.35">
      <c r="A167" s="30">
        <v>46194</v>
      </c>
      <c r="B167" s="7" t="s">
        <v>122</v>
      </c>
      <c r="C167" s="2" t="s">
        <v>123</v>
      </c>
      <c r="D167" s="31">
        <v>80.900000000000006</v>
      </c>
      <c r="E167" s="12" t="s">
        <v>178</v>
      </c>
    </row>
    <row r="168" spans="1:5" x14ac:dyDescent="0.35">
      <c r="A168" s="30">
        <v>46194</v>
      </c>
      <c r="B168" s="7" t="s">
        <v>127</v>
      </c>
      <c r="C168" s="2" t="s">
        <v>128</v>
      </c>
      <c r="D168" s="31">
        <v>35.200000000000003</v>
      </c>
      <c r="E168" s="12" t="s">
        <v>178</v>
      </c>
    </row>
    <row r="169" spans="1:5" x14ac:dyDescent="0.35">
      <c r="A169" s="30">
        <v>46194</v>
      </c>
      <c r="B169" s="7" t="s">
        <v>129</v>
      </c>
      <c r="C169" s="2" t="s">
        <v>130</v>
      </c>
      <c r="D169" s="31">
        <v>78.599999999999994</v>
      </c>
      <c r="E169" s="12" t="s">
        <v>178</v>
      </c>
    </row>
    <row r="170" spans="1:5" x14ac:dyDescent="0.35">
      <c r="A170" s="30">
        <v>46194</v>
      </c>
      <c r="B170" s="7" t="s">
        <v>131</v>
      </c>
      <c r="C170" s="2" t="s">
        <v>132</v>
      </c>
      <c r="D170" s="31">
        <v>63.8</v>
      </c>
      <c r="E170" s="12" t="s">
        <v>178</v>
      </c>
    </row>
    <row r="171" spans="1:5" x14ac:dyDescent="0.35">
      <c r="A171" s="30">
        <v>46194</v>
      </c>
      <c r="B171" s="7" t="s">
        <v>133</v>
      </c>
      <c r="C171" s="2" t="s">
        <v>134</v>
      </c>
      <c r="D171" s="31">
        <v>257.3</v>
      </c>
      <c r="E171" s="12" t="s">
        <v>178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topLeftCell="A3" zoomScaleNormal="100" workbookViewId="0"/>
  </sheetViews>
  <sheetFormatPr defaultColWidth="8.54296875" defaultRowHeight="14.5" x14ac:dyDescent="0.35"/>
  <cols>
    <col min="1" max="1" width="16" customWidth="1"/>
    <col min="2" max="2" width="18" customWidth="1"/>
    <col min="3" max="4" width="16" customWidth="1"/>
    <col min="5" max="5" width="30" customWidth="1"/>
  </cols>
  <sheetData>
    <row r="1" spans="1:5" ht="16.5" customHeight="1" x14ac:dyDescent="0.35">
      <c r="A1" s="73" t="s">
        <v>181</v>
      </c>
      <c r="B1" s="73"/>
      <c r="C1" s="73"/>
      <c r="D1" s="73"/>
      <c r="E1" s="73"/>
    </row>
    <row r="2" spans="1:5" x14ac:dyDescent="0.35">
      <c r="A2" s="1" t="s">
        <v>182</v>
      </c>
    </row>
    <row r="3" spans="1:5" x14ac:dyDescent="0.35">
      <c r="A3" s="71" t="s">
        <v>183</v>
      </c>
      <c r="B3" s="71"/>
      <c r="C3" s="71"/>
      <c r="D3" s="71"/>
      <c r="E3" s="71"/>
    </row>
    <row r="4" spans="1:5" x14ac:dyDescent="0.35">
      <c r="A4" s="75" t="s">
        <v>184</v>
      </c>
      <c r="B4" s="75"/>
      <c r="C4" s="75"/>
      <c r="D4" s="75"/>
      <c r="E4" s="75"/>
    </row>
    <row r="5" spans="1:5" x14ac:dyDescent="0.35">
      <c r="A5" s="6" t="s">
        <v>185</v>
      </c>
      <c r="B5" s="6" t="s">
        <v>186</v>
      </c>
    </row>
    <row r="6" spans="1:5" x14ac:dyDescent="0.35">
      <c r="A6" s="2" t="s">
        <v>187</v>
      </c>
      <c r="B6" s="33">
        <v>0.95</v>
      </c>
    </row>
    <row r="7" spans="1:5" x14ac:dyDescent="0.35">
      <c r="A7" s="2" t="s">
        <v>188</v>
      </c>
      <c r="B7" s="33">
        <v>0.93</v>
      </c>
    </row>
    <row r="8" spans="1:5" x14ac:dyDescent="0.35">
      <c r="A8" s="2" t="s">
        <v>189</v>
      </c>
      <c r="B8" s="33">
        <v>0.95</v>
      </c>
    </row>
    <row r="9" spans="1:5" x14ac:dyDescent="0.35">
      <c r="A9" s="2" t="s">
        <v>190</v>
      </c>
      <c r="B9" s="33">
        <v>1</v>
      </c>
    </row>
    <row r="10" spans="1:5" x14ac:dyDescent="0.35">
      <c r="A10" s="2" t="s">
        <v>191</v>
      </c>
      <c r="B10" s="33">
        <v>1.1000000000000001</v>
      </c>
    </row>
    <row r="11" spans="1:5" x14ac:dyDescent="0.35">
      <c r="A11" s="2" t="s">
        <v>192</v>
      </c>
      <c r="B11" s="33">
        <v>1.2</v>
      </c>
    </row>
    <row r="12" spans="1:5" x14ac:dyDescent="0.35">
      <c r="A12" s="2" t="s">
        <v>193</v>
      </c>
      <c r="B12" s="33">
        <v>1.1499999999999999</v>
      </c>
    </row>
    <row r="14" spans="1:5" x14ac:dyDescent="0.35">
      <c r="A14" s="71" t="s">
        <v>194</v>
      </c>
      <c r="B14" s="71"/>
      <c r="C14" s="71"/>
      <c r="D14" s="71"/>
      <c r="E14" s="71"/>
    </row>
    <row r="15" spans="1:5" x14ac:dyDescent="0.35">
      <c r="A15" s="75" t="s">
        <v>195</v>
      </c>
      <c r="B15" s="75"/>
      <c r="C15" s="75"/>
      <c r="D15" s="75"/>
      <c r="E15" s="75"/>
    </row>
    <row r="16" spans="1:5" x14ac:dyDescent="0.35">
      <c r="A16" s="6" t="s">
        <v>175</v>
      </c>
      <c r="B16" s="6" t="s">
        <v>196</v>
      </c>
      <c r="C16" s="6" t="s">
        <v>197</v>
      </c>
    </row>
    <row r="17" spans="1:3" x14ac:dyDescent="0.35">
      <c r="A17" s="34">
        <v>46466</v>
      </c>
      <c r="B17" s="33">
        <v>1.35</v>
      </c>
      <c r="C17" s="1" t="s">
        <v>198</v>
      </c>
    </row>
    <row r="18" spans="1:3" x14ac:dyDescent="0.35">
      <c r="A18" s="34"/>
      <c r="B18" s="33"/>
      <c r="C18" s="1"/>
    </row>
    <row r="19" spans="1:3" x14ac:dyDescent="0.35">
      <c r="A19" s="34"/>
      <c r="B19" s="33"/>
      <c r="C19" s="1"/>
    </row>
  </sheetData>
  <mergeCells count="5">
    <mergeCell ref="A1:E1"/>
    <mergeCell ref="A3:E3"/>
    <mergeCell ref="A4:E4"/>
    <mergeCell ref="A14:E14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zoomScaleNormal="100" workbookViewId="0"/>
  </sheetViews>
  <sheetFormatPr defaultColWidth="8.54296875" defaultRowHeight="14.5" x14ac:dyDescent="0.35"/>
  <cols>
    <col min="1" max="1" width="26" customWidth="1"/>
    <col min="2" max="3" width="14" customWidth="1"/>
    <col min="4" max="4" width="18" customWidth="1"/>
    <col min="5" max="7" width="12" customWidth="1"/>
  </cols>
  <sheetData>
    <row r="1" spans="1:7" ht="16.5" customHeight="1" x14ac:dyDescent="0.35">
      <c r="A1" s="73" t="s">
        <v>199</v>
      </c>
      <c r="B1" s="73"/>
      <c r="C1" s="73"/>
      <c r="D1" s="73"/>
      <c r="E1" s="73"/>
      <c r="F1" s="73"/>
      <c r="G1" s="73"/>
    </row>
    <row r="2" spans="1:7" x14ac:dyDescent="0.35">
      <c r="A2" s="1" t="s">
        <v>200</v>
      </c>
    </row>
    <row r="3" spans="1:7" x14ac:dyDescent="0.35">
      <c r="A3" s="6" t="s">
        <v>201</v>
      </c>
      <c r="B3" s="6" t="s">
        <v>202</v>
      </c>
      <c r="C3" s="6" t="s">
        <v>203</v>
      </c>
      <c r="D3" s="6" t="s">
        <v>204</v>
      </c>
      <c r="E3" s="6" t="s">
        <v>205</v>
      </c>
      <c r="F3" s="6" t="s">
        <v>206</v>
      </c>
      <c r="G3" s="6" t="s">
        <v>207</v>
      </c>
    </row>
    <row r="4" spans="1:7" x14ac:dyDescent="0.35">
      <c r="A4" s="2" t="s">
        <v>208</v>
      </c>
      <c r="B4" s="2" t="s">
        <v>209</v>
      </c>
      <c r="C4" s="35" t="s">
        <v>50</v>
      </c>
      <c r="D4" s="1" t="s">
        <v>210</v>
      </c>
      <c r="E4" s="35" t="s">
        <v>50</v>
      </c>
      <c r="F4" s="35" t="s">
        <v>50</v>
      </c>
      <c r="G4" s="35" t="s">
        <v>50</v>
      </c>
    </row>
    <row r="5" spans="1:7" x14ac:dyDescent="0.35">
      <c r="A5" s="2" t="s">
        <v>211</v>
      </c>
      <c r="B5" s="2" t="s">
        <v>212</v>
      </c>
      <c r="C5" s="35" t="s">
        <v>50</v>
      </c>
      <c r="D5" s="1" t="s">
        <v>210</v>
      </c>
      <c r="E5" s="35" t="s">
        <v>50</v>
      </c>
      <c r="F5" s="35" t="s">
        <v>50</v>
      </c>
      <c r="G5" s="35" t="s">
        <v>50</v>
      </c>
    </row>
    <row r="6" spans="1:7" x14ac:dyDescent="0.35">
      <c r="A6" s="2" t="s">
        <v>213</v>
      </c>
      <c r="B6" s="2" t="s">
        <v>209</v>
      </c>
      <c r="C6" s="35" t="s">
        <v>50</v>
      </c>
      <c r="D6" s="1" t="s">
        <v>210</v>
      </c>
      <c r="E6" s="35" t="s">
        <v>50</v>
      </c>
      <c r="F6" s="35" t="s">
        <v>50</v>
      </c>
      <c r="G6" s="35" t="s">
        <v>50</v>
      </c>
    </row>
    <row r="7" spans="1:7" x14ac:dyDescent="0.35">
      <c r="A7" s="2" t="s">
        <v>214</v>
      </c>
      <c r="B7" s="2" t="s">
        <v>215</v>
      </c>
      <c r="C7" s="35" t="s">
        <v>50</v>
      </c>
      <c r="D7" s="1" t="s">
        <v>210</v>
      </c>
      <c r="E7" s="35" t="s">
        <v>50</v>
      </c>
      <c r="F7" s="35" t="s">
        <v>50</v>
      </c>
      <c r="G7" s="35" t="s">
        <v>50</v>
      </c>
    </row>
    <row r="8" spans="1:7" x14ac:dyDescent="0.35">
      <c r="A8" s="2" t="s">
        <v>216</v>
      </c>
      <c r="B8" s="2" t="s">
        <v>217</v>
      </c>
      <c r="C8" s="35" t="s">
        <v>50</v>
      </c>
      <c r="D8" s="1" t="s">
        <v>210</v>
      </c>
      <c r="E8" s="35" t="s">
        <v>50</v>
      </c>
      <c r="F8" s="35" t="s">
        <v>50</v>
      </c>
      <c r="G8" s="35" t="s">
        <v>50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zoomScaleNormal="100" workbookViewId="0">
      <selection activeCell="C4" sqref="C4"/>
    </sheetView>
  </sheetViews>
  <sheetFormatPr defaultColWidth="8.54296875" defaultRowHeight="14.5" x14ac:dyDescent="0.35"/>
  <cols>
    <col min="1" max="1" width="10" customWidth="1"/>
    <col min="2" max="2" width="24" customWidth="1"/>
    <col min="3" max="3" width="18" customWidth="1"/>
    <col min="4" max="5" width="12" customWidth="1"/>
    <col min="6" max="6" width="16" customWidth="1"/>
    <col min="7" max="7" width="24" customWidth="1"/>
  </cols>
  <sheetData>
    <row r="1" spans="1:7" ht="16.5" customHeight="1" x14ac:dyDescent="0.35">
      <c r="A1" s="4" t="s">
        <v>218</v>
      </c>
      <c r="B1" s="4"/>
      <c r="C1" s="4"/>
      <c r="D1" s="4"/>
      <c r="E1" s="4"/>
      <c r="F1" s="4"/>
      <c r="G1" s="4"/>
    </row>
    <row r="2" spans="1:7" x14ac:dyDescent="0.35">
      <c r="A2" s="1" t="s">
        <v>219</v>
      </c>
    </row>
    <row r="3" spans="1:7" ht="25.5" customHeight="1" x14ac:dyDescent="0.35">
      <c r="A3" s="36" t="s">
        <v>102</v>
      </c>
      <c r="B3" s="36" t="s">
        <v>103</v>
      </c>
      <c r="C3" s="36" t="s">
        <v>220</v>
      </c>
      <c r="D3" s="36" t="s">
        <v>221</v>
      </c>
      <c r="E3" s="36" t="s">
        <v>222</v>
      </c>
      <c r="F3" s="36" t="s">
        <v>223</v>
      </c>
      <c r="G3" s="36" t="s">
        <v>78</v>
      </c>
    </row>
    <row r="4" spans="1:7" x14ac:dyDescent="0.35">
      <c r="A4" s="37" t="s">
        <v>111</v>
      </c>
      <c r="B4" s="2" t="s">
        <v>112</v>
      </c>
      <c r="C4" s="25">
        <f>IFERROR(AVERAGEIFS(I_Sales_History!$D:$D,I_Sales_History!$B:$B,A4,I_Sales_History!$E:$E,"Normal"),0)</f>
        <v>348.65263157894742</v>
      </c>
      <c r="D4" s="38">
        <f>COUNTIFS(I_Sales_History!$B:$B,A4)</f>
        <v>21</v>
      </c>
      <c r="E4" s="39">
        <f>COUNTIFS(I_Sales_History!$B:$B,A4,I_Sales_History!$E:$E,"Stockout")</f>
        <v>2</v>
      </c>
      <c r="F4" s="21">
        <v>0</v>
      </c>
      <c r="G4" s="1" t="s">
        <v>224</v>
      </c>
    </row>
    <row r="5" spans="1:7" x14ac:dyDescent="0.35">
      <c r="A5" s="37" t="s">
        <v>117</v>
      </c>
      <c r="B5" s="2" t="s">
        <v>118</v>
      </c>
      <c r="C5" s="25">
        <f>IFERROR(AVERAGEIFS(I_Sales_History!$D:$D,I_Sales_History!$B:$B,A5,I_Sales_History!$E:$E,"Normal"),0)</f>
        <v>239.15238095238095</v>
      </c>
      <c r="D5" s="38">
        <f>COUNTIFS(I_Sales_History!$B:$B,A5)</f>
        <v>21</v>
      </c>
      <c r="E5" s="39">
        <f>COUNTIFS(I_Sales_History!$B:$B,A5,I_Sales_History!$E:$E,"Stockout")</f>
        <v>0</v>
      </c>
      <c r="F5" s="21">
        <v>0</v>
      </c>
      <c r="G5" s="1"/>
    </row>
    <row r="6" spans="1:7" x14ac:dyDescent="0.35">
      <c r="A6" s="37" t="s">
        <v>119</v>
      </c>
      <c r="B6" s="2" t="s">
        <v>120</v>
      </c>
      <c r="C6" s="25">
        <f>IFERROR(AVERAGEIFS(I_Sales_History!$D:$D,I_Sales_History!$B:$B,A6,I_Sales_History!$E:$E,"Normal"),0)</f>
        <v>157.56190476190474</v>
      </c>
      <c r="D6" s="38">
        <f>COUNTIFS(I_Sales_History!$B:$B,A6)</f>
        <v>21</v>
      </c>
      <c r="E6" s="39">
        <f>COUNTIFS(I_Sales_History!$B:$B,A6,I_Sales_History!$E:$E,"Stockout")</f>
        <v>0</v>
      </c>
      <c r="F6" s="21">
        <v>0</v>
      </c>
      <c r="G6" s="1"/>
    </row>
    <row r="7" spans="1:7" x14ac:dyDescent="0.35">
      <c r="A7" s="37" t="s">
        <v>122</v>
      </c>
      <c r="B7" s="2" t="s">
        <v>123</v>
      </c>
      <c r="C7" s="25">
        <f>IFERROR(AVERAGEIFS(I_Sales_History!$D:$D,I_Sales_History!$B:$B,A7,I_Sales_History!$E:$E,"Normal"),0)</f>
        <v>63.585714285714282</v>
      </c>
      <c r="D7" s="38">
        <f>COUNTIFS(I_Sales_History!$B:$B,A7)</f>
        <v>21</v>
      </c>
      <c r="E7" s="39">
        <f>COUNTIFS(I_Sales_History!$B:$B,A7,I_Sales_History!$E:$E,"Stockout")</f>
        <v>0</v>
      </c>
      <c r="F7" s="21">
        <v>0</v>
      </c>
      <c r="G7" s="1"/>
    </row>
    <row r="8" spans="1:7" x14ac:dyDescent="0.35">
      <c r="A8" s="37" t="s">
        <v>127</v>
      </c>
      <c r="B8" s="2" t="s">
        <v>128</v>
      </c>
      <c r="C8" s="25">
        <f>IFERROR(AVERAGEIFS(I_Sales_History!$D:$D,I_Sales_History!$B:$B,A8,I_Sales_History!$E:$E,"Normal"),0)</f>
        <v>31.709523809523812</v>
      </c>
      <c r="D8" s="38">
        <f>COUNTIFS(I_Sales_History!$B:$B,A8)</f>
        <v>21</v>
      </c>
      <c r="E8" s="39">
        <f>COUNTIFS(I_Sales_History!$B:$B,A8,I_Sales_History!$E:$E,"Stockout")</f>
        <v>0</v>
      </c>
      <c r="F8" s="21">
        <v>0</v>
      </c>
      <c r="G8" s="1"/>
    </row>
    <row r="9" spans="1:7" x14ac:dyDescent="0.35">
      <c r="A9" s="37" t="s">
        <v>129</v>
      </c>
      <c r="B9" s="2" t="s">
        <v>130</v>
      </c>
      <c r="C9" s="25">
        <f>IFERROR(AVERAGEIFS(I_Sales_History!$D:$D,I_Sales_History!$B:$B,A9,I_Sales_History!$E:$E,"Normal"),0)</f>
        <v>72.828571428571394</v>
      </c>
      <c r="D9" s="38">
        <f>COUNTIFS(I_Sales_History!$B:$B,A9)</f>
        <v>21</v>
      </c>
      <c r="E9" s="39">
        <f>COUNTIFS(I_Sales_History!$B:$B,A9,I_Sales_History!$E:$E,"Stockout")</f>
        <v>0</v>
      </c>
      <c r="F9" s="21">
        <v>0</v>
      </c>
      <c r="G9" s="1"/>
    </row>
    <row r="10" spans="1:7" x14ac:dyDescent="0.35">
      <c r="A10" s="37" t="s">
        <v>131</v>
      </c>
      <c r="B10" s="2" t="s">
        <v>132</v>
      </c>
      <c r="C10" s="25">
        <f>IFERROR(AVERAGEIFS(I_Sales_History!$D:$D,I_Sales_History!$B:$B,A10,I_Sales_History!$E:$E,"Normal"),0)</f>
        <v>58.519047619047612</v>
      </c>
      <c r="D10" s="38">
        <f>COUNTIFS(I_Sales_History!$B:$B,A10)</f>
        <v>21</v>
      </c>
      <c r="E10" s="39">
        <f>COUNTIFS(I_Sales_History!$B:$B,A10,I_Sales_History!$E:$E,"Stockout")</f>
        <v>0</v>
      </c>
      <c r="F10" s="21">
        <v>0</v>
      </c>
      <c r="G10" s="1"/>
    </row>
    <row r="11" spans="1:7" x14ac:dyDescent="0.35">
      <c r="A11" s="37" t="s">
        <v>133</v>
      </c>
      <c r="B11" s="2" t="s">
        <v>134</v>
      </c>
      <c r="C11" s="25">
        <f>IFERROR(AVERAGEIFS(I_Sales_History!$D:$D,I_Sales_History!$B:$B,A11,I_Sales_History!$E:$E,"Normal"),0)</f>
        <v>209.32380952380953</v>
      </c>
      <c r="D11" s="38">
        <f>COUNTIFS(I_Sales_History!$B:$B,A11)</f>
        <v>21</v>
      </c>
      <c r="E11" s="39">
        <f>COUNTIFS(I_Sales_History!$B:$B,A11,I_Sales_History!$E:$E,"Stockout")</f>
        <v>0</v>
      </c>
      <c r="F11" s="21">
        <v>0</v>
      </c>
      <c r="G1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topLeftCell="A5" zoomScaleNormal="100" workbookViewId="0">
      <selection activeCell="A14" sqref="A14"/>
    </sheetView>
  </sheetViews>
  <sheetFormatPr defaultColWidth="8.54296875" defaultRowHeight="14.5" x14ac:dyDescent="0.35"/>
  <cols>
    <col min="1" max="2" width="16" customWidth="1"/>
    <col min="3" max="5" width="12" customWidth="1"/>
    <col min="6" max="6" width="24" customWidth="1"/>
  </cols>
  <sheetData>
    <row r="1" spans="1:6" ht="16.5" customHeight="1" x14ac:dyDescent="0.35">
      <c r="A1" s="4" t="s">
        <v>225</v>
      </c>
      <c r="B1" s="4"/>
      <c r="C1" s="4"/>
      <c r="D1" s="4"/>
      <c r="E1" s="4"/>
      <c r="F1" s="4"/>
    </row>
    <row r="3" spans="1:6" x14ac:dyDescent="0.35">
      <c r="A3" s="3" t="s">
        <v>226</v>
      </c>
      <c r="B3" s="3"/>
      <c r="C3" s="3"/>
      <c r="D3" s="3"/>
      <c r="E3" s="3"/>
      <c r="F3" s="3"/>
    </row>
    <row r="4" spans="1:6" x14ac:dyDescent="0.35">
      <c r="A4" s="6" t="s">
        <v>110</v>
      </c>
      <c r="B4" s="6" t="s">
        <v>227</v>
      </c>
      <c r="C4" s="6" t="s">
        <v>228</v>
      </c>
      <c r="D4" s="6" t="s">
        <v>229</v>
      </c>
    </row>
    <row r="5" spans="1:6" x14ac:dyDescent="0.35">
      <c r="A5" s="2" t="s">
        <v>135</v>
      </c>
      <c r="B5" s="33">
        <v>0.97</v>
      </c>
      <c r="C5" s="33">
        <v>1.03</v>
      </c>
      <c r="D5" s="75" t="s">
        <v>230</v>
      </c>
      <c r="E5" s="75"/>
      <c r="F5" s="75"/>
    </row>
    <row r="6" spans="1:6" x14ac:dyDescent="0.35">
      <c r="A6" s="2" t="s">
        <v>115</v>
      </c>
      <c r="B6" s="33">
        <v>0.93</v>
      </c>
      <c r="C6" s="33">
        <v>1.07</v>
      </c>
      <c r="D6" s="75" t="s">
        <v>231</v>
      </c>
      <c r="E6" s="75"/>
      <c r="F6" s="75"/>
    </row>
    <row r="7" spans="1:6" x14ac:dyDescent="0.35">
      <c r="A7" s="2" t="s">
        <v>125</v>
      </c>
      <c r="B7" s="33">
        <v>0.85</v>
      </c>
      <c r="C7" s="33">
        <v>1.1499999999999999</v>
      </c>
      <c r="D7" s="75" t="s">
        <v>232</v>
      </c>
      <c r="E7" s="75"/>
      <c r="F7" s="75"/>
    </row>
    <row r="9" spans="1:6" x14ac:dyDescent="0.35">
      <c r="A9" s="3" t="s">
        <v>233</v>
      </c>
      <c r="B9" s="3"/>
      <c r="C9" s="3"/>
      <c r="D9" s="3"/>
      <c r="E9" s="3"/>
      <c r="F9" s="3"/>
    </row>
    <row r="10" spans="1:6" x14ac:dyDescent="0.35">
      <c r="A10" s="2" t="s">
        <v>234</v>
      </c>
      <c r="B10" s="40">
        <f>IF(I_Live_Bird!$B$17="On",1,1)</f>
        <v>1</v>
      </c>
    </row>
    <row r="11" spans="1:6" x14ac:dyDescent="0.35">
      <c r="A11" s="2" t="s">
        <v>235</v>
      </c>
      <c r="B11" s="40">
        <v>1</v>
      </c>
    </row>
    <row r="12" spans="1:6" x14ac:dyDescent="0.35">
      <c r="A12" s="2" t="s">
        <v>236</v>
      </c>
      <c r="B12" s="40">
        <f>IF(I_Live_Bird!$B$17="On",1,1)</f>
        <v>1</v>
      </c>
    </row>
    <row r="14" spans="1:6" x14ac:dyDescent="0.35">
      <c r="A14" s="3" t="s">
        <v>237</v>
      </c>
      <c r="B14" s="3"/>
      <c r="C14" s="3"/>
      <c r="D14" s="3"/>
      <c r="E14" s="3"/>
      <c r="F14" s="3"/>
    </row>
    <row r="15" spans="1:6" x14ac:dyDescent="0.35">
      <c r="A15" s="6" t="s">
        <v>102</v>
      </c>
      <c r="B15" s="6" t="s">
        <v>103</v>
      </c>
      <c r="C15" s="6" t="s">
        <v>110</v>
      </c>
      <c r="D15" s="6" t="s">
        <v>238</v>
      </c>
      <c r="E15" s="6" t="s">
        <v>239</v>
      </c>
      <c r="F15" s="6" t="s">
        <v>240</v>
      </c>
    </row>
    <row r="16" spans="1:6" x14ac:dyDescent="0.35">
      <c r="A16" s="37" t="s">
        <v>111</v>
      </c>
      <c r="B16" s="2" t="s">
        <v>112</v>
      </c>
      <c r="C16" s="41" t="str">
        <f>I_Products!$I$4</f>
        <v>Neutral</v>
      </c>
      <c r="D16" s="42">
        <f>IFERROR(VLOOKUP(C16,O_Scenario_Multipliers!$A$5:$C$7,2,FALSE()),1)</f>
        <v>0.93</v>
      </c>
      <c r="E16" s="42">
        <v>1</v>
      </c>
      <c r="F16" s="42">
        <f>IFERROR(VLOOKUP(C16,O_Scenario_Multipliers!$A$5:$C$7,3,FALSE()),1)</f>
        <v>1.07</v>
      </c>
    </row>
    <row r="17" spans="1:6" x14ac:dyDescent="0.35">
      <c r="A17" s="37" t="s">
        <v>117</v>
      </c>
      <c r="B17" s="2" t="s">
        <v>118</v>
      </c>
      <c r="C17" s="41" t="str">
        <f>I_Products!$I$5</f>
        <v>Neutral</v>
      </c>
      <c r="D17" s="42">
        <f>IFERROR(VLOOKUP(C17,O_Scenario_Multipliers!$A$5:$C$7,2,FALSE()),1)</f>
        <v>0.93</v>
      </c>
      <c r="E17" s="42">
        <v>1</v>
      </c>
      <c r="F17" s="42">
        <f>IFERROR(VLOOKUP(C17,O_Scenario_Multipliers!$A$5:$C$7,3,FALSE()),1)</f>
        <v>1.07</v>
      </c>
    </row>
    <row r="18" spans="1:6" x14ac:dyDescent="0.35">
      <c r="A18" s="37" t="s">
        <v>119</v>
      </c>
      <c r="B18" s="2" t="s">
        <v>120</v>
      </c>
      <c r="C18" s="41" t="str">
        <f>I_Products!$I$6</f>
        <v>Neutral</v>
      </c>
      <c r="D18" s="42">
        <f>IFERROR(VLOOKUP(C18,O_Scenario_Multipliers!$A$5:$C$7,2,FALSE()),1)</f>
        <v>0.93</v>
      </c>
      <c r="E18" s="42">
        <v>1</v>
      </c>
      <c r="F18" s="42">
        <f>IFERROR(VLOOKUP(C18,O_Scenario_Multipliers!$A$5:$C$7,3,FALSE()),1)</f>
        <v>1.07</v>
      </c>
    </row>
    <row r="19" spans="1:6" x14ac:dyDescent="0.35">
      <c r="A19" s="37" t="s">
        <v>122</v>
      </c>
      <c r="B19" s="2" t="s">
        <v>123</v>
      </c>
      <c r="C19" s="41" t="str">
        <f>I_Products!$I$7</f>
        <v>Cyclical</v>
      </c>
      <c r="D19" s="42">
        <f>IFERROR(VLOOKUP(C19,O_Scenario_Multipliers!$A$5:$C$7,2,FALSE()),1)</f>
        <v>0.85</v>
      </c>
      <c r="E19" s="42">
        <v>1</v>
      </c>
      <c r="F19" s="42">
        <f>IFERROR(VLOOKUP(C19,O_Scenario_Multipliers!$A$5:$C$7,3,FALSE()),1)</f>
        <v>1.1499999999999999</v>
      </c>
    </row>
    <row r="20" spans="1:6" x14ac:dyDescent="0.35">
      <c r="A20" s="37" t="s">
        <v>127</v>
      </c>
      <c r="B20" s="2" t="s">
        <v>128</v>
      </c>
      <c r="C20" s="41" t="str">
        <f>I_Products!$I$8</f>
        <v>Cyclical</v>
      </c>
      <c r="D20" s="42">
        <f>IFERROR(VLOOKUP(C20,O_Scenario_Multipliers!$A$5:$C$7,2,FALSE()),1)</f>
        <v>0.85</v>
      </c>
      <c r="E20" s="42">
        <v>1</v>
      </c>
      <c r="F20" s="42">
        <f>IFERROR(VLOOKUP(C20,O_Scenario_Multipliers!$A$5:$C$7,3,FALSE()),1)</f>
        <v>1.1499999999999999</v>
      </c>
    </row>
    <row r="21" spans="1:6" x14ac:dyDescent="0.35">
      <c r="A21" s="37" t="s">
        <v>129</v>
      </c>
      <c r="B21" s="2" t="s">
        <v>130</v>
      </c>
      <c r="C21" s="41" t="str">
        <f>I_Products!$I$9</f>
        <v>Cyclical</v>
      </c>
      <c r="D21" s="42">
        <f>IFERROR(VLOOKUP(C21,O_Scenario_Multipliers!$A$5:$C$7,2,FALSE()),1)</f>
        <v>0.85</v>
      </c>
      <c r="E21" s="42">
        <v>1</v>
      </c>
      <c r="F21" s="42">
        <f>IFERROR(VLOOKUP(C21,O_Scenario_Multipliers!$A$5:$C$7,3,FALSE()),1)</f>
        <v>1.1499999999999999</v>
      </c>
    </row>
    <row r="22" spans="1:6" x14ac:dyDescent="0.35">
      <c r="A22" s="37" t="s">
        <v>131</v>
      </c>
      <c r="B22" s="2" t="s">
        <v>132</v>
      </c>
      <c r="C22" s="41" t="str">
        <f>I_Products!$I$10</f>
        <v>Cyclical</v>
      </c>
      <c r="D22" s="42">
        <f>IFERROR(VLOOKUP(C22,O_Scenario_Multipliers!$A$5:$C$7,2,FALSE()),1)</f>
        <v>0.85</v>
      </c>
      <c r="E22" s="42">
        <v>1</v>
      </c>
      <c r="F22" s="42">
        <f>IFERROR(VLOOKUP(C22,O_Scenario_Multipliers!$A$5:$C$7,3,FALSE()),1)</f>
        <v>1.1499999999999999</v>
      </c>
    </row>
    <row r="23" spans="1:6" x14ac:dyDescent="0.35">
      <c r="A23" s="37" t="s">
        <v>133</v>
      </c>
      <c r="B23" s="2" t="s">
        <v>134</v>
      </c>
      <c r="C23" s="41" t="str">
        <f>I_Products!$I$11</f>
        <v>Defensive</v>
      </c>
      <c r="D23" s="42">
        <f>IFERROR(VLOOKUP(C23,O_Scenario_Multipliers!$A$5:$C$7,2,FALSE()),1)</f>
        <v>0.97</v>
      </c>
      <c r="E23" s="42">
        <v>1</v>
      </c>
      <c r="F23" s="42">
        <f>IFERROR(VLOOKUP(C23,O_Scenario_Multipliers!$A$5:$C$7,3,FALSE()),1)</f>
        <v>1.03</v>
      </c>
    </row>
  </sheetData>
  <mergeCells count="3">
    <mergeCell ref="D5:F5"/>
    <mergeCell ref="D6:F6"/>
    <mergeCell ref="D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zoomScaleNormal="100" workbookViewId="0"/>
  </sheetViews>
  <sheetFormatPr defaultColWidth="8.54296875" defaultRowHeight="14.5" x14ac:dyDescent="0.35"/>
  <cols>
    <col min="1" max="1" width="10" customWidth="1"/>
    <col min="2" max="2" width="24" customWidth="1"/>
    <col min="3" max="3" width="14" customWidth="1"/>
    <col min="4" max="4" width="10" customWidth="1"/>
    <col min="5" max="7" width="12" customWidth="1"/>
  </cols>
  <sheetData>
    <row r="1" spans="1:7" ht="16.5" customHeight="1" x14ac:dyDescent="0.35">
      <c r="A1" s="73" t="s">
        <v>241</v>
      </c>
      <c r="B1" s="73"/>
      <c r="C1" s="73"/>
      <c r="D1" s="73"/>
      <c r="E1" s="73"/>
      <c r="F1" s="73"/>
      <c r="G1" s="73"/>
    </row>
    <row r="2" spans="1:7" x14ac:dyDescent="0.35">
      <c r="A2" s="1" t="s">
        <v>242</v>
      </c>
    </row>
    <row r="3" spans="1:7" x14ac:dyDescent="0.35">
      <c r="A3" s="6" t="s">
        <v>102</v>
      </c>
      <c r="B3" s="6" t="s">
        <v>103</v>
      </c>
      <c r="C3" s="6" t="s">
        <v>243</v>
      </c>
      <c r="D3" s="6" t="s">
        <v>244</v>
      </c>
      <c r="E3" s="6" t="s">
        <v>245</v>
      </c>
      <c r="F3" s="6" t="s">
        <v>246</v>
      </c>
      <c r="G3" s="6" t="s">
        <v>247</v>
      </c>
    </row>
    <row r="4" spans="1:7" x14ac:dyDescent="0.35">
      <c r="A4" s="37" t="s">
        <v>111</v>
      </c>
      <c r="B4" s="2" t="s">
        <v>112</v>
      </c>
      <c r="C4" s="43">
        <f>O_Demand_Rate!$C$4</f>
        <v>348.65263157894742</v>
      </c>
      <c r="D4" s="21">
        <v>0.12</v>
      </c>
      <c r="E4" s="25">
        <f t="shared" ref="E4:E11" si="0">C4*D4</f>
        <v>41.83831578947369</v>
      </c>
      <c r="F4" s="25">
        <f t="shared" ref="F4:F11" si="1">IFERROR(NORMINV(0.1,C4,E4),0)</f>
        <v>295.03467247919804</v>
      </c>
      <c r="G4" s="25">
        <f t="shared" ref="G4:G11" si="2">IFERROR(NORMINV(0.9,C4,E4),0)</f>
        <v>402.27059067869681</v>
      </c>
    </row>
    <row r="5" spans="1:7" x14ac:dyDescent="0.35">
      <c r="A5" s="37" t="s">
        <v>117</v>
      </c>
      <c r="B5" s="2" t="s">
        <v>118</v>
      </c>
      <c r="C5" s="43">
        <f>O_Demand_Rate!$C$5</f>
        <v>239.15238095238095</v>
      </c>
      <c r="D5" s="21">
        <v>0.12</v>
      </c>
      <c r="E5" s="25">
        <f t="shared" si="0"/>
        <v>28.698285714285714</v>
      </c>
      <c r="F5" s="25">
        <f t="shared" si="1"/>
        <v>202.37404796679186</v>
      </c>
      <c r="G5" s="25">
        <f t="shared" si="2"/>
        <v>275.93071393797004</v>
      </c>
    </row>
    <row r="6" spans="1:7" x14ac:dyDescent="0.35">
      <c r="A6" s="37" t="s">
        <v>119</v>
      </c>
      <c r="B6" s="2" t="s">
        <v>120</v>
      </c>
      <c r="C6" s="43">
        <f>O_Demand_Rate!$C$6</f>
        <v>157.56190476190474</v>
      </c>
      <c r="D6" s="21">
        <v>0.12</v>
      </c>
      <c r="E6" s="25">
        <f t="shared" si="0"/>
        <v>18.907428571428568</v>
      </c>
      <c r="F6" s="25">
        <f t="shared" si="1"/>
        <v>133.33106007576774</v>
      </c>
      <c r="G6" s="25">
        <f t="shared" si="2"/>
        <v>181.79274944804175</v>
      </c>
    </row>
    <row r="7" spans="1:7" x14ac:dyDescent="0.35">
      <c r="A7" s="37" t="s">
        <v>122</v>
      </c>
      <c r="B7" s="2" t="s">
        <v>123</v>
      </c>
      <c r="C7" s="43">
        <f>O_Demand_Rate!$C$7</f>
        <v>63.585714285714282</v>
      </c>
      <c r="D7" s="21">
        <v>0.12</v>
      </c>
      <c r="E7" s="25">
        <f t="shared" si="0"/>
        <v>7.6302857142857139</v>
      </c>
      <c r="F7" s="25">
        <f t="shared" si="1"/>
        <v>53.807109683018822</v>
      </c>
      <c r="G7" s="25">
        <f t="shared" si="2"/>
        <v>73.364318888409741</v>
      </c>
    </row>
    <row r="8" spans="1:7" x14ac:dyDescent="0.35">
      <c r="A8" s="37" t="s">
        <v>127</v>
      </c>
      <c r="B8" s="2" t="s">
        <v>128</v>
      </c>
      <c r="C8" s="43">
        <f>O_Demand_Rate!$C$8</f>
        <v>31.709523809523812</v>
      </c>
      <c r="D8" s="21">
        <v>0.12</v>
      </c>
      <c r="E8" s="25">
        <f t="shared" si="0"/>
        <v>3.8051428571428572</v>
      </c>
      <c r="F8" s="25">
        <f t="shared" si="1"/>
        <v>26.83303702383153</v>
      </c>
      <c r="G8" s="25">
        <f t="shared" si="2"/>
        <v>36.586010595216095</v>
      </c>
    </row>
    <row r="9" spans="1:7" x14ac:dyDescent="0.35">
      <c r="A9" s="37" t="s">
        <v>129</v>
      </c>
      <c r="B9" s="2" t="s">
        <v>130</v>
      </c>
      <c r="C9" s="43">
        <f>O_Demand_Rate!$C$9</f>
        <v>72.828571428571394</v>
      </c>
      <c r="D9" s="21">
        <v>0.12</v>
      </c>
      <c r="E9" s="25">
        <f t="shared" si="0"/>
        <v>8.7394285714285669</v>
      </c>
      <c r="F9" s="25">
        <f t="shared" si="1"/>
        <v>61.6285430608919</v>
      </c>
      <c r="G9" s="25">
        <f t="shared" si="2"/>
        <v>84.028599796250887</v>
      </c>
    </row>
    <row r="10" spans="1:7" x14ac:dyDescent="0.35">
      <c r="A10" s="37" t="s">
        <v>131</v>
      </c>
      <c r="B10" s="2" t="s">
        <v>132</v>
      </c>
      <c r="C10" s="43">
        <f>O_Demand_Rate!$C$10</f>
        <v>58.519047619047612</v>
      </c>
      <c r="D10" s="21">
        <v>0.12</v>
      </c>
      <c r="E10" s="25">
        <f t="shared" si="0"/>
        <v>7.0222857142857134</v>
      </c>
      <c r="F10" s="25">
        <f t="shared" si="1"/>
        <v>49.519626368203276</v>
      </c>
      <c r="G10" s="25">
        <f t="shared" si="2"/>
        <v>67.518468869891947</v>
      </c>
    </row>
    <row r="11" spans="1:7" x14ac:dyDescent="0.35">
      <c r="A11" s="37" t="s">
        <v>133</v>
      </c>
      <c r="B11" s="2" t="s">
        <v>134</v>
      </c>
      <c r="C11" s="43">
        <f>O_Demand_Rate!$C$11</f>
        <v>209.32380952380953</v>
      </c>
      <c r="D11" s="21">
        <v>0.12</v>
      </c>
      <c r="E11" s="25">
        <f t="shared" si="0"/>
        <v>25.118857142857141</v>
      </c>
      <c r="F11" s="25">
        <f t="shared" si="1"/>
        <v>177.13269882768978</v>
      </c>
      <c r="G11" s="25">
        <f t="shared" si="2"/>
        <v>241.51492021992928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zoomScaleNormal="100" workbookViewId="0"/>
  </sheetViews>
  <sheetFormatPr defaultColWidth="8.54296875" defaultRowHeight="14.5" x14ac:dyDescent="0.35"/>
  <cols>
    <col min="1" max="1" width="18" customWidth="1"/>
    <col min="2" max="4" width="10" customWidth="1"/>
    <col min="5" max="5" width="12" customWidth="1"/>
    <col min="6" max="6" width="14" customWidth="1"/>
    <col min="7" max="7" width="20" customWidth="1"/>
  </cols>
  <sheetData>
    <row r="1" spans="1:7" ht="16.5" customHeight="1" x14ac:dyDescent="0.35">
      <c r="A1" s="73" t="s">
        <v>248</v>
      </c>
      <c r="B1" s="73"/>
      <c r="C1" s="73"/>
      <c r="D1" s="73"/>
      <c r="E1" s="73"/>
      <c r="F1" s="73"/>
      <c r="G1" s="73"/>
    </row>
    <row r="2" spans="1:7" x14ac:dyDescent="0.35">
      <c r="A2" s="1" t="s">
        <v>249</v>
      </c>
    </row>
    <row r="3" spans="1:7" x14ac:dyDescent="0.35">
      <c r="A3" s="6" t="s">
        <v>250</v>
      </c>
      <c r="B3" s="6" t="s">
        <v>251</v>
      </c>
      <c r="C3" s="6" t="s">
        <v>252</v>
      </c>
      <c r="D3" s="6" t="s">
        <v>253</v>
      </c>
      <c r="E3" s="6" t="s">
        <v>254</v>
      </c>
      <c r="F3" s="6" t="s">
        <v>255</v>
      </c>
      <c r="G3" s="6" t="s">
        <v>78</v>
      </c>
    </row>
    <row r="4" spans="1:7" x14ac:dyDescent="0.35">
      <c r="A4" s="2" t="s">
        <v>256</v>
      </c>
      <c r="B4" s="23">
        <v>1</v>
      </c>
      <c r="C4" s="35" t="s">
        <v>50</v>
      </c>
      <c r="D4" s="35" t="s">
        <v>50</v>
      </c>
      <c r="E4" s="35" t="s">
        <v>50</v>
      </c>
    </row>
    <row r="5" spans="1:7" x14ac:dyDescent="0.35">
      <c r="A5" s="2" t="s">
        <v>256</v>
      </c>
      <c r="B5" s="23">
        <v>2</v>
      </c>
      <c r="C5" s="35" t="s">
        <v>50</v>
      </c>
      <c r="D5" s="35" t="s">
        <v>50</v>
      </c>
      <c r="E5" s="35" t="s">
        <v>50</v>
      </c>
    </row>
    <row r="6" spans="1:7" x14ac:dyDescent="0.35">
      <c r="A6" s="2" t="s">
        <v>256</v>
      </c>
      <c r="B6" s="23">
        <v>3</v>
      </c>
      <c r="C6" s="35" t="s">
        <v>50</v>
      </c>
      <c r="D6" s="35" t="s">
        <v>50</v>
      </c>
      <c r="E6" s="35" t="s">
        <v>50</v>
      </c>
    </row>
    <row r="7" spans="1:7" x14ac:dyDescent="0.35">
      <c r="A7" s="2" t="s">
        <v>211</v>
      </c>
      <c r="B7" s="23">
        <v>1</v>
      </c>
      <c r="C7" s="35" t="s">
        <v>50</v>
      </c>
      <c r="D7" s="35" t="s">
        <v>50</v>
      </c>
      <c r="E7" s="35" t="s">
        <v>50</v>
      </c>
    </row>
    <row r="8" spans="1:7" x14ac:dyDescent="0.35">
      <c r="A8" s="2" t="s">
        <v>211</v>
      </c>
      <c r="B8" s="23">
        <v>2</v>
      </c>
      <c r="C8" s="35" t="s">
        <v>50</v>
      </c>
      <c r="D8" s="35" t="s">
        <v>50</v>
      </c>
      <c r="E8" s="35" t="s">
        <v>50</v>
      </c>
    </row>
    <row r="9" spans="1:7" x14ac:dyDescent="0.35">
      <c r="A9" s="2" t="s">
        <v>211</v>
      </c>
      <c r="B9" s="23">
        <v>3</v>
      </c>
      <c r="C9" s="35" t="s">
        <v>50</v>
      </c>
      <c r="D9" s="35" t="s">
        <v>50</v>
      </c>
      <c r="E9" s="35" t="s">
        <v>50</v>
      </c>
    </row>
    <row r="10" spans="1:7" x14ac:dyDescent="0.35">
      <c r="A10" s="2" t="s">
        <v>213</v>
      </c>
      <c r="B10" s="23">
        <v>1</v>
      </c>
      <c r="C10" s="35" t="s">
        <v>50</v>
      </c>
      <c r="D10" s="35" t="s">
        <v>50</v>
      </c>
      <c r="E10" s="35" t="s">
        <v>50</v>
      </c>
    </row>
    <row r="11" spans="1:7" x14ac:dyDescent="0.35">
      <c r="A11" s="2" t="s">
        <v>213</v>
      </c>
      <c r="B11" s="23">
        <v>2</v>
      </c>
      <c r="C11" s="35" t="s">
        <v>50</v>
      </c>
      <c r="D11" s="35" t="s">
        <v>50</v>
      </c>
      <c r="E11" s="35" t="s">
        <v>50</v>
      </c>
    </row>
    <row r="12" spans="1:7" x14ac:dyDescent="0.35">
      <c r="A12" s="2" t="s">
        <v>213</v>
      </c>
      <c r="B12" s="23">
        <v>3</v>
      </c>
      <c r="C12" s="35" t="s">
        <v>50</v>
      </c>
      <c r="D12" s="35" t="s">
        <v>50</v>
      </c>
      <c r="E12" s="35" t="s">
        <v>50</v>
      </c>
    </row>
    <row r="13" spans="1:7" x14ac:dyDescent="0.35">
      <c r="A13" s="2" t="s">
        <v>214</v>
      </c>
      <c r="B13" s="23">
        <v>1</v>
      </c>
      <c r="C13" s="35" t="s">
        <v>50</v>
      </c>
      <c r="D13" s="35" t="s">
        <v>50</v>
      </c>
      <c r="E13" s="35" t="s">
        <v>50</v>
      </c>
    </row>
    <row r="14" spans="1:7" x14ac:dyDescent="0.35">
      <c r="A14" s="2" t="s">
        <v>214</v>
      </c>
      <c r="B14" s="23">
        <v>2</v>
      </c>
      <c r="C14" s="35" t="s">
        <v>50</v>
      </c>
      <c r="D14" s="35" t="s">
        <v>50</v>
      </c>
      <c r="E14" s="35" t="s">
        <v>50</v>
      </c>
    </row>
    <row r="15" spans="1:7" x14ac:dyDescent="0.35">
      <c r="A15" s="2" t="s">
        <v>214</v>
      </c>
      <c r="B15" s="23">
        <v>3</v>
      </c>
      <c r="C15" s="35" t="s">
        <v>50</v>
      </c>
      <c r="D15" s="35" t="s">
        <v>50</v>
      </c>
      <c r="E15" s="35" t="s">
        <v>50</v>
      </c>
    </row>
    <row r="16" spans="1:7" x14ac:dyDescent="0.35">
      <c r="A16" s="2" t="s">
        <v>216</v>
      </c>
      <c r="B16" s="23">
        <v>1</v>
      </c>
      <c r="C16" s="35" t="s">
        <v>50</v>
      </c>
      <c r="D16" s="35" t="s">
        <v>50</v>
      </c>
      <c r="E16" s="35" t="s">
        <v>50</v>
      </c>
    </row>
    <row r="17" spans="1:5" x14ac:dyDescent="0.35">
      <c r="A17" s="2" t="s">
        <v>216</v>
      </c>
      <c r="B17" s="23">
        <v>2</v>
      </c>
      <c r="C17" s="35" t="s">
        <v>50</v>
      </c>
      <c r="D17" s="35" t="s">
        <v>50</v>
      </c>
      <c r="E17" s="35" t="s">
        <v>50</v>
      </c>
    </row>
    <row r="18" spans="1:5" x14ac:dyDescent="0.35">
      <c r="A18" s="2" t="s">
        <v>216</v>
      </c>
      <c r="B18" s="23">
        <v>3</v>
      </c>
      <c r="C18" s="35" t="s">
        <v>50</v>
      </c>
      <c r="D18" s="35" t="s">
        <v>50</v>
      </c>
      <c r="E18" s="35" t="s">
        <v>50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0"/>
  <sheetViews>
    <sheetView topLeftCell="A14" zoomScaleNormal="100" workbookViewId="0">
      <selection activeCell="I28" sqref="I28"/>
    </sheetView>
  </sheetViews>
  <sheetFormatPr defaultColWidth="8.54296875" defaultRowHeight="14.5" x14ac:dyDescent="0.35"/>
  <cols>
    <col min="1" max="1" width="10" customWidth="1"/>
    <col min="2" max="2" width="24" customWidth="1"/>
    <col min="3" max="3" width="8" customWidth="1"/>
    <col min="4" max="11" width="11" customWidth="1"/>
  </cols>
  <sheetData>
    <row r="1" spans="1:11" ht="16.5" customHeight="1" x14ac:dyDescent="0.35">
      <c r="A1" s="73" t="s">
        <v>257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x14ac:dyDescent="0.35">
      <c r="A2" s="1" t="s">
        <v>258</v>
      </c>
    </row>
    <row r="4" spans="1:11" x14ac:dyDescent="0.35">
      <c r="A4" s="1" t="s">
        <v>259</v>
      </c>
      <c r="D4" s="44">
        <f>IFERROR(VLOOKUP(TEXT(D6,"dddd"),I_Market_Intelligence!$A$6:$B$12,2,FALSE()),1)*IFERROR(VLOOKUP(D6,I_Market_Intelligence!$A$17:$B$19,2,FALSE()),1)</f>
        <v>0.93</v>
      </c>
      <c r="E4" s="44">
        <f>IFERROR(VLOOKUP(TEXT(E6,"dddd"),I_Market_Intelligence!$A$6:$B$12,2,FALSE()),1)*IFERROR(VLOOKUP(E6,I_Market_Intelligence!$A$17:$B$19,2,FALSE()),1)</f>
        <v>0.95</v>
      </c>
      <c r="F4" s="44">
        <f>IFERROR(VLOOKUP(TEXT(F6,"dddd"),I_Market_Intelligence!$A$6:$B$12,2,FALSE()),1)*IFERROR(VLOOKUP(F6,I_Market_Intelligence!$A$17:$B$19,2,FALSE()),1)</f>
        <v>1</v>
      </c>
      <c r="G4" s="44">
        <f>IFERROR(VLOOKUP(TEXT(G6,"dddd"),I_Market_Intelligence!$A$6:$B$12,2,FALSE()),1)*IFERROR(VLOOKUP(G6,I_Market_Intelligence!$A$17:$B$19,2,FALSE()),1)</f>
        <v>1.1000000000000001</v>
      </c>
      <c r="H4" s="44">
        <f>IFERROR(VLOOKUP(TEXT(H6,"dddd"),I_Market_Intelligence!$A$6:$B$12,2,FALSE()),1)*IFERROR(VLOOKUP(H6,I_Market_Intelligence!$A$17:$B$19,2,FALSE()),1)</f>
        <v>1.2</v>
      </c>
      <c r="I4" s="44">
        <f>IFERROR(VLOOKUP(TEXT(I6,"dddd"),I_Market_Intelligence!$A$6:$B$12,2,FALSE()),1)*IFERROR(VLOOKUP(I6,I_Market_Intelligence!$A$17:$B$19,2,FALSE()),1)</f>
        <v>1.1499999999999999</v>
      </c>
      <c r="J4" s="44">
        <f>IFERROR(VLOOKUP(TEXT(J6,"dddd"),I_Market_Intelligence!$A$6:$B$12,2,FALSE()),1)*IFERROR(VLOOKUP(J6,I_Market_Intelligence!$A$17:$B$19,2,FALSE()),1)</f>
        <v>0.95</v>
      </c>
    </row>
    <row r="5" spans="1:11" x14ac:dyDescent="0.35">
      <c r="A5" s="1" t="s">
        <v>185</v>
      </c>
      <c r="D5" s="45" t="str">
        <f t="shared" ref="D5:J5" si="0">TEXT(D6,"dddd")</f>
        <v>Tuesday</v>
      </c>
      <c r="E5" s="45" t="str">
        <f t="shared" si="0"/>
        <v>Wednesday</v>
      </c>
      <c r="F5" s="45" t="str">
        <f t="shared" si="0"/>
        <v>Thursday</v>
      </c>
      <c r="G5" s="45" t="str">
        <f t="shared" si="0"/>
        <v>Friday</v>
      </c>
      <c r="H5" s="45" t="str">
        <f t="shared" si="0"/>
        <v>Saturday</v>
      </c>
      <c r="I5" s="45" t="str">
        <f t="shared" si="0"/>
        <v>Sunday</v>
      </c>
      <c r="J5" s="45" t="str">
        <f t="shared" si="0"/>
        <v>Monday</v>
      </c>
    </row>
    <row r="6" spans="1:11" ht="25.5" customHeight="1" x14ac:dyDescent="0.35">
      <c r="A6" s="46" t="s">
        <v>102</v>
      </c>
      <c r="B6" s="46" t="s">
        <v>103</v>
      </c>
      <c r="C6" s="46" t="s">
        <v>260</v>
      </c>
      <c r="D6" s="47">
        <v>46196</v>
      </c>
      <c r="E6" s="47">
        <v>46197</v>
      </c>
      <c r="F6" s="47">
        <v>46198</v>
      </c>
      <c r="G6" s="47">
        <v>46199</v>
      </c>
      <c r="H6" s="47">
        <v>46200</v>
      </c>
      <c r="I6" s="47">
        <v>46201</v>
      </c>
      <c r="J6" s="47">
        <v>46202</v>
      </c>
      <c r="K6" s="6" t="s">
        <v>261</v>
      </c>
    </row>
    <row r="7" spans="1:11" x14ac:dyDescent="0.35">
      <c r="A7" s="37" t="s">
        <v>111</v>
      </c>
      <c r="B7" s="2" t="s">
        <v>112</v>
      </c>
      <c r="C7" s="23" t="s">
        <v>238</v>
      </c>
      <c r="D7" s="25">
        <f>ROUND(O_Demand_Rate!$C$4*D$4*O_Scenario_Multipliers!$D$16*O_Scenario_Multipliers!$B$10*(IF(I_Live_Bird!$B$15="Flat",1,1+MAX(MIN(O_Demand_Rate!$F$4,I_Live_Bird!$B$16),-I_Live_Bird!$B$16))),1)</f>
        <v>301.5</v>
      </c>
      <c r="E7" s="25">
        <f>ROUND(O_Demand_Rate!$C$4*E$4*O_Scenario_Multipliers!$D$16*O_Scenario_Multipliers!$B$10*(IF(I_Live_Bird!$B$15="Flat",1,1+MAX(MIN(O_Demand_Rate!$F$4,I_Live_Bird!$B$16),-I_Live_Bird!$B$16))),1)</f>
        <v>308</v>
      </c>
      <c r="F7" s="25">
        <f>ROUND(O_Demand_Rate!$C$4*F$4*O_Scenario_Multipliers!$D$16*O_Scenario_Multipliers!$B$10*(IF(I_Live_Bird!$B$15="Flat",1,1+MAX(MIN(O_Demand_Rate!$F$4,I_Live_Bird!$B$16),-I_Live_Bird!$B$16))),1)</f>
        <v>324.2</v>
      </c>
      <c r="G7" s="25">
        <f>ROUND(O_Demand_Rate!$C$4*G$4*O_Scenario_Multipliers!$D$16*O_Scenario_Multipliers!$B$10*(IF(I_Live_Bird!$B$15="Flat",1,1+MAX(MIN(O_Demand_Rate!$F$4,I_Live_Bird!$B$16),-I_Live_Bird!$B$16))),1)</f>
        <v>356.7</v>
      </c>
      <c r="H7" s="25">
        <f>ROUND(O_Demand_Rate!$C$4*H$4*O_Scenario_Multipliers!$D$16*O_Scenario_Multipliers!$B$10*(IF(I_Live_Bird!$B$15="Flat",1,1+MAX(MIN(O_Demand_Rate!$F$4,I_Live_Bird!$B$16),-I_Live_Bird!$B$16))),1)</f>
        <v>389.1</v>
      </c>
      <c r="I7" s="25">
        <f>ROUND(O_Demand_Rate!$C$4*I$4*O_Scenario_Multipliers!$D$16*O_Scenario_Multipliers!$B$10*(IF(I_Live_Bird!$B$15="Flat",1,1+MAX(MIN(O_Demand_Rate!$F$4,I_Live_Bird!$B$16),-I_Live_Bird!$B$16))),1)</f>
        <v>372.9</v>
      </c>
      <c r="J7" s="25">
        <f>ROUND(O_Demand_Rate!$C$4*J$4*O_Scenario_Multipliers!$D$16*O_Scenario_Multipliers!$B$10*(IF(I_Live_Bird!$B$15="Flat",1,1+MAX(MIN(O_Demand_Rate!$F$4,I_Live_Bird!$B$16),-I_Live_Bird!$B$16))),1)</f>
        <v>308</v>
      </c>
      <c r="K7" s="48">
        <f t="shared" ref="K7:K30" si="1">SUM(D7:J7)</f>
        <v>2360.4</v>
      </c>
    </row>
    <row r="8" spans="1:11" x14ac:dyDescent="0.35">
      <c r="A8" s="37" t="s">
        <v>111</v>
      </c>
      <c r="B8" s="2" t="s">
        <v>112</v>
      </c>
      <c r="C8" s="23" t="s">
        <v>239</v>
      </c>
      <c r="D8" s="25">
        <f>ROUND(O_Demand_Rate!$C$4*D$4*O_Scenario_Multipliers!$E$16*O_Scenario_Multipliers!$B$11*(IF(I_Live_Bird!$B$15="Flat",1,1+MAX(MIN(O_Demand_Rate!$F$4,I_Live_Bird!$B$16),-I_Live_Bird!$B$16))),1)</f>
        <v>324.2</v>
      </c>
      <c r="E8" s="25">
        <f>ROUND(O_Demand_Rate!$C$4*E$4*O_Scenario_Multipliers!$E$16*O_Scenario_Multipliers!$B$11*(IF(I_Live_Bird!$B$15="Flat",1,1+MAX(MIN(O_Demand_Rate!$F$4,I_Live_Bird!$B$16),-I_Live_Bird!$B$16))),1)</f>
        <v>331.2</v>
      </c>
      <c r="F8" s="25">
        <f>ROUND(O_Demand_Rate!$C$4*F$4*O_Scenario_Multipliers!$E$16*O_Scenario_Multipliers!$B$11*(IF(I_Live_Bird!$B$15="Flat",1,1+MAX(MIN(O_Demand_Rate!$F$4,I_Live_Bird!$B$16),-I_Live_Bird!$B$16))),1)</f>
        <v>348.7</v>
      </c>
      <c r="G8" s="25">
        <f>ROUND(O_Demand_Rate!$C$4*G$4*O_Scenario_Multipliers!$E$16*O_Scenario_Multipliers!$B$11*(IF(I_Live_Bird!$B$15="Flat",1,1+MAX(MIN(O_Demand_Rate!$F$4,I_Live_Bird!$B$16),-I_Live_Bird!$B$16))),1)</f>
        <v>383.5</v>
      </c>
      <c r="H8" s="25">
        <f>ROUND(O_Demand_Rate!$C$4*H$4*O_Scenario_Multipliers!$E$16*O_Scenario_Multipliers!$B$11*(IF(I_Live_Bird!$B$15="Flat",1,1+MAX(MIN(O_Demand_Rate!$F$4,I_Live_Bird!$B$16),-I_Live_Bird!$B$16))),1)</f>
        <v>418.4</v>
      </c>
      <c r="I8" s="25">
        <f>ROUND(O_Demand_Rate!$C$4*I$4*O_Scenario_Multipliers!$E$16*O_Scenario_Multipliers!$B$11*(IF(I_Live_Bird!$B$15="Flat",1,1+MAX(MIN(O_Demand_Rate!$F$4,I_Live_Bird!$B$16),-I_Live_Bird!$B$16))),1)</f>
        <v>401</v>
      </c>
      <c r="J8" s="25">
        <f>ROUND(O_Demand_Rate!$C$4*J$4*O_Scenario_Multipliers!$E$16*O_Scenario_Multipliers!$B$11*(IF(I_Live_Bird!$B$15="Flat",1,1+MAX(MIN(O_Demand_Rate!$F$4,I_Live_Bird!$B$16),-I_Live_Bird!$B$16))),1)</f>
        <v>331.2</v>
      </c>
      <c r="K8" s="48">
        <f t="shared" si="1"/>
        <v>2538.1999999999998</v>
      </c>
    </row>
    <row r="9" spans="1:11" x14ac:dyDescent="0.35">
      <c r="A9" s="37" t="s">
        <v>111</v>
      </c>
      <c r="B9" s="2" t="s">
        <v>112</v>
      </c>
      <c r="C9" s="23" t="s">
        <v>240</v>
      </c>
      <c r="D9" s="25">
        <f>ROUND(O_Demand_Rate!$C$4*D$4*O_Scenario_Multipliers!$F$16*O_Scenario_Multipliers!$B$12*(IF(I_Live_Bird!$B$15="Flat",1,1+MAX(MIN(O_Demand_Rate!$F$4,I_Live_Bird!$B$16),-I_Live_Bird!$B$16))),1)</f>
        <v>346.9</v>
      </c>
      <c r="E9" s="25">
        <f>ROUND(O_Demand_Rate!$C$4*E$4*O_Scenario_Multipliers!$F$16*O_Scenario_Multipliers!$B$12*(IF(I_Live_Bird!$B$15="Flat",1,1+MAX(MIN(O_Demand_Rate!$F$4,I_Live_Bird!$B$16),-I_Live_Bird!$B$16))),1)</f>
        <v>354.4</v>
      </c>
      <c r="F9" s="25">
        <f>ROUND(O_Demand_Rate!$C$4*F$4*O_Scenario_Multipliers!$F$16*O_Scenario_Multipliers!$B$12*(IF(I_Live_Bird!$B$15="Flat",1,1+MAX(MIN(O_Demand_Rate!$F$4,I_Live_Bird!$B$16),-I_Live_Bird!$B$16))),1)</f>
        <v>373.1</v>
      </c>
      <c r="G9" s="25">
        <f>ROUND(O_Demand_Rate!$C$4*G$4*O_Scenario_Multipliers!$F$16*O_Scenario_Multipliers!$B$12*(IF(I_Live_Bird!$B$15="Flat",1,1+MAX(MIN(O_Demand_Rate!$F$4,I_Live_Bird!$B$16),-I_Live_Bird!$B$16))),1)</f>
        <v>410.4</v>
      </c>
      <c r="H9" s="25">
        <f>ROUND(O_Demand_Rate!$C$4*H$4*O_Scenario_Multipliers!$F$16*O_Scenario_Multipliers!$B$12*(IF(I_Live_Bird!$B$15="Flat",1,1+MAX(MIN(O_Demand_Rate!$F$4,I_Live_Bird!$B$16),-I_Live_Bird!$B$16))),1)</f>
        <v>447.7</v>
      </c>
      <c r="I9" s="25">
        <f>ROUND(O_Demand_Rate!$C$4*I$4*O_Scenario_Multipliers!$F$16*O_Scenario_Multipliers!$B$12*(IF(I_Live_Bird!$B$15="Flat",1,1+MAX(MIN(O_Demand_Rate!$F$4,I_Live_Bird!$B$16),-I_Live_Bird!$B$16))),1)</f>
        <v>429</v>
      </c>
      <c r="J9" s="25">
        <f>ROUND(O_Demand_Rate!$C$4*J$4*O_Scenario_Multipliers!$F$16*O_Scenario_Multipliers!$B$12*(IF(I_Live_Bird!$B$15="Flat",1,1+MAX(MIN(O_Demand_Rate!$F$4,I_Live_Bird!$B$16),-I_Live_Bird!$B$16))),1)</f>
        <v>354.4</v>
      </c>
      <c r="K9" s="48">
        <f t="shared" si="1"/>
        <v>2715.9</v>
      </c>
    </row>
    <row r="10" spans="1:11" x14ac:dyDescent="0.35">
      <c r="A10" s="37" t="s">
        <v>117</v>
      </c>
      <c r="B10" s="2" t="s">
        <v>118</v>
      </c>
      <c r="C10" s="23" t="s">
        <v>238</v>
      </c>
      <c r="D10" s="25">
        <f>ROUND(O_Demand_Rate!$C$5*D$4*O_Scenario_Multipliers!$D$17*O_Scenario_Multipliers!$B$10*(IF(I_Live_Bird!$B$15="Flat",1,1+MAX(MIN(O_Demand_Rate!$F$5,I_Live_Bird!$B$16),-I_Live_Bird!$B$16))),1)</f>
        <v>206.8</v>
      </c>
      <c r="E10" s="25">
        <f>ROUND(O_Demand_Rate!$C$5*E$4*O_Scenario_Multipliers!$D$17*O_Scenario_Multipliers!$B$10*(IF(I_Live_Bird!$B$15="Flat",1,1+MAX(MIN(O_Demand_Rate!$F$5,I_Live_Bird!$B$16),-I_Live_Bird!$B$16))),1)</f>
        <v>211.3</v>
      </c>
      <c r="F10" s="25">
        <f>ROUND(O_Demand_Rate!$C$5*F$4*O_Scenario_Multipliers!$D$17*O_Scenario_Multipliers!$B$10*(IF(I_Live_Bird!$B$15="Flat",1,1+MAX(MIN(O_Demand_Rate!$F$5,I_Live_Bird!$B$16),-I_Live_Bird!$B$16))),1)</f>
        <v>222.4</v>
      </c>
      <c r="G10" s="25">
        <f>ROUND(O_Demand_Rate!$C$5*G$4*O_Scenario_Multipliers!$D$17*O_Scenario_Multipliers!$B$10*(IF(I_Live_Bird!$B$15="Flat",1,1+MAX(MIN(O_Demand_Rate!$F$5,I_Live_Bird!$B$16),-I_Live_Bird!$B$16))),1)</f>
        <v>244.7</v>
      </c>
      <c r="H10" s="25">
        <f>ROUND(O_Demand_Rate!$C$5*H$4*O_Scenario_Multipliers!$D$17*O_Scenario_Multipliers!$B$10*(IF(I_Live_Bird!$B$15="Flat",1,1+MAX(MIN(O_Demand_Rate!$F$5,I_Live_Bird!$B$16),-I_Live_Bird!$B$16))),1)</f>
        <v>266.89999999999998</v>
      </c>
      <c r="I10" s="25">
        <f>ROUND(O_Demand_Rate!$C$5*I$4*O_Scenario_Multipliers!$D$17*O_Scenario_Multipliers!$B$10*(IF(I_Live_Bird!$B$15="Flat",1,1+MAX(MIN(O_Demand_Rate!$F$5,I_Live_Bird!$B$16),-I_Live_Bird!$B$16))),1)</f>
        <v>255.8</v>
      </c>
      <c r="J10" s="25">
        <f>ROUND(O_Demand_Rate!$C$5*J$4*O_Scenario_Multipliers!$D$17*O_Scenario_Multipliers!$B$10*(IF(I_Live_Bird!$B$15="Flat",1,1+MAX(MIN(O_Demand_Rate!$F$5,I_Live_Bird!$B$16),-I_Live_Bird!$B$16))),1)</f>
        <v>211.3</v>
      </c>
      <c r="K10" s="48">
        <f t="shared" si="1"/>
        <v>1619.1999999999998</v>
      </c>
    </row>
    <row r="11" spans="1:11" x14ac:dyDescent="0.35">
      <c r="A11" s="37" t="s">
        <v>117</v>
      </c>
      <c r="B11" s="2" t="s">
        <v>118</v>
      </c>
      <c r="C11" s="23" t="s">
        <v>239</v>
      </c>
      <c r="D11" s="25">
        <f>ROUND(O_Demand_Rate!$C$5*D$4*O_Scenario_Multipliers!$E$17*O_Scenario_Multipliers!$B$11*(IF(I_Live_Bird!$B$15="Flat",1,1+MAX(MIN(O_Demand_Rate!$F$5,I_Live_Bird!$B$16),-I_Live_Bird!$B$16))),1)</f>
        <v>222.4</v>
      </c>
      <c r="E11" s="25">
        <f>ROUND(O_Demand_Rate!$C$5*E$4*O_Scenario_Multipliers!$E$17*O_Scenario_Multipliers!$B$11*(IF(I_Live_Bird!$B$15="Flat",1,1+MAX(MIN(O_Demand_Rate!$F$5,I_Live_Bird!$B$16),-I_Live_Bird!$B$16))),1)</f>
        <v>227.2</v>
      </c>
      <c r="F11" s="25">
        <f>ROUND(O_Demand_Rate!$C$5*F$4*O_Scenario_Multipliers!$E$17*O_Scenario_Multipliers!$B$11*(IF(I_Live_Bird!$B$15="Flat",1,1+MAX(MIN(O_Demand_Rate!$F$5,I_Live_Bird!$B$16),-I_Live_Bird!$B$16))),1)</f>
        <v>239.2</v>
      </c>
      <c r="G11" s="25">
        <f>ROUND(O_Demand_Rate!$C$5*G$4*O_Scenario_Multipliers!$E$17*O_Scenario_Multipliers!$B$11*(IF(I_Live_Bird!$B$15="Flat",1,1+MAX(MIN(O_Demand_Rate!$F$5,I_Live_Bird!$B$16),-I_Live_Bird!$B$16))),1)</f>
        <v>263.10000000000002</v>
      </c>
      <c r="H11" s="25">
        <f>ROUND(O_Demand_Rate!$C$5*H$4*O_Scenario_Multipliers!$E$17*O_Scenario_Multipliers!$B$11*(IF(I_Live_Bird!$B$15="Flat",1,1+MAX(MIN(O_Demand_Rate!$F$5,I_Live_Bird!$B$16),-I_Live_Bird!$B$16))),1)</f>
        <v>287</v>
      </c>
      <c r="I11" s="25">
        <f>ROUND(O_Demand_Rate!$C$5*I$4*O_Scenario_Multipliers!$E$17*O_Scenario_Multipliers!$B$11*(IF(I_Live_Bird!$B$15="Flat",1,1+MAX(MIN(O_Demand_Rate!$F$5,I_Live_Bird!$B$16),-I_Live_Bird!$B$16))),1)</f>
        <v>275</v>
      </c>
      <c r="J11" s="25">
        <f>ROUND(O_Demand_Rate!$C$5*J$4*O_Scenario_Multipliers!$E$17*O_Scenario_Multipliers!$B$11*(IF(I_Live_Bird!$B$15="Flat",1,1+MAX(MIN(O_Demand_Rate!$F$5,I_Live_Bird!$B$16),-I_Live_Bird!$B$16))),1)</f>
        <v>227.2</v>
      </c>
      <c r="K11" s="48">
        <f t="shared" si="1"/>
        <v>1741.1000000000001</v>
      </c>
    </row>
    <row r="12" spans="1:11" x14ac:dyDescent="0.35">
      <c r="A12" s="37" t="s">
        <v>117</v>
      </c>
      <c r="B12" s="2" t="s">
        <v>118</v>
      </c>
      <c r="C12" s="23" t="s">
        <v>240</v>
      </c>
      <c r="D12" s="25">
        <f>ROUND(O_Demand_Rate!$C$5*D$4*O_Scenario_Multipliers!$F$17*O_Scenario_Multipliers!$B$12*(IF(I_Live_Bird!$B$15="Flat",1,1+MAX(MIN(O_Demand_Rate!$F$5,I_Live_Bird!$B$16),-I_Live_Bird!$B$16))),1)</f>
        <v>238</v>
      </c>
      <c r="E12" s="25">
        <f>ROUND(O_Demand_Rate!$C$5*E$4*O_Scenario_Multipliers!$F$17*O_Scenario_Multipliers!$B$12*(IF(I_Live_Bird!$B$15="Flat",1,1+MAX(MIN(O_Demand_Rate!$F$5,I_Live_Bird!$B$16),-I_Live_Bird!$B$16))),1)</f>
        <v>243.1</v>
      </c>
      <c r="F12" s="25">
        <f>ROUND(O_Demand_Rate!$C$5*F$4*O_Scenario_Multipliers!$F$17*O_Scenario_Multipliers!$B$12*(IF(I_Live_Bird!$B$15="Flat",1,1+MAX(MIN(O_Demand_Rate!$F$5,I_Live_Bird!$B$16),-I_Live_Bird!$B$16))),1)</f>
        <v>255.9</v>
      </c>
      <c r="G12" s="25">
        <f>ROUND(O_Demand_Rate!$C$5*G$4*O_Scenario_Multipliers!$F$17*O_Scenario_Multipliers!$B$12*(IF(I_Live_Bird!$B$15="Flat",1,1+MAX(MIN(O_Demand_Rate!$F$5,I_Live_Bird!$B$16),-I_Live_Bird!$B$16))),1)</f>
        <v>281.5</v>
      </c>
      <c r="H12" s="25">
        <f>ROUND(O_Demand_Rate!$C$5*H$4*O_Scenario_Multipliers!$F$17*O_Scenario_Multipliers!$B$12*(IF(I_Live_Bird!$B$15="Flat",1,1+MAX(MIN(O_Demand_Rate!$F$5,I_Live_Bird!$B$16),-I_Live_Bird!$B$16))),1)</f>
        <v>307.10000000000002</v>
      </c>
      <c r="I12" s="25">
        <f>ROUND(O_Demand_Rate!$C$5*I$4*O_Scenario_Multipliers!$F$17*O_Scenario_Multipliers!$B$12*(IF(I_Live_Bird!$B$15="Flat",1,1+MAX(MIN(O_Demand_Rate!$F$5,I_Live_Bird!$B$16),-I_Live_Bird!$B$16))),1)</f>
        <v>294.3</v>
      </c>
      <c r="J12" s="25">
        <f>ROUND(O_Demand_Rate!$C$5*J$4*O_Scenario_Multipliers!$F$17*O_Scenario_Multipliers!$B$12*(IF(I_Live_Bird!$B$15="Flat",1,1+MAX(MIN(O_Demand_Rate!$F$5,I_Live_Bird!$B$16),-I_Live_Bird!$B$16))),1)</f>
        <v>243.1</v>
      </c>
      <c r="K12" s="48">
        <f t="shared" si="1"/>
        <v>1862.9999999999998</v>
      </c>
    </row>
    <row r="13" spans="1:11" x14ac:dyDescent="0.35">
      <c r="A13" s="37" t="s">
        <v>119</v>
      </c>
      <c r="B13" s="2" t="s">
        <v>120</v>
      </c>
      <c r="C13" s="23" t="s">
        <v>238</v>
      </c>
      <c r="D13" s="25">
        <f>ROUND(O_Demand_Rate!$C$6*D$4*O_Scenario_Multipliers!$D$18*O_Scenario_Multipliers!$B$10*(IF(I_Live_Bird!$B$15="Flat",1,1+MAX(MIN(O_Demand_Rate!$F$6,I_Live_Bird!$B$16),-I_Live_Bird!$B$16))),1)</f>
        <v>136.30000000000001</v>
      </c>
      <c r="E13" s="25">
        <f>ROUND(O_Demand_Rate!$C$6*E$4*O_Scenario_Multipliers!$D$18*O_Scenario_Multipliers!$B$10*(IF(I_Live_Bird!$B$15="Flat",1,1+MAX(MIN(O_Demand_Rate!$F$6,I_Live_Bird!$B$16),-I_Live_Bird!$B$16))),1)</f>
        <v>139.19999999999999</v>
      </c>
      <c r="F13" s="25">
        <f>ROUND(O_Demand_Rate!$C$6*F$4*O_Scenario_Multipliers!$D$18*O_Scenario_Multipliers!$B$10*(IF(I_Live_Bird!$B$15="Flat",1,1+MAX(MIN(O_Demand_Rate!$F$6,I_Live_Bird!$B$16),-I_Live_Bird!$B$16))),1)</f>
        <v>146.5</v>
      </c>
      <c r="G13" s="25">
        <f>ROUND(O_Demand_Rate!$C$6*G$4*O_Scenario_Multipliers!$D$18*O_Scenario_Multipliers!$B$10*(IF(I_Live_Bird!$B$15="Flat",1,1+MAX(MIN(O_Demand_Rate!$F$6,I_Live_Bird!$B$16),-I_Live_Bird!$B$16))),1)</f>
        <v>161.19999999999999</v>
      </c>
      <c r="H13" s="25">
        <f>ROUND(O_Demand_Rate!$C$6*H$4*O_Scenario_Multipliers!$D$18*O_Scenario_Multipliers!$B$10*(IF(I_Live_Bird!$B$15="Flat",1,1+MAX(MIN(O_Demand_Rate!$F$6,I_Live_Bird!$B$16),-I_Live_Bird!$B$16))),1)</f>
        <v>175.8</v>
      </c>
      <c r="I13" s="25">
        <f>ROUND(O_Demand_Rate!$C$6*I$4*O_Scenario_Multipliers!$D$18*O_Scenario_Multipliers!$B$10*(IF(I_Live_Bird!$B$15="Flat",1,1+MAX(MIN(O_Demand_Rate!$F$6,I_Live_Bird!$B$16),-I_Live_Bird!$B$16))),1)</f>
        <v>168.5</v>
      </c>
      <c r="J13" s="25">
        <f>ROUND(O_Demand_Rate!$C$6*J$4*O_Scenario_Multipliers!$D$18*O_Scenario_Multipliers!$B$10*(IF(I_Live_Bird!$B$15="Flat",1,1+MAX(MIN(O_Demand_Rate!$F$6,I_Live_Bird!$B$16),-I_Live_Bird!$B$16))),1)</f>
        <v>139.19999999999999</v>
      </c>
      <c r="K13" s="48">
        <f t="shared" si="1"/>
        <v>1066.7</v>
      </c>
    </row>
    <row r="14" spans="1:11" x14ac:dyDescent="0.35">
      <c r="A14" s="37" t="s">
        <v>119</v>
      </c>
      <c r="B14" s="2" t="s">
        <v>120</v>
      </c>
      <c r="C14" s="23" t="s">
        <v>239</v>
      </c>
      <c r="D14" s="25">
        <f>ROUND(O_Demand_Rate!$C$6*D$4*O_Scenario_Multipliers!$E$18*O_Scenario_Multipliers!$B$11*(IF(I_Live_Bird!$B$15="Flat",1,1+MAX(MIN(O_Demand_Rate!$F$6,I_Live_Bird!$B$16),-I_Live_Bird!$B$16))),1)</f>
        <v>146.5</v>
      </c>
      <c r="E14" s="25">
        <f>ROUND(O_Demand_Rate!$C$6*E$4*O_Scenario_Multipliers!$E$18*O_Scenario_Multipliers!$B$11*(IF(I_Live_Bird!$B$15="Flat",1,1+MAX(MIN(O_Demand_Rate!$F$6,I_Live_Bird!$B$16),-I_Live_Bird!$B$16))),1)</f>
        <v>149.69999999999999</v>
      </c>
      <c r="F14" s="25">
        <f>ROUND(O_Demand_Rate!$C$6*F$4*O_Scenario_Multipliers!$E$18*O_Scenario_Multipliers!$B$11*(IF(I_Live_Bird!$B$15="Flat",1,1+MAX(MIN(O_Demand_Rate!$F$6,I_Live_Bird!$B$16),-I_Live_Bird!$B$16))),1)</f>
        <v>157.6</v>
      </c>
      <c r="G14" s="25">
        <f>ROUND(O_Demand_Rate!$C$6*G$4*O_Scenario_Multipliers!$E$18*O_Scenario_Multipliers!$B$11*(IF(I_Live_Bird!$B$15="Flat",1,1+MAX(MIN(O_Demand_Rate!$F$6,I_Live_Bird!$B$16),-I_Live_Bird!$B$16))),1)</f>
        <v>173.3</v>
      </c>
      <c r="H14" s="25">
        <f>ROUND(O_Demand_Rate!$C$6*H$4*O_Scenario_Multipliers!$E$18*O_Scenario_Multipliers!$B$11*(IF(I_Live_Bird!$B$15="Flat",1,1+MAX(MIN(O_Demand_Rate!$F$6,I_Live_Bird!$B$16),-I_Live_Bird!$B$16))),1)</f>
        <v>189.1</v>
      </c>
      <c r="I14" s="25">
        <f>ROUND(O_Demand_Rate!$C$6*I$4*O_Scenario_Multipliers!$E$18*O_Scenario_Multipliers!$B$11*(IF(I_Live_Bird!$B$15="Flat",1,1+MAX(MIN(O_Demand_Rate!$F$6,I_Live_Bird!$B$16),-I_Live_Bird!$B$16))),1)</f>
        <v>181.2</v>
      </c>
      <c r="J14" s="25">
        <f>ROUND(O_Demand_Rate!$C$6*J$4*O_Scenario_Multipliers!$E$18*O_Scenario_Multipliers!$B$11*(IF(I_Live_Bird!$B$15="Flat",1,1+MAX(MIN(O_Demand_Rate!$F$6,I_Live_Bird!$B$16),-I_Live_Bird!$B$16))),1)</f>
        <v>149.69999999999999</v>
      </c>
      <c r="K14" s="48">
        <f t="shared" si="1"/>
        <v>1147.0999999999999</v>
      </c>
    </row>
    <row r="15" spans="1:11" x14ac:dyDescent="0.35">
      <c r="A15" s="37" t="s">
        <v>119</v>
      </c>
      <c r="B15" s="2" t="s">
        <v>120</v>
      </c>
      <c r="C15" s="23" t="s">
        <v>240</v>
      </c>
      <c r="D15" s="25">
        <f>ROUND(O_Demand_Rate!$C$6*D$4*O_Scenario_Multipliers!$F$18*O_Scenario_Multipliers!$B$12*(IF(I_Live_Bird!$B$15="Flat",1,1+MAX(MIN(O_Demand_Rate!$F$6,I_Live_Bird!$B$16),-I_Live_Bird!$B$16))),1)</f>
        <v>156.80000000000001</v>
      </c>
      <c r="E15" s="25">
        <f>ROUND(O_Demand_Rate!$C$6*E$4*O_Scenario_Multipliers!$F$18*O_Scenario_Multipliers!$B$12*(IF(I_Live_Bird!$B$15="Flat",1,1+MAX(MIN(O_Demand_Rate!$F$6,I_Live_Bird!$B$16),-I_Live_Bird!$B$16))),1)</f>
        <v>160.19999999999999</v>
      </c>
      <c r="F15" s="25">
        <f>ROUND(O_Demand_Rate!$C$6*F$4*O_Scenario_Multipliers!$F$18*O_Scenario_Multipliers!$B$12*(IF(I_Live_Bird!$B$15="Flat",1,1+MAX(MIN(O_Demand_Rate!$F$6,I_Live_Bird!$B$16),-I_Live_Bird!$B$16))),1)</f>
        <v>168.6</v>
      </c>
      <c r="G15" s="25">
        <f>ROUND(O_Demand_Rate!$C$6*G$4*O_Scenario_Multipliers!$F$18*O_Scenario_Multipliers!$B$12*(IF(I_Live_Bird!$B$15="Flat",1,1+MAX(MIN(O_Demand_Rate!$F$6,I_Live_Bird!$B$16),-I_Live_Bird!$B$16))),1)</f>
        <v>185.5</v>
      </c>
      <c r="H15" s="25">
        <f>ROUND(O_Demand_Rate!$C$6*H$4*O_Scenario_Multipliers!$F$18*O_Scenario_Multipliers!$B$12*(IF(I_Live_Bird!$B$15="Flat",1,1+MAX(MIN(O_Demand_Rate!$F$6,I_Live_Bird!$B$16),-I_Live_Bird!$B$16))),1)</f>
        <v>202.3</v>
      </c>
      <c r="I15" s="25">
        <f>ROUND(O_Demand_Rate!$C$6*I$4*O_Scenario_Multipliers!$F$18*O_Scenario_Multipliers!$B$12*(IF(I_Live_Bird!$B$15="Flat",1,1+MAX(MIN(O_Demand_Rate!$F$6,I_Live_Bird!$B$16),-I_Live_Bird!$B$16))),1)</f>
        <v>193.9</v>
      </c>
      <c r="J15" s="25">
        <f>ROUND(O_Demand_Rate!$C$6*J$4*O_Scenario_Multipliers!$F$18*O_Scenario_Multipliers!$B$12*(IF(I_Live_Bird!$B$15="Flat",1,1+MAX(MIN(O_Demand_Rate!$F$6,I_Live_Bird!$B$16),-I_Live_Bird!$B$16))),1)</f>
        <v>160.19999999999999</v>
      </c>
      <c r="K15" s="48">
        <f t="shared" si="1"/>
        <v>1227.5000000000002</v>
      </c>
    </row>
    <row r="16" spans="1:11" x14ac:dyDescent="0.35">
      <c r="A16" s="37" t="s">
        <v>122</v>
      </c>
      <c r="B16" s="2" t="s">
        <v>123</v>
      </c>
      <c r="C16" s="23" t="s">
        <v>238</v>
      </c>
      <c r="D16" s="25">
        <f>ROUND(O_Demand_Rate!$C$7*D$4*O_Scenario_Multipliers!$D$19*O_Scenario_Multipliers!$B$10*(IF(I_Live_Bird!$B$15="Flat",1,1+MAX(MIN(O_Demand_Rate!$F$7,I_Live_Bird!$B$16),-I_Live_Bird!$B$16))),1)</f>
        <v>50.3</v>
      </c>
      <c r="E16" s="25">
        <f>ROUND(O_Demand_Rate!$C$7*E$4*O_Scenario_Multipliers!$D$19*O_Scenario_Multipliers!$B$10*(IF(I_Live_Bird!$B$15="Flat",1,1+MAX(MIN(O_Demand_Rate!$F$7,I_Live_Bird!$B$16),-I_Live_Bird!$B$16))),1)</f>
        <v>51.3</v>
      </c>
      <c r="F16" s="25">
        <f>ROUND(O_Demand_Rate!$C$7*F$4*O_Scenario_Multipliers!$D$19*O_Scenario_Multipliers!$B$10*(IF(I_Live_Bird!$B$15="Flat",1,1+MAX(MIN(O_Demand_Rate!$F$7,I_Live_Bird!$B$16),-I_Live_Bird!$B$16))),1)</f>
        <v>54</v>
      </c>
      <c r="G16" s="25">
        <f>ROUND(O_Demand_Rate!$C$7*G$4*O_Scenario_Multipliers!$D$19*O_Scenario_Multipliers!$B$10*(IF(I_Live_Bird!$B$15="Flat",1,1+MAX(MIN(O_Demand_Rate!$F$7,I_Live_Bird!$B$16),-I_Live_Bird!$B$16))),1)</f>
        <v>59.5</v>
      </c>
      <c r="H16" s="25">
        <f>ROUND(O_Demand_Rate!$C$7*H$4*O_Scenario_Multipliers!$D$19*O_Scenario_Multipliers!$B$10*(IF(I_Live_Bird!$B$15="Flat",1,1+MAX(MIN(O_Demand_Rate!$F$7,I_Live_Bird!$B$16),-I_Live_Bird!$B$16))),1)</f>
        <v>64.900000000000006</v>
      </c>
      <c r="I16" s="25">
        <f>ROUND(O_Demand_Rate!$C$7*I$4*O_Scenario_Multipliers!$D$19*O_Scenario_Multipliers!$B$10*(IF(I_Live_Bird!$B$15="Flat",1,1+MAX(MIN(O_Demand_Rate!$F$7,I_Live_Bird!$B$16),-I_Live_Bird!$B$16))),1)</f>
        <v>62.2</v>
      </c>
      <c r="J16" s="25">
        <f>ROUND(O_Demand_Rate!$C$7*J$4*O_Scenario_Multipliers!$D$19*O_Scenario_Multipliers!$B$10*(IF(I_Live_Bird!$B$15="Flat",1,1+MAX(MIN(O_Demand_Rate!$F$7,I_Live_Bird!$B$16),-I_Live_Bird!$B$16))),1)</f>
        <v>51.3</v>
      </c>
      <c r="K16" s="48">
        <f t="shared" si="1"/>
        <v>393.5</v>
      </c>
    </row>
    <row r="17" spans="1:11" x14ac:dyDescent="0.35">
      <c r="A17" s="37" t="s">
        <v>122</v>
      </c>
      <c r="B17" s="2" t="s">
        <v>123</v>
      </c>
      <c r="C17" s="23" t="s">
        <v>239</v>
      </c>
      <c r="D17" s="25">
        <f>ROUND(O_Demand_Rate!$C$7*D$4*O_Scenario_Multipliers!$E$19*O_Scenario_Multipliers!$B$11*(IF(I_Live_Bird!$B$15="Flat",1,1+MAX(MIN(O_Demand_Rate!$F$7,I_Live_Bird!$B$16),-I_Live_Bird!$B$16))),1)</f>
        <v>59.1</v>
      </c>
      <c r="E17" s="25">
        <f>ROUND(O_Demand_Rate!$C$7*E$4*O_Scenario_Multipliers!$E$19*O_Scenario_Multipliers!$B$11*(IF(I_Live_Bird!$B$15="Flat",1,1+MAX(MIN(O_Demand_Rate!$F$7,I_Live_Bird!$B$16),-I_Live_Bird!$B$16))),1)</f>
        <v>60.4</v>
      </c>
      <c r="F17" s="25">
        <f>ROUND(O_Demand_Rate!$C$7*F$4*O_Scenario_Multipliers!$E$19*O_Scenario_Multipliers!$B$11*(IF(I_Live_Bird!$B$15="Flat",1,1+MAX(MIN(O_Demand_Rate!$F$7,I_Live_Bird!$B$16),-I_Live_Bird!$B$16))),1)</f>
        <v>63.6</v>
      </c>
      <c r="G17" s="25">
        <f>ROUND(O_Demand_Rate!$C$7*G$4*O_Scenario_Multipliers!$E$19*O_Scenario_Multipliers!$B$11*(IF(I_Live_Bird!$B$15="Flat",1,1+MAX(MIN(O_Demand_Rate!$F$7,I_Live_Bird!$B$16),-I_Live_Bird!$B$16))),1)</f>
        <v>69.900000000000006</v>
      </c>
      <c r="H17" s="25">
        <f>ROUND(O_Demand_Rate!$C$7*H$4*O_Scenario_Multipliers!$E$19*O_Scenario_Multipliers!$B$11*(IF(I_Live_Bird!$B$15="Flat",1,1+MAX(MIN(O_Demand_Rate!$F$7,I_Live_Bird!$B$16),-I_Live_Bird!$B$16))),1)</f>
        <v>76.3</v>
      </c>
      <c r="I17" s="25">
        <f>ROUND(O_Demand_Rate!$C$7*I$4*O_Scenario_Multipliers!$E$19*O_Scenario_Multipliers!$B$11*(IF(I_Live_Bird!$B$15="Flat",1,1+MAX(MIN(O_Demand_Rate!$F$7,I_Live_Bird!$B$16),-I_Live_Bird!$B$16))),1)</f>
        <v>73.099999999999994</v>
      </c>
      <c r="J17" s="25">
        <f>ROUND(O_Demand_Rate!$C$7*J$4*O_Scenario_Multipliers!$E$19*O_Scenario_Multipliers!$B$11*(IF(I_Live_Bird!$B$15="Flat",1,1+MAX(MIN(O_Demand_Rate!$F$7,I_Live_Bird!$B$16),-I_Live_Bird!$B$16))),1)</f>
        <v>60.4</v>
      </c>
      <c r="K17" s="48">
        <f t="shared" si="1"/>
        <v>462.79999999999995</v>
      </c>
    </row>
    <row r="18" spans="1:11" x14ac:dyDescent="0.35">
      <c r="A18" s="37" t="s">
        <v>122</v>
      </c>
      <c r="B18" s="2" t="s">
        <v>123</v>
      </c>
      <c r="C18" s="23" t="s">
        <v>240</v>
      </c>
      <c r="D18" s="25">
        <f>ROUND(O_Demand_Rate!$C$7*D$4*O_Scenario_Multipliers!$F$19*O_Scenario_Multipliers!$B$12*(IF(I_Live_Bird!$B$15="Flat",1,1+MAX(MIN(O_Demand_Rate!$F$7,I_Live_Bird!$B$16),-I_Live_Bird!$B$16))),1)</f>
        <v>68</v>
      </c>
      <c r="E18" s="25">
        <f>ROUND(O_Demand_Rate!$C$7*E$4*O_Scenario_Multipliers!$F$19*O_Scenario_Multipliers!$B$12*(IF(I_Live_Bird!$B$15="Flat",1,1+MAX(MIN(O_Demand_Rate!$F$7,I_Live_Bird!$B$16),-I_Live_Bird!$B$16))),1)</f>
        <v>69.5</v>
      </c>
      <c r="F18" s="25">
        <f>ROUND(O_Demand_Rate!$C$7*F$4*O_Scenario_Multipliers!$F$19*O_Scenario_Multipliers!$B$12*(IF(I_Live_Bird!$B$15="Flat",1,1+MAX(MIN(O_Demand_Rate!$F$7,I_Live_Bird!$B$16),-I_Live_Bird!$B$16))),1)</f>
        <v>73.099999999999994</v>
      </c>
      <c r="G18" s="25">
        <f>ROUND(O_Demand_Rate!$C$7*G$4*O_Scenario_Multipliers!$F$19*O_Scenario_Multipliers!$B$12*(IF(I_Live_Bird!$B$15="Flat",1,1+MAX(MIN(O_Demand_Rate!$F$7,I_Live_Bird!$B$16),-I_Live_Bird!$B$16))),1)</f>
        <v>80.400000000000006</v>
      </c>
      <c r="H18" s="25">
        <f>ROUND(O_Demand_Rate!$C$7*H$4*O_Scenario_Multipliers!$F$19*O_Scenario_Multipliers!$B$12*(IF(I_Live_Bird!$B$15="Flat",1,1+MAX(MIN(O_Demand_Rate!$F$7,I_Live_Bird!$B$16),-I_Live_Bird!$B$16))),1)</f>
        <v>87.7</v>
      </c>
      <c r="I18" s="25">
        <f>ROUND(O_Demand_Rate!$C$7*I$4*O_Scenario_Multipliers!$F$19*O_Scenario_Multipliers!$B$12*(IF(I_Live_Bird!$B$15="Flat",1,1+MAX(MIN(O_Demand_Rate!$F$7,I_Live_Bird!$B$16),-I_Live_Bird!$B$16))),1)</f>
        <v>84.1</v>
      </c>
      <c r="J18" s="25">
        <f>ROUND(O_Demand_Rate!$C$7*J$4*O_Scenario_Multipliers!$F$19*O_Scenario_Multipliers!$B$12*(IF(I_Live_Bird!$B$15="Flat",1,1+MAX(MIN(O_Demand_Rate!$F$7,I_Live_Bird!$B$16),-I_Live_Bird!$B$16))),1)</f>
        <v>69.5</v>
      </c>
      <c r="K18" s="48">
        <f t="shared" si="1"/>
        <v>532.29999999999995</v>
      </c>
    </row>
    <row r="19" spans="1:11" x14ac:dyDescent="0.35">
      <c r="A19" s="37" t="s">
        <v>127</v>
      </c>
      <c r="B19" s="2" t="s">
        <v>128</v>
      </c>
      <c r="C19" s="23" t="s">
        <v>238</v>
      </c>
      <c r="D19" s="25">
        <f>ROUND(O_Demand_Rate!$C$8*D$4*O_Scenario_Multipliers!$D$20*O_Scenario_Multipliers!$B$10*(IF(I_Live_Bird!$B$15="Flat",1,1+MAX(MIN(O_Demand_Rate!$F$8,I_Live_Bird!$B$16),-I_Live_Bird!$B$16))),1)</f>
        <v>25.1</v>
      </c>
      <c r="E19" s="25">
        <f>ROUND(O_Demand_Rate!$C$8*E$4*O_Scenario_Multipliers!$D$20*O_Scenario_Multipliers!$B$10*(IF(I_Live_Bird!$B$15="Flat",1,1+MAX(MIN(O_Demand_Rate!$F$8,I_Live_Bird!$B$16),-I_Live_Bird!$B$16))),1)</f>
        <v>25.6</v>
      </c>
      <c r="F19" s="25">
        <f>ROUND(O_Demand_Rate!$C$8*F$4*O_Scenario_Multipliers!$D$20*O_Scenario_Multipliers!$B$10*(IF(I_Live_Bird!$B$15="Flat",1,1+MAX(MIN(O_Demand_Rate!$F$8,I_Live_Bird!$B$16),-I_Live_Bird!$B$16))),1)</f>
        <v>27</v>
      </c>
      <c r="G19" s="25">
        <f>ROUND(O_Demand_Rate!$C$8*G$4*O_Scenario_Multipliers!$D$20*O_Scenario_Multipliers!$B$10*(IF(I_Live_Bird!$B$15="Flat",1,1+MAX(MIN(O_Demand_Rate!$F$8,I_Live_Bird!$B$16),-I_Live_Bird!$B$16))),1)</f>
        <v>29.6</v>
      </c>
      <c r="H19" s="25">
        <f>ROUND(O_Demand_Rate!$C$8*H$4*O_Scenario_Multipliers!$D$20*O_Scenario_Multipliers!$B$10*(IF(I_Live_Bird!$B$15="Flat",1,1+MAX(MIN(O_Demand_Rate!$F$8,I_Live_Bird!$B$16),-I_Live_Bird!$B$16))),1)</f>
        <v>32.299999999999997</v>
      </c>
      <c r="I19" s="25">
        <f>ROUND(O_Demand_Rate!$C$8*I$4*O_Scenario_Multipliers!$D$20*O_Scenario_Multipliers!$B$10*(IF(I_Live_Bird!$B$15="Flat",1,1+MAX(MIN(O_Demand_Rate!$F$8,I_Live_Bird!$B$16),-I_Live_Bird!$B$16))),1)</f>
        <v>31</v>
      </c>
      <c r="J19" s="25">
        <f>ROUND(O_Demand_Rate!$C$8*J$4*O_Scenario_Multipliers!$D$20*O_Scenario_Multipliers!$B$10*(IF(I_Live_Bird!$B$15="Flat",1,1+MAX(MIN(O_Demand_Rate!$F$8,I_Live_Bird!$B$16),-I_Live_Bird!$B$16))),1)</f>
        <v>25.6</v>
      </c>
      <c r="K19" s="48">
        <f t="shared" si="1"/>
        <v>196.20000000000002</v>
      </c>
    </row>
    <row r="20" spans="1:11" x14ac:dyDescent="0.35">
      <c r="A20" s="37" t="s">
        <v>127</v>
      </c>
      <c r="B20" s="2" t="s">
        <v>128</v>
      </c>
      <c r="C20" s="23" t="s">
        <v>239</v>
      </c>
      <c r="D20" s="25">
        <f>ROUND(O_Demand_Rate!$C$8*D$4*O_Scenario_Multipliers!$E$20*O_Scenario_Multipliers!$B$11*(IF(I_Live_Bird!$B$15="Flat",1,1+MAX(MIN(O_Demand_Rate!$F$8,I_Live_Bird!$B$16),-I_Live_Bird!$B$16))),1)</f>
        <v>29.5</v>
      </c>
      <c r="E20" s="25">
        <f>ROUND(O_Demand_Rate!$C$8*E$4*O_Scenario_Multipliers!$E$20*O_Scenario_Multipliers!$B$11*(IF(I_Live_Bird!$B$15="Flat",1,1+MAX(MIN(O_Demand_Rate!$F$8,I_Live_Bird!$B$16),-I_Live_Bird!$B$16))),1)</f>
        <v>30.1</v>
      </c>
      <c r="F20" s="25">
        <f>ROUND(O_Demand_Rate!$C$8*F$4*O_Scenario_Multipliers!$E$20*O_Scenario_Multipliers!$B$11*(IF(I_Live_Bird!$B$15="Flat",1,1+MAX(MIN(O_Demand_Rate!$F$8,I_Live_Bird!$B$16),-I_Live_Bird!$B$16))),1)</f>
        <v>31.7</v>
      </c>
      <c r="G20" s="25">
        <f>ROUND(O_Demand_Rate!$C$8*G$4*O_Scenario_Multipliers!$E$20*O_Scenario_Multipliers!$B$11*(IF(I_Live_Bird!$B$15="Flat",1,1+MAX(MIN(O_Demand_Rate!$F$8,I_Live_Bird!$B$16),-I_Live_Bird!$B$16))),1)</f>
        <v>34.9</v>
      </c>
      <c r="H20" s="25">
        <f>ROUND(O_Demand_Rate!$C$8*H$4*O_Scenario_Multipliers!$E$20*O_Scenario_Multipliers!$B$11*(IF(I_Live_Bird!$B$15="Flat",1,1+MAX(MIN(O_Demand_Rate!$F$8,I_Live_Bird!$B$16),-I_Live_Bird!$B$16))),1)</f>
        <v>38.1</v>
      </c>
      <c r="I20" s="25">
        <f>ROUND(O_Demand_Rate!$C$8*I$4*O_Scenario_Multipliers!$E$20*O_Scenario_Multipliers!$B$11*(IF(I_Live_Bird!$B$15="Flat",1,1+MAX(MIN(O_Demand_Rate!$F$8,I_Live_Bird!$B$16),-I_Live_Bird!$B$16))),1)</f>
        <v>36.5</v>
      </c>
      <c r="J20" s="25">
        <f>ROUND(O_Demand_Rate!$C$8*J$4*O_Scenario_Multipliers!$E$20*O_Scenario_Multipliers!$B$11*(IF(I_Live_Bird!$B$15="Flat",1,1+MAX(MIN(O_Demand_Rate!$F$8,I_Live_Bird!$B$16),-I_Live_Bird!$B$16))),1)</f>
        <v>30.1</v>
      </c>
      <c r="K20" s="48">
        <f t="shared" si="1"/>
        <v>230.89999999999998</v>
      </c>
    </row>
    <row r="21" spans="1:11" x14ac:dyDescent="0.35">
      <c r="A21" s="37" t="s">
        <v>127</v>
      </c>
      <c r="B21" s="2" t="s">
        <v>128</v>
      </c>
      <c r="C21" s="23" t="s">
        <v>240</v>
      </c>
      <c r="D21" s="25">
        <f>ROUND(O_Demand_Rate!$C$8*D$4*O_Scenario_Multipliers!$F$20*O_Scenario_Multipliers!$B$12*(IF(I_Live_Bird!$B$15="Flat",1,1+MAX(MIN(O_Demand_Rate!$F$8,I_Live_Bird!$B$16),-I_Live_Bird!$B$16))),1)</f>
        <v>33.9</v>
      </c>
      <c r="E21" s="25">
        <f>ROUND(O_Demand_Rate!$C$8*E$4*O_Scenario_Multipliers!$F$20*O_Scenario_Multipliers!$B$12*(IF(I_Live_Bird!$B$15="Flat",1,1+MAX(MIN(O_Demand_Rate!$F$8,I_Live_Bird!$B$16),-I_Live_Bird!$B$16))),1)</f>
        <v>34.6</v>
      </c>
      <c r="F21" s="25">
        <f>ROUND(O_Demand_Rate!$C$8*F$4*O_Scenario_Multipliers!$F$20*O_Scenario_Multipliers!$B$12*(IF(I_Live_Bird!$B$15="Flat",1,1+MAX(MIN(O_Demand_Rate!$F$8,I_Live_Bird!$B$16),-I_Live_Bird!$B$16))),1)</f>
        <v>36.5</v>
      </c>
      <c r="G21" s="25">
        <f>ROUND(O_Demand_Rate!$C$8*G$4*O_Scenario_Multipliers!$F$20*O_Scenario_Multipliers!$B$12*(IF(I_Live_Bird!$B$15="Flat",1,1+MAX(MIN(O_Demand_Rate!$F$8,I_Live_Bird!$B$16),-I_Live_Bird!$B$16))),1)</f>
        <v>40.1</v>
      </c>
      <c r="H21" s="25">
        <f>ROUND(O_Demand_Rate!$C$8*H$4*O_Scenario_Multipliers!$F$20*O_Scenario_Multipliers!$B$12*(IF(I_Live_Bird!$B$15="Flat",1,1+MAX(MIN(O_Demand_Rate!$F$8,I_Live_Bird!$B$16),-I_Live_Bird!$B$16))),1)</f>
        <v>43.8</v>
      </c>
      <c r="I21" s="25">
        <f>ROUND(O_Demand_Rate!$C$8*I$4*O_Scenario_Multipliers!$F$20*O_Scenario_Multipliers!$B$12*(IF(I_Live_Bird!$B$15="Flat",1,1+MAX(MIN(O_Demand_Rate!$F$8,I_Live_Bird!$B$16),-I_Live_Bird!$B$16))),1)</f>
        <v>41.9</v>
      </c>
      <c r="J21" s="25">
        <f>ROUND(O_Demand_Rate!$C$8*J$4*O_Scenario_Multipliers!$F$20*O_Scenario_Multipliers!$B$12*(IF(I_Live_Bird!$B$15="Flat",1,1+MAX(MIN(O_Demand_Rate!$F$8,I_Live_Bird!$B$16),-I_Live_Bird!$B$16))),1)</f>
        <v>34.6</v>
      </c>
      <c r="K21" s="48">
        <f t="shared" si="1"/>
        <v>265.39999999999998</v>
      </c>
    </row>
    <row r="22" spans="1:11" x14ac:dyDescent="0.35">
      <c r="A22" s="37" t="s">
        <v>129</v>
      </c>
      <c r="B22" s="2" t="s">
        <v>130</v>
      </c>
      <c r="C22" s="23" t="s">
        <v>238</v>
      </c>
      <c r="D22" s="25">
        <f>ROUND(O_Demand_Rate!$C$9*D$4*O_Scenario_Multipliers!$D$21*O_Scenario_Multipliers!$B$10*(IF(I_Live_Bird!$B$15="Flat",1,1+MAX(MIN(O_Demand_Rate!$F$9,I_Live_Bird!$B$16),-I_Live_Bird!$B$16))),1)</f>
        <v>57.6</v>
      </c>
      <c r="E22" s="25">
        <f>ROUND(O_Demand_Rate!$C$9*E$4*O_Scenario_Multipliers!$D$21*O_Scenario_Multipliers!$B$10*(IF(I_Live_Bird!$B$15="Flat",1,1+MAX(MIN(O_Demand_Rate!$F$9,I_Live_Bird!$B$16),-I_Live_Bird!$B$16))),1)</f>
        <v>58.8</v>
      </c>
      <c r="F22" s="25">
        <f>ROUND(O_Demand_Rate!$C$9*F$4*O_Scenario_Multipliers!$D$21*O_Scenario_Multipliers!$B$10*(IF(I_Live_Bird!$B$15="Flat",1,1+MAX(MIN(O_Demand_Rate!$F$9,I_Live_Bird!$B$16),-I_Live_Bird!$B$16))),1)</f>
        <v>61.9</v>
      </c>
      <c r="G22" s="25">
        <f>ROUND(O_Demand_Rate!$C$9*G$4*O_Scenario_Multipliers!$D$21*O_Scenario_Multipliers!$B$10*(IF(I_Live_Bird!$B$15="Flat",1,1+MAX(MIN(O_Demand_Rate!$F$9,I_Live_Bird!$B$16),-I_Live_Bird!$B$16))),1)</f>
        <v>68.099999999999994</v>
      </c>
      <c r="H22" s="25">
        <f>ROUND(O_Demand_Rate!$C$9*H$4*O_Scenario_Multipliers!$D$21*O_Scenario_Multipliers!$B$10*(IF(I_Live_Bird!$B$15="Flat",1,1+MAX(MIN(O_Demand_Rate!$F$9,I_Live_Bird!$B$16),-I_Live_Bird!$B$16))),1)</f>
        <v>74.3</v>
      </c>
      <c r="I22" s="25">
        <f>ROUND(O_Demand_Rate!$C$9*I$4*O_Scenario_Multipliers!$D$21*O_Scenario_Multipliers!$B$10*(IF(I_Live_Bird!$B$15="Flat",1,1+MAX(MIN(O_Demand_Rate!$F$9,I_Live_Bird!$B$16),-I_Live_Bird!$B$16))),1)</f>
        <v>71.2</v>
      </c>
      <c r="J22" s="25">
        <f>ROUND(O_Demand_Rate!$C$9*J$4*O_Scenario_Multipliers!$D$21*O_Scenario_Multipliers!$B$10*(IF(I_Live_Bird!$B$15="Flat",1,1+MAX(MIN(O_Demand_Rate!$F$9,I_Live_Bird!$B$16),-I_Live_Bird!$B$16))),1)</f>
        <v>58.8</v>
      </c>
      <c r="K22" s="48">
        <f t="shared" si="1"/>
        <v>450.7</v>
      </c>
    </row>
    <row r="23" spans="1:11" x14ac:dyDescent="0.35">
      <c r="A23" s="37" t="s">
        <v>129</v>
      </c>
      <c r="B23" s="2" t="s">
        <v>130</v>
      </c>
      <c r="C23" s="23" t="s">
        <v>239</v>
      </c>
      <c r="D23" s="25">
        <f>ROUND(O_Demand_Rate!$C$9*D$4*O_Scenario_Multipliers!$E$21*O_Scenario_Multipliers!$B$11*(IF(I_Live_Bird!$B$15="Flat",1,1+MAX(MIN(O_Demand_Rate!$F$9,I_Live_Bird!$B$16),-I_Live_Bird!$B$16))),1)</f>
        <v>67.7</v>
      </c>
      <c r="E23" s="25">
        <f>ROUND(O_Demand_Rate!$C$9*E$4*O_Scenario_Multipliers!$E$21*O_Scenario_Multipliers!$B$11*(IF(I_Live_Bird!$B$15="Flat",1,1+MAX(MIN(O_Demand_Rate!$F$9,I_Live_Bird!$B$16),-I_Live_Bird!$B$16))),1)</f>
        <v>69.2</v>
      </c>
      <c r="F23" s="25">
        <f>ROUND(O_Demand_Rate!$C$9*F$4*O_Scenario_Multipliers!$E$21*O_Scenario_Multipliers!$B$11*(IF(I_Live_Bird!$B$15="Flat",1,1+MAX(MIN(O_Demand_Rate!$F$9,I_Live_Bird!$B$16),-I_Live_Bird!$B$16))),1)</f>
        <v>72.8</v>
      </c>
      <c r="G23" s="25">
        <f>ROUND(O_Demand_Rate!$C$9*G$4*O_Scenario_Multipliers!$E$21*O_Scenario_Multipliers!$B$11*(IF(I_Live_Bird!$B$15="Flat",1,1+MAX(MIN(O_Demand_Rate!$F$9,I_Live_Bird!$B$16),-I_Live_Bird!$B$16))),1)</f>
        <v>80.099999999999994</v>
      </c>
      <c r="H23" s="25">
        <f>ROUND(O_Demand_Rate!$C$9*H$4*O_Scenario_Multipliers!$E$21*O_Scenario_Multipliers!$B$11*(IF(I_Live_Bird!$B$15="Flat",1,1+MAX(MIN(O_Demand_Rate!$F$9,I_Live_Bird!$B$16),-I_Live_Bird!$B$16))),1)</f>
        <v>87.4</v>
      </c>
      <c r="I23" s="25">
        <f>ROUND(O_Demand_Rate!$C$9*I$4*O_Scenario_Multipliers!$E$21*O_Scenario_Multipliers!$B$11*(IF(I_Live_Bird!$B$15="Flat",1,1+MAX(MIN(O_Demand_Rate!$F$9,I_Live_Bird!$B$16),-I_Live_Bird!$B$16))),1)</f>
        <v>83.8</v>
      </c>
      <c r="J23" s="25">
        <f>ROUND(O_Demand_Rate!$C$9*J$4*O_Scenario_Multipliers!$E$21*O_Scenario_Multipliers!$B$11*(IF(I_Live_Bird!$B$15="Flat",1,1+MAX(MIN(O_Demand_Rate!$F$9,I_Live_Bird!$B$16),-I_Live_Bird!$B$16))),1)</f>
        <v>69.2</v>
      </c>
      <c r="K23" s="48">
        <f t="shared" si="1"/>
        <v>530.19999999999993</v>
      </c>
    </row>
    <row r="24" spans="1:11" x14ac:dyDescent="0.35">
      <c r="A24" s="37" t="s">
        <v>129</v>
      </c>
      <c r="B24" s="2" t="s">
        <v>130</v>
      </c>
      <c r="C24" s="23" t="s">
        <v>240</v>
      </c>
      <c r="D24" s="25">
        <f>ROUND(O_Demand_Rate!$C$9*D$4*O_Scenario_Multipliers!$F$21*O_Scenario_Multipliers!$B$12*(IF(I_Live_Bird!$B$15="Flat",1,1+MAX(MIN(O_Demand_Rate!$F$9,I_Live_Bird!$B$16),-I_Live_Bird!$B$16))),1)</f>
        <v>77.900000000000006</v>
      </c>
      <c r="E24" s="25">
        <f>ROUND(O_Demand_Rate!$C$9*E$4*O_Scenario_Multipliers!$F$21*O_Scenario_Multipliers!$B$12*(IF(I_Live_Bird!$B$15="Flat",1,1+MAX(MIN(O_Demand_Rate!$F$9,I_Live_Bird!$B$16),-I_Live_Bird!$B$16))),1)</f>
        <v>79.599999999999994</v>
      </c>
      <c r="F24" s="25">
        <f>ROUND(O_Demand_Rate!$C$9*F$4*O_Scenario_Multipliers!$F$21*O_Scenario_Multipliers!$B$12*(IF(I_Live_Bird!$B$15="Flat",1,1+MAX(MIN(O_Demand_Rate!$F$9,I_Live_Bird!$B$16),-I_Live_Bird!$B$16))),1)</f>
        <v>83.8</v>
      </c>
      <c r="G24" s="25">
        <f>ROUND(O_Demand_Rate!$C$9*G$4*O_Scenario_Multipliers!$F$21*O_Scenario_Multipliers!$B$12*(IF(I_Live_Bird!$B$15="Flat",1,1+MAX(MIN(O_Demand_Rate!$F$9,I_Live_Bird!$B$16),-I_Live_Bird!$B$16))),1)</f>
        <v>92.1</v>
      </c>
      <c r="H24" s="25">
        <f>ROUND(O_Demand_Rate!$C$9*H$4*O_Scenario_Multipliers!$F$21*O_Scenario_Multipliers!$B$12*(IF(I_Live_Bird!$B$15="Flat",1,1+MAX(MIN(O_Demand_Rate!$F$9,I_Live_Bird!$B$16),-I_Live_Bird!$B$16))),1)</f>
        <v>100.5</v>
      </c>
      <c r="I24" s="25">
        <f>ROUND(O_Demand_Rate!$C$9*I$4*O_Scenario_Multipliers!$F$21*O_Scenario_Multipliers!$B$12*(IF(I_Live_Bird!$B$15="Flat",1,1+MAX(MIN(O_Demand_Rate!$F$9,I_Live_Bird!$B$16),-I_Live_Bird!$B$16))),1)</f>
        <v>96.3</v>
      </c>
      <c r="J24" s="25">
        <f>ROUND(O_Demand_Rate!$C$9*J$4*O_Scenario_Multipliers!$F$21*O_Scenario_Multipliers!$B$12*(IF(I_Live_Bird!$B$15="Flat",1,1+MAX(MIN(O_Demand_Rate!$F$9,I_Live_Bird!$B$16),-I_Live_Bird!$B$16))),1)</f>
        <v>79.599999999999994</v>
      </c>
      <c r="K24" s="48">
        <f t="shared" si="1"/>
        <v>609.79999999999995</v>
      </c>
    </row>
    <row r="25" spans="1:11" x14ac:dyDescent="0.35">
      <c r="A25" s="37" t="s">
        <v>131</v>
      </c>
      <c r="B25" s="2" t="s">
        <v>132</v>
      </c>
      <c r="C25" s="23" t="s">
        <v>238</v>
      </c>
      <c r="D25" s="25">
        <f>ROUND(O_Demand_Rate!$C$10*D$4*O_Scenario_Multipliers!$D$22*O_Scenario_Multipliers!$B$10*(IF(I_Live_Bird!$B$15="Flat",1,1+MAX(MIN(O_Demand_Rate!$F$10,I_Live_Bird!$B$16),-I_Live_Bird!$B$16))),1)</f>
        <v>46.3</v>
      </c>
      <c r="E25" s="25">
        <f>ROUND(O_Demand_Rate!$C$10*E$4*O_Scenario_Multipliers!$D$22*O_Scenario_Multipliers!$B$10*(IF(I_Live_Bird!$B$15="Flat",1,1+MAX(MIN(O_Demand_Rate!$F$10,I_Live_Bird!$B$16),-I_Live_Bird!$B$16))),1)</f>
        <v>47.3</v>
      </c>
      <c r="F25" s="25">
        <f>ROUND(O_Demand_Rate!$C$10*F$4*O_Scenario_Multipliers!$D$22*O_Scenario_Multipliers!$B$10*(IF(I_Live_Bird!$B$15="Flat",1,1+MAX(MIN(O_Demand_Rate!$F$10,I_Live_Bird!$B$16),-I_Live_Bird!$B$16))),1)</f>
        <v>49.7</v>
      </c>
      <c r="G25" s="25">
        <f>ROUND(O_Demand_Rate!$C$10*G$4*O_Scenario_Multipliers!$D$22*O_Scenario_Multipliers!$B$10*(IF(I_Live_Bird!$B$15="Flat",1,1+MAX(MIN(O_Demand_Rate!$F$10,I_Live_Bird!$B$16),-I_Live_Bird!$B$16))),1)</f>
        <v>54.7</v>
      </c>
      <c r="H25" s="25">
        <f>ROUND(O_Demand_Rate!$C$10*H$4*O_Scenario_Multipliers!$D$22*O_Scenario_Multipliers!$B$10*(IF(I_Live_Bird!$B$15="Flat",1,1+MAX(MIN(O_Demand_Rate!$F$10,I_Live_Bird!$B$16),-I_Live_Bird!$B$16))),1)</f>
        <v>59.7</v>
      </c>
      <c r="I25" s="25">
        <f>ROUND(O_Demand_Rate!$C$10*I$4*O_Scenario_Multipliers!$D$22*O_Scenario_Multipliers!$B$10*(IF(I_Live_Bird!$B$15="Flat",1,1+MAX(MIN(O_Demand_Rate!$F$10,I_Live_Bird!$B$16),-I_Live_Bird!$B$16))),1)</f>
        <v>57.2</v>
      </c>
      <c r="J25" s="25">
        <f>ROUND(O_Demand_Rate!$C$10*J$4*O_Scenario_Multipliers!$D$22*O_Scenario_Multipliers!$B$10*(IF(I_Live_Bird!$B$15="Flat",1,1+MAX(MIN(O_Demand_Rate!$F$10,I_Live_Bird!$B$16),-I_Live_Bird!$B$16))),1)</f>
        <v>47.3</v>
      </c>
      <c r="K25" s="48">
        <f t="shared" si="1"/>
        <v>362.2</v>
      </c>
    </row>
    <row r="26" spans="1:11" x14ac:dyDescent="0.35">
      <c r="A26" s="37" t="s">
        <v>131</v>
      </c>
      <c r="B26" s="2" t="s">
        <v>132</v>
      </c>
      <c r="C26" s="23" t="s">
        <v>239</v>
      </c>
      <c r="D26" s="25">
        <f>ROUND(O_Demand_Rate!$C$10*D$4*O_Scenario_Multipliers!$E$22*O_Scenario_Multipliers!$B$11*(IF(I_Live_Bird!$B$15="Flat",1,1+MAX(MIN(O_Demand_Rate!$F$10,I_Live_Bird!$B$16),-I_Live_Bird!$B$16))),1)</f>
        <v>54.4</v>
      </c>
      <c r="E26" s="25">
        <f>ROUND(O_Demand_Rate!$C$10*E$4*O_Scenario_Multipliers!$E$22*O_Scenario_Multipliers!$B$11*(IF(I_Live_Bird!$B$15="Flat",1,1+MAX(MIN(O_Demand_Rate!$F$10,I_Live_Bird!$B$16),-I_Live_Bird!$B$16))),1)</f>
        <v>55.6</v>
      </c>
      <c r="F26" s="25">
        <f>ROUND(O_Demand_Rate!$C$10*F$4*O_Scenario_Multipliers!$E$22*O_Scenario_Multipliers!$B$11*(IF(I_Live_Bird!$B$15="Flat",1,1+MAX(MIN(O_Demand_Rate!$F$10,I_Live_Bird!$B$16),-I_Live_Bird!$B$16))),1)</f>
        <v>58.5</v>
      </c>
      <c r="G26" s="25">
        <f>ROUND(O_Demand_Rate!$C$10*G$4*O_Scenario_Multipliers!$E$22*O_Scenario_Multipliers!$B$11*(IF(I_Live_Bird!$B$15="Flat",1,1+MAX(MIN(O_Demand_Rate!$F$10,I_Live_Bird!$B$16),-I_Live_Bird!$B$16))),1)</f>
        <v>64.400000000000006</v>
      </c>
      <c r="H26" s="25">
        <f>ROUND(O_Demand_Rate!$C$10*H$4*O_Scenario_Multipliers!$E$22*O_Scenario_Multipliers!$B$11*(IF(I_Live_Bird!$B$15="Flat",1,1+MAX(MIN(O_Demand_Rate!$F$10,I_Live_Bird!$B$16),-I_Live_Bird!$B$16))),1)</f>
        <v>70.2</v>
      </c>
      <c r="I26" s="25">
        <f>ROUND(O_Demand_Rate!$C$10*I$4*O_Scenario_Multipliers!$E$22*O_Scenario_Multipliers!$B$11*(IF(I_Live_Bird!$B$15="Flat",1,1+MAX(MIN(O_Demand_Rate!$F$10,I_Live_Bird!$B$16),-I_Live_Bird!$B$16))),1)</f>
        <v>67.3</v>
      </c>
      <c r="J26" s="25">
        <f>ROUND(O_Demand_Rate!$C$10*J$4*O_Scenario_Multipliers!$E$22*O_Scenario_Multipliers!$B$11*(IF(I_Live_Bird!$B$15="Flat",1,1+MAX(MIN(O_Demand_Rate!$F$10,I_Live_Bird!$B$16),-I_Live_Bird!$B$16))),1)</f>
        <v>55.6</v>
      </c>
      <c r="K26" s="48">
        <f t="shared" si="1"/>
        <v>426.00000000000006</v>
      </c>
    </row>
    <row r="27" spans="1:11" x14ac:dyDescent="0.35">
      <c r="A27" s="37" t="s">
        <v>131</v>
      </c>
      <c r="B27" s="2" t="s">
        <v>132</v>
      </c>
      <c r="C27" s="23" t="s">
        <v>240</v>
      </c>
      <c r="D27" s="25">
        <f>ROUND(O_Demand_Rate!$C$10*D$4*O_Scenario_Multipliers!$F$22*O_Scenario_Multipliers!$B$12*(IF(I_Live_Bird!$B$15="Flat",1,1+MAX(MIN(O_Demand_Rate!$F$10,I_Live_Bird!$B$16),-I_Live_Bird!$B$16))),1)</f>
        <v>62.6</v>
      </c>
      <c r="E27" s="25">
        <f>ROUND(O_Demand_Rate!$C$10*E$4*O_Scenario_Multipliers!$F$22*O_Scenario_Multipliers!$B$12*(IF(I_Live_Bird!$B$15="Flat",1,1+MAX(MIN(O_Demand_Rate!$F$10,I_Live_Bird!$B$16),-I_Live_Bird!$B$16))),1)</f>
        <v>63.9</v>
      </c>
      <c r="F27" s="25">
        <f>ROUND(O_Demand_Rate!$C$10*F$4*O_Scenario_Multipliers!$F$22*O_Scenario_Multipliers!$B$12*(IF(I_Live_Bird!$B$15="Flat",1,1+MAX(MIN(O_Demand_Rate!$F$10,I_Live_Bird!$B$16),-I_Live_Bird!$B$16))),1)</f>
        <v>67.3</v>
      </c>
      <c r="G27" s="25">
        <f>ROUND(O_Demand_Rate!$C$10*G$4*O_Scenario_Multipliers!$F$22*O_Scenario_Multipliers!$B$12*(IF(I_Live_Bird!$B$15="Flat",1,1+MAX(MIN(O_Demand_Rate!$F$10,I_Live_Bird!$B$16),-I_Live_Bird!$B$16))),1)</f>
        <v>74</v>
      </c>
      <c r="H27" s="25">
        <f>ROUND(O_Demand_Rate!$C$10*H$4*O_Scenario_Multipliers!$F$22*O_Scenario_Multipliers!$B$12*(IF(I_Live_Bird!$B$15="Flat",1,1+MAX(MIN(O_Demand_Rate!$F$10,I_Live_Bird!$B$16),-I_Live_Bird!$B$16))),1)</f>
        <v>80.8</v>
      </c>
      <c r="I27" s="25">
        <f>ROUND(O_Demand_Rate!$C$10*I$4*O_Scenario_Multipliers!$F$22*O_Scenario_Multipliers!$B$12*(IF(I_Live_Bird!$B$15="Flat",1,1+MAX(MIN(O_Demand_Rate!$F$10,I_Live_Bird!$B$16),-I_Live_Bird!$B$16))),1)</f>
        <v>77.400000000000006</v>
      </c>
      <c r="J27" s="25">
        <f>ROUND(O_Demand_Rate!$C$10*J$4*O_Scenario_Multipliers!$F$22*O_Scenario_Multipliers!$B$12*(IF(I_Live_Bird!$B$15="Flat",1,1+MAX(MIN(O_Demand_Rate!$F$10,I_Live_Bird!$B$16),-I_Live_Bird!$B$16))),1)</f>
        <v>63.9</v>
      </c>
      <c r="K27" s="48">
        <f t="shared" si="1"/>
        <v>489.9</v>
      </c>
    </row>
    <row r="28" spans="1:11" x14ac:dyDescent="0.35">
      <c r="A28" s="37" t="s">
        <v>133</v>
      </c>
      <c r="B28" s="2" t="s">
        <v>134</v>
      </c>
      <c r="C28" s="23" t="s">
        <v>238</v>
      </c>
      <c r="D28" s="25">
        <f>ROUND(O_Demand_Rate!$C$11*D$4*O_Scenario_Multipliers!$D$23*O_Scenario_Multipliers!$B$10*(IF(I_Live_Bird!$B$15="Flat",1,1+MAX(MIN(O_Demand_Rate!$F$11,I_Live_Bird!$B$16),-I_Live_Bird!$B$16))),1)</f>
        <v>188.8</v>
      </c>
      <c r="E28" s="25">
        <f>ROUND(O_Demand_Rate!$C$11*E$4*O_Scenario_Multipliers!$D$23*O_Scenario_Multipliers!$B$10*(IF(I_Live_Bird!$B$15="Flat",1,1+MAX(MIN(O_Demand_Rate!$F$11,I_Live_Bird!$B$16),-I_Live_Bird!$B$16))),1)</f>
        <v>192.9</v>
      </c>
      <c r="F28" s="25">
        <f>ROUND(O_Demand_Rate!$C$11*F$4*O_Scenario_Multipliers!$D$23*O_Scenario_Multipliers!$B$10*(IF(I_Live_Bird!$B$15="Flat",1,1+MAX(MIN(O_Demand_Rate!$F$11,I_Live_Bird!$B$16),-I_Live_Bird!$B$16))),1)</f>
        <v>203</v>
      </c>
      <c r="G28" s="25">
        <f>ROUND(O_Demand_Rate!$C$11*G$4*O_Scenario_Multipliers!$D$23*O_Scenario_Multipliers!$B$10*(IF(I_Live_Bird!$B$15="Flat",1,1+MAX(MIN(O_Demand_Rate!$F$11,I_Live_Bird!$B$16),-I_Live_Bird!$B$16))),1)</f>
        <v>223.3</v>
      </c>
      <c r="H28" s="25">
        <f>ROUND(O_Demand_Rate!$C$11*H$4*O_Scenario_Multipliers!$D$23*O_Scenario_Multipliers!$B$10*(IF(I_Live_Bird!$B$15="Flat",1,1+MAX(MIN(O_Demand_Rate!$F$11,I_Live_Bird!$B$16),-I_Live_Bird!$B$16))),1)</f>
        <v>243.7</v>
      </c>
      <c r="I28" s="25">
        <f>ROUND(O_Demand_Rate!$C$11*I$4*O_Scenario_Multipliers!$D$23*O_Scenario_Multipliers!$B$10*(IF(I_Live_Bird!$B$15="Flat",1,1+MAX(MIN(O_Demand_Rate!$F$11,I_Live_Bird!$B$16),-I_Live_Bird!$B$16))),1)</f>
        <v>233.5</v>
      </c>
      <c r="J28" s="25">
        <f>ROUND(O_Demand_Rate!$C$11*J$4*O_Scenario_Multipliers!$D$23*O_Scenario_Multipliers!$B$10*(IF(I_Live_Bird!$B$15="Flat",1,1+MAX(MIN(O_Demand_Rate!$F$11,I_Live_Bird!$B$16),-I_Live_Bird!$B$16))),1)</f>
        <v>192.9</v>
      </c>
      <c r="K28" s="48">
        <f t="shared" si="1"/>
        <v>1478.1000000000001</v>
      </c>
    </row>
    <row r="29" spans="1:11" x14ac:dyDescent="0.35">
      <c r="A29" s="37" t="s">
        <v>133</v>
      </c>
      <c r="B29" s="2" t="s">
        <v>134</v>
      </c>
      <c r="C29" s="23" t="s">
        <v>239</v>
      </c>
      <c r="D29" s="25">
        <f>ROUND(O_Demand_Rate!$C$11*D$4*O_Scenario_Multipliers!$E$23*O_Scenario_Multipliers!$B$11*(IF(I_Live_Bird!$B$15="Flat",1,1+MAX(MIN(O_Demand_Rate!$F$11,I_Live_Bird!$B$16),-I_Live_Bird!$B$16))),1)</f>
        <v>194.7</v>
      </c>
      <c r="E29" s="25">
        <f>ROUND(O_Demand_Rate!$C$11*E$4*O_Scenario_Multipliers!$E$23*O_Scenario_Multipliers!$B$11*(IF(I_Live_Bird!$B$15="Flat",1,1+MAX(MIN(O_Demand_Rate!$F$11,I_Live_Bird!$B$16),-I_Live_Bird!$B$16))),1)</f>
        <v>198.9</v>
      </c>
      <c r="F29" s="25">
        <f>ROUND(O_Demand_Rate!$C$11*F$4*O_Scenario_Multipliers!$E$23*O_Scenario_Multipliers!$B$11*(IF(I_Live_Bird!$B$15="Flat",1,1+MAX(MIN(O_Demand_Rate!$F$11,I_Live_Bird!$B$16),-I_Live_Bird!$B$16))),1)</f>
        <v>209.3</v>
      </c>
      <c r="G29" s="25">
        <f>ROUND(O_Demand_Rate!$C$11*G$4*O_Scenario_Multipliers!$E$23*O_Scenario_Multipliers!$B$11*(IF(I_Live_Bird!$B$15="Flat",1,1+MAX(MIN(O_Demand_Rate!$F$11,I_Live_Bird!$B$16),-I_Live_Bird!$B$16))),1)</f>
        <v>230.3</v>
      </c>
      <c r="H29" s="25">
        <f>ROUND(O_Demand_Rate!$C$11*H$4*O_Scenario_Multipliers!$E$23*O_Scenario_Multipliers!$B$11*(IF(I_Live_Bird!$B$15="Flat",1,1+MAX(MIN(O_Demand_Rate!$F$11,I_Live_Bird!$B$16),-I_Live_Bird!$B$16))),1)</f>
        <v>251.2</v>
      </c>
      <c r="I29" s="25">
        <f>ROUND(O_Demand_Rate!$C$11*I$4*O_Scenario_Multipliers!$E$23*O_Scenario_Multipliers!$B$11*(IF(I_Live_Bird!$B$15="Flat",1,1+MAX(MIN(O_Demand_Rate!$F$11,I_Live_Bird!$B$16),-I_Live_Bird!$B$16))),1)</f>
        <v>240.7</v>
      </c>
      <c r="J29" s="25">
        <f>ROUND(O_Demand_Rate!$C$11*J$4*O_Scenario_Multipliers!$E$23*O_Scenario_Multipliers!$B$11*(IF(I_Live_Bird!$B$15="Flat",1,1+MAX(MIN(O_Demand_Rate!$F$11,I_Live_Bird!$B$16),-I_Live_Bird!$B$16))),1)</f>
        <v>198.9</v>
      </c>
      <c r="K29" s="48">
        <f t="shared" si="1"/>
        <v>1524.0000000000002</v>
      </c>
    </row>
    <row r="30" spans="1:11" x14ac:dyDescent="0.35">
      <c r="A30" s="37" t="s">
        <v>133</v>
      </c>
      <c r="B30" s="2" t="s">
        <v>134</v>
      </c>
      <c r="C30" s="23" t="s">
        <v>240</v>
      </c>
      <c r="D30" s="25">
        <f>ROUND(O_Demand_Rate!$C$11*D$4*O_Scenario_Multipliers!$F$23*O_Scenario_Multipliers!$B$12*(IF(I_Live_Bird!$B$15="Flat",1,1+MAX(MIN(O_Demand_Rate!$F$11,I_Live_Bird!$B$16),-I_Live_Bird!$B$16))),1)</f>
        <v>200.5</v>
      </c>
      <c r="E30" s="25">
        <f>ROUND(O_Demand_Rate!$C$11*E$4*O_Scenario_Multipliers!$F$23*O_Scenario_Multipliers!$B$12*(IF(I_Live_Bird!$B$15="Flat",1,1+MAX(MIN(O_Demand_Rate!$F$11,I_Live_Bird!$B$16),-I_Live_Bird!$B$16))),1)</f>
        <v>204.8</v>
      </c>
      <c r="F30" s="25">
        <f>ROUND(O_Demand_Rate!$C$11*F$4*O_Scenario_Multipliers!$F$23*O_Scenario_Multipliers!$B$12*(IF(I_Live_Bird!$B$15="Flat",1,1+MAX(MIN(O_Demand_Rate!$F$11,I_Live_Bird!$B$16),-I_Live_Bird!$B$16))),1)</f>
        <v>215.6</v>
      </c>
      <c r="G30" s="25">
        <f>ROUND(O_Demand_Rate!$C$11*G$4*O_Scenario_Multipliers!$F$23*O_Scenario_Multipliers!$B$12*(IF(I_Live_Bird!$B$15="Flat",1,1+MAX(MIN(O_Demand_Rate!$F$11,I_Live_Bird!$B$16),-I_Live_Bird!$B$16))),1)</f>
        <v>237.2</v>
      </c>
      <c r="H30" s="25">
        <f>ROUND(O_Demand_Rate!$C$11*H$4*O_Scenario_Multipliers!$F$23*O_Scenario_Multipliers!$B$12*(IF(I_Live_Bird!$B$15="Flat",1,1+MAX(MIN(O_Demand_Rate!$F$11,I_Live_Bird!$B$16),-I_Live_Bird!$B$16))),1)</f>
        <v>258.7</v>
      </c>
      <c r="I30" s="25">
        <f>ROUND(O_Demand_Rate!$C$11*I$4*O_Scenario_Multipliers!$F$23*O_Scenario_Multipliers!$B$12*(IF(I_Live_Bird!$B$15="Flat",1,1+MAX(MIN(O_Demand_Rate!$F$11,I_Live_Bird!$B$16),-I_Live_Bird!$B$16))),1)</f>
        <v>247.9</v>
      </c>
      <c r="J30" s="25">
        <f>ROUND(O_Demand_Rate!$C$11*J$4*O_Scenario_Multipliers!$F$23*O_Scenario_Multipliers!$B$12*(IF(I_Live_Bird!$B$15="Flat",1,1+MAX(MIN(O_Demand_Rate!$F$11,I_Live_Bird!$B$16),-I_Live_Bird!$B$16))),1)</f>
        <v>204.8</v>
      </c>
      <c r="K30" s="48">
        <f t="shared" si="1"/>
        <v>1569.5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4"/>
  <sheetViews>
    <sheetView topLeftCell="A30" zoomScaleNormal="100" workbookViewId="0">
      <selection activeCell="B34" sqref="B34"/>
    </sheetView>
  </sheetViews>
  <sheetFormatPr defaultColWidth="8.54296875" defaultRowHeight="14.5" x14ac:dyDescent="0.35"/>
  <cols>
    <col min="1" max="1" width="10" customWidth="1"/>
    <col min="2" max="2" width="22" customWidth="1"/>
    <col min="3" max="11" width="12" customWidth="1"/>
    <col min="12" max="13" width="14" customWidth="1"/>
  </cols>
  <sheetData>
    <row r="1" spans="1:13" ht="16.5" customHeight="1" x14ac:dyDescent="0.35">
      <c r="A1" s="4" t="s">
        <v>262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5">
      <c r="A2" s="1" t="s">
        <v>263</v>
      </c>
    </row>
    <row r="4" spans="1:13" x14ac:dyDescent="0.35">
      <c r="A4" s="3" t="s">
        <v>264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5.5" customHeight="1" x14ac:dyDescent="0.35">
      <c r="A5" s="6" t="s">
        <v>102</v>
      </c>
      <c r="B5" s="6" t="s">
        <v>103</v>
      </c>
      <c r="C5" s="6" t="s">
        <v>265</v>
      </c>
      <c r="D5" s="6" t="s">
        <v>266</v>
      </c>
      <c r="E5" s="6" t="s">
        <v>267</v>
      </c>
      <c r="F5" s="6" t="s">
        <v>268</v>
      </c>
      <c r="G5" s="6" t="s">
        <v>269</v>
      </c>
      <c r="H5" s="6" t="s">
        <v>270</v>
      </c>
      <c r="I5" s="6" t="s">
        <v>271</v>
      </c>
    </row>
    <row r="6" spans="1:13" x14ac:dyDescent="0.35">
      <c r="A6" s="37" t="s">
        <v>111</v>
      </c>
      <c r="B6" s="2" t="s">
        <v>112</v>
      </c>
      <c r="C6" s="43">
        <f>I_Yield!$E$6</f>
        <v>0.36</v>
      </c>
      <c r="D6" s="43">
        <f>O_Demand_Forecast!$K$7</f>
        <v>2360.4</v>
      </c>
      <c r="E6" s="43">
        <f>O_Demand_Forecast!$K$8</f>
        <v>2538.1999999999998</v>
      </c>
      <c r="F6" s="43">
        <f>O_Demand_Forecast!$K$9</f>
        <v>2715.9</v>
      </c>
      <c r="G6" s="17">
        <f t="shared" ref="G6:G13" si="0">IFERROR(D6/C6,0)</f>
        <v>6556.666666666667</v>
      </c>
      <c r="H6" s="17">
        <f t="shared" ref="H6:H13" si="1">IFERROR(E6/C6,0)</f>
        <v>7050.5555555555557</v>
      </c>
      <c r="I6" s="17">
        <f t="shared" ref="I6:I13" si="2">IFERROR(F6/C6,0)</f>
        <v>7544.166666666667</v>
      </c>
    </row>
    <row r="7" spans="1:13" x14ac:dyDescent="0.35">
      <c r="A7" s="37" t="s">
        <v>117</v>
      </c>
      <c r="B7" s="2" t="s">
        <v>118</v>
      </c>
      <c r="C7" s="43">
        <f>I_Yield!$E$7</f>
        <v>0.26</v>
      </c>
      <c r="D7" s="43">
        <f>O_Demand_Forecast!$K$10</f>
        <v>1619.1999999999998</v>
      </c>
      <c r="E7" s="43">
        <f>O_Demand_Forecast!$K$11</f>
        <v>1741.1000000000001</v>
      </c>
      <c r="F7" s="43">
        <f>O_Demand_Forecast!$K$12</f>
        <v>1862.9999999999998</v>
      </c>
      <c r="G7" s="17">
        <f t="shared" si="0"/>
        <v>6227.6923076923067</v>
      </c>
      <c r="H7" s="17">
        <f t="shared" si="1"/>
        <v>6696.5384615384619</v>
      </c>
      <c r="I7" s="17">
        <f t="shared" si="2"/>
        <v>7165.3846153846143</v>
      </c>
    </row>
    <row r="8" spans="1:13" x14ac:dyDescent="0.35">
      <c r="A8" s="37" t="s">
        <v>119</v>
      </c>
      <c r="B8" s="2" t="s">
        <v>120</v>
      </c>
      <c r="C8" s="43">
        <f>I_Yield!$E$8</f>
        <v>0.18</v>
      </c>
      <c r="D8" s="43">
        <f>O_Demand_Forecast!$K$13</f>
        <v>1066.7</v>
      </c>
      <c r="E8" s="43">
        <f>O_Demand_Forecast!$K$14</f>
        <v>1147.0999999999999</v>
      </c>
      <c r="F8" s="43">
        <f>O_Demand_Forecast!$K$15</f>
        <v>1227.5000000000002</v>
      </c>
      <c r="G8" s="17">
        <f t="shared" si="0"/>
        <v>5926.1111111111113</v>
      </c>
      <c r="H8" s="17">
        <f t="shared" si="1"/>
        <v>6372.7777777777774</v>
      </c>
      <c r="I8" s="17">
        <f t="shared" si="2"/>
        <v>6819.4444444444462</v>
      </c>
    </row>
    <row r="9" spans="1:13" x14ac:dyDescent="0.35">
      <c r="A9" s="37" t="s">
        <v>122</v>
      </c>
      <c r="B9" s="2" t="s">
        <v>123</v>
      </c>
      <c r="C9" s="43">
        <f>I_Yield!$E$9</f>
        <v>0.08</v>
      </c>
      <c r="D9" s="43">
        <f>O_Demand_Forecast!$K$16</f>
        <v>393.5</v>
      </c>
      <c r="E9" s="43">
        <f>O_Demand_Forecast!$K$17</f>
        <v>462.79999999999995</v>
      </c>
      <c r="F9" s="43">
        <f>O_Demand_Forecast!$K$18</f>
        <v>532.29999999999995</v>
      </c>
      <c r="G9" s="17">
        <f t="shared" si="0"/>
        <v>4918.75</v>
      </c>
      <c r="H9" s="17">
        <f t="shared" si="1"/>
        <v>5784.9999999999991</v>
      </c>
      <c r="I9" s="17">
        <f t="shared" si="2"/>
        <v>6653.7499999999991</v>
      </c>
    </row>
    <row r="10" spans="1:13" x14ac:dyDescent="0.35">
      <c r="A10" s="37" t="s">
        <v>127</v>
      </c>
      <c r="B10" s="2" t="s">
        <v>128</v>
      </c>
      <c r="C10" s="43">
        <f>I_Yield!$E$10</f>
        <v>0.06</v>
      </c>
      <c r="D10" s="43">
        <f>O_Demand_Forecast!$K$19</f>
        <v>196.20000000000002</v>
      </c>
      <c r="E10" s="43">
        <f>O_Demand_Forecast!$K$20</f>
        <v>230.89999999999998</v>
      </c>
      <c r="F10" s="43">
        <f>O_Demand_Forecast!$K$21</f>
        <v>265.39999999999998</v>
      </c>
      <c r="G10" s="17">
        <f t="shared" si="0"/>
        <v>3270.0000000000005</v>
      </c>
      <c r="H10" s="17">
        <f t="shared" si="1"/>
        <v>3848.333333333333</v>
      </c>
      <c r="I10" s="17">
        <f t="shared" si="2"/>
        <v>4423.333333333333</v>
      </c>
    </row>
    <row r="11" spans="1:13" x14ac:dyDescent="0.35">
      <c r="A11" s="37" t="s">
        <v>129</v>
      </c>
      <c r="B11" s="2" t="s">
        <v>130</v>
      </c>
      <c r="C11" s="43">
        <f>I_Yield!$E$11</f>
        <v>0.12</v>
      </c>
      <c r="D11" s="43">
        <f>O_Demand_Forecast!$K$22</f>
        <v>450.7</v>
      </c>
      <c r="E11" s="43">
        <f>O_Demand_Forecast!$K$23</f>
        <v>530.19999999999993</v>
      </c>
      <c r="F11" s="43">
        <f>O_Demand_Forecast!$K$24</f>
        <v>609.79999999999995</v>
      </c>
      <c r="G11" s="17">
        <f t="shared" si="0"/>
        <v>3755.8333333333335</v>
      </c>
      <c r="H11" s="17">
        <f t="shared" si="1"/>
        <v>4418.333333333333</v>
      </c>
      <c r="I11" s="17">
        <f t="shared" si="2"/>
        <v>5081.6666666666661</v>
      </c>
    </row>
    <row r="12" spans="1:13" x14ac:dyDescent="0.35">
      <c r="A12" s="37" t="s">
        <v>131</v>
      </c>
      <c r="B12" s="2" t="s">
        <v>132</v>
      </c>
      <c r="C12" s="43">
        <f>I_Yield!$E$12</f>
        <v>0.1</v>
      </c>
      <c r="D12" s="43">
        <f>O_Demand_Forecast!$K$25</f>
        <v>362.2</v>
      </c>
      <c r="E12" s="43">
        <f>O_Demand_Forecast!$K$26</f>
        <v>426.00000000000006</v>
      </c>
      <c r="F12" s="43">
        <f>O_Demand_Forecast!$K$27</f>
        <v>489.9</v>
      </c>
      <c r="G12" s="17">
        <f t="shared" si="0"/>
        <v>3621.9999999999995</v>
      </c>
      <c r="H12" s="17">
        <f t="shared" si="1"/>
        <v>4260</v>
      </c>
      <c r="I12" s="17">
        <f t="shared" si="2"/>
        <v>4898.9999999999991</v>
      </c>
    </row>
    <row r="13" spans="1:13" x14ac:dyDescent="0.35">
      <c r="A13" s="37" t="s">
        <v>133</v>
      </c>
      <c r="B13" s="2" t="s">
        <v>134</v>
      </c>
      <c r="C13" s="43">
        <f>I_Yield!$E$13</f>
        <v>0.56000000000000005</v>
      </c>
      <c r="D13" s="43">
        <f>O_Demand_Forecast!$K$28</f>
        <v>1478.1000000000001</v>
      </c>
      <c r="E13" s="43">
        <f>O_Demand_Forecast!$K$29</f>
        <v>1524.0000000000002</v>
      </c>
      <c r="F13" s="43">
        <f>O_Demand_Forecast!$K$30</f>
        <v>1569.5</v>
      </c>
      <c r="G13" s="17">
        <f t="shared" si="0"/>
        <v>2639.4642857142858</v>
      </c>
      <c r="H13" s="17">
        <f t="shared" si="1"/>
        <v>2721.4285714285716</v>
      </c>
      <c r="I13" s="17">
        <f t="shared" si="2"/>
        <v>2802.6785714285711</v>
      </c>
    </row>
    <row r="15" spans="1:13" x14ac:dyDescent="0.35">
      <c r="A15" s="3" t="s">
        <v>272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5">
      <c r="A16" s="2" t="s">
        <v>273</v>
      </c>
      <c r="B16" s="5" t="str">
        <f>INDEX(B6:B13,MATCH(MAX(H6:H13),H6:H13,0))</f>
        <v>Boneless Dada (fillet)</v>
      </c>
    </row>
    <row r="17" spans="1:13" x14ac:dyDescent="0.35">
      <c r="A17" s="2" t="s">
        <v>274</v>
      </c>
      <c r="B17" s="17">
        <f>MAX(H6:H13)</f>
        <v>7050.5555555555557</v>
      </c>
    </row>
    <row r="18" spans="1:13" x14ac:dyDescent="0.35">
      <c r="A18" s="2" t="s">
        <v>275</v>
      </c>
      <c r="B18" s="17">
        <f>MIN(H6:H13)</f>
        <v>2721.4285714285716</v>
      </c>
    </row>
    <row r="19" spans="1:13" x14ac:dyDescent="0.35">
      <c r="A19" s="2" t="s">
        <v>276</v>
      </c>
      <c r="B19" s="49">
        <f>I_Live_Bird!$B$11*7</f>
        <v>10500</v>
      </c>
    </row>
    <row r="20" spans="1:13" x14ac:dyDescent="0.35">
      <c r="A20" s="5" t="s">
        <v>277</v>
      </c>
      <c r="B20" s="50">
        <f>ROUND(MAX(H6:H13),0)</f>
        <v>7051</v>
      </c>
      <c r="C20" s="75" t="s">
        <v>278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</row>
    <row r="22" spans="1:13" x14ac:dyDescent="0.35">
      <c r="A22" s="3" t="s">
        <v>279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5.5" customHeight="1" x14ac:dyDescent="0.35">
      <c r="A23" s="6" t="s">
        <v>280</v>
      </c>
      <c r="B23" s="6" t="s">
        <v>265</v>
      </c>
      <c r="C23" s="6" t="s">
        <v>281</v>
      </c>
      <c r="D23" s="6" t="s">
        <v>267</v>
      </c>
      <c r="E23" s="6" t="s">
        <v>282</v>
      </c>
      <c r="F23" s="6" t="s">
        <v>283</v>
      </c>
      <c r="G23" s="6" t="s">
        <v>284</v>
      </c>
      <c r="H23" s="6" t="s">
        <v>285</v>
      </c>
      <c r="I23" s="6" t="s">
        <v>286</v>
      </c>
      <c r="J23" s="6" t="s">
        <v>287</v>
      </c>
      <c r="K23" s="6" t="s">
        <v>288</v>
      </c>
      <c r="L23" s="6" t="s">
        <v>289</v>
      </c>
      <c r="M23" s="6" t="s">
        <v>290</v>
      </c>
    </row>
    <row r="24" spans="1:13" x14ac:dyDescent="0.35">
      <c r="A24" s="37" t="s">
        <v>111</v>
      </c>
      <c r="B24" s="43">
        <f>I_Yield!$E$6</f>
        <v>0.36</v>
      </c>
      <c r="C24" s="25">
        <f t="shared" ref="C24:C31" si="3">$B$20*B24</f>
        <v>2538.36</v>
      </c>
      <c r="D24" s="43">
        <f>O_Optimizer!$E$6</f>
        <v>2538.1999999999998</v>
      </c>
      <c r="E24" s="25">
        <f t="shared" ref="E24:E31" si="4">MIN(C24,D24)</f>
        <v>2538.1999999999998</v>
      </c>
      <c r="F24" s="25">
        <f t="shared" ref="F24:F31" si="5">MAX(C24-D24,0)</f>
        <v>0.16000000000030923</v>
      </c>
      <c r="G24" s="51">
        <f t="shared" ref="G24:G31" si="6">MAX(D24-C24,0)</f>
        <v>0</v>
      </c>
      <c r="H24" s="26">
        <f t="shared" ref="H24:H31" si="7">IFERROR(E24/D24,0)</f>
        <v>1</v>
      </c>
      <c r="I24" s="41" t="str">
        <f>I_Products!$E$4</f>
        <v>Y</v>
      </c>
      <c r="J24" s="17">
        <f>IF(I24="Y",F24*I_Products!$G$4*I_Products!$H$4-F24*I_Live_Bird!$B$9,F24*I_Live_Bird!$B$10)</f>
        <v>7840.0000000151522</v>
      </c>
      <c r="K24" s="17">
        <f>E24*I_Products!$G$4</f>
        <v>139601000</v>
      </c>
      <c r="L24" s="17">
        <f>MIN(C24,O_Optimizer!$D$6)*I_Products!$G$4+IF(I24="Y",MAX(C24-O_Optimizer!$D$6,0)*I_Products!$G$4*I_Products!$H$4-MAX(C24-O_Optimizer!$D$6,0)*I_Live_Bird!$B$9,MAX(C24-O_Optimizer!$D$6,0)*I_Live_Bird!$B$10)</f>
        <v>138542040</v>
      </c>
      <c r="M24" s="17">
        <f>MIN(C24,O_Optimizer!$F$6)*I_Products!$G$4+IF(I24="Y",MAX(C24-O_Optimizer!$F$6,0)*I_Products!$G$4*I_Products!$H$4-MAX(C24-O_Optimizer!$F$6,0)*I_Live_Bird!$B$9,MAX(C24-O_Optimizer!$F$6,0)*I_Live_Bird!$B$10)</f>
        <v>139609800</v>
      </c>
    </row>
    <row r="25" spans="1:13" x14ac:dyDescent="0.35">
      <c r="A25" s="37" t="s">
        <v>117</v>
      </c>
      <c r="B25" s="43">
        <f>I_Yield!$E$7</f>
        <v>0.26</v>
      </c>
      <c r="C25" s="25">
        <f t="shared" si="3"/>
        <v>1833.26</v>
      </c>
      <c r="D25" s="43">
        <f>O_Optimizer!$E$7</f>
        <v>1741.1000000000001</v>
      </c>
      <c r="E25" s="25">
        <f t="shared" si="4"/>
        <v>1741.1000000000001</v>
      </c>
      <c r="F25" s="25">
        <f t="shared" si="5"/>
        <v>92.159999999999854</v>
      </c>
      <c r="G25" s="51">
        <f t="shared" si="6"/>
        <v>0</v>
      </c>
      <c r="H25" s="26">
        <f t="shared" si="7"/>
        <v>1</v>
      </c>
      <c r="I25" s="41" t="str">
        <f>I_Products!$E$5</f>
        <v>Y</v>
      </c>
      <c r="J25" s="17">
        <f>IF(I25="Y",F25*I_Products!$G$5*I_Products!$H$5-F25*I_Live_Bird!$B$9,F25*I_Live_Bird!$B$10)</f>
        <v>3935231.9999999935</v>
      </c>
      <c r="K25" s="17">
        <f>E25*I_Products!$G$5</f>
        <v>83572800</v>
      </c>
      <c r="L25" s="17">
        <f>MIN(C25,O_Optimizer!$D$7)*I_Products!$G$5+IF(I25="Y",MAX(C25-O_Optimizer!$D$7,0)*I_Products!$G$5*I_Products!$H$5-MAX(C25-O_Optimizer!$D$7,0)*I_Live_Bird!$B$9,MAX(C25-O_Optimizer!$D$7,0)*I_Live_Bird!$B$10)</f>
        <v>86861962</v>
      </c>
      <c r="M25" s="17">
        <f>MIN(C25,O_Optimizer!$F$7)*I_Products!$G$5+IF(I25="Y",MAX(C25-O_Optimizer!$F$7,0)*I_Products!$G$5*I_Products!$H$5-MAX(C25-O_Optimizer!$F$7,0)*I_Live_Bird!$B$9,MAX(C25-O_Optimizer!$F$7,0)*I_Live_Bird!$B$10)</f>
        <v>87996480</v>
      </c>
    </row>
    <row r="26" spans="1:13" x14ac:dyDescent="0.35">
      <c r="A26" s="37" t="s">
        <v>119</v>
      </c>
      <c r="B26" s="43">
        <f>I_Yield!$E$8</f>
        <v>0.18</v>
      </c>
      <c r="C26" s="25">
        <f t="shared" si="3"/>
        <v>1269.18</v>
      </c>
      <c r="D26" s="43">
        <f>O_Optimizer!$E$8</f>
        <v>1147.0999999999999</v>
      </c>
      <c r="E26" s="25">
        <f t="shared" si="4"/>
        <v>1147.0999999999999</v>
      </c>
      <c r="F26" s="25">
        <f t="shared" si="5"/>
        <v>122.08000000000015</v>
      </c>
      <c r="G26" s="51">
        <f t="shared" si="6"/>
        <v>0</v>
      </c>
      <c r="H26" s="26">
        <f t="shared" si="7"/>
        <v>1</v>
      </c>
      <c r="I26" s="41" t="str">
        <f>I_Products!$E$6</f>
        <v>Y</v>
      </c>
      <c r="J26" s="17">
        <f>IF(I26="Y",F26*I_Products!$G$6*I_Products!$H$6-F26*I_Live_Bird!$B$9,F26*I_Live_Bird!$B$10)</f>
        <v>4206876.8000000054</v>
      </c>
      <c r="K26" s="17">
        <f>E26*I_Products!$G$6</f>
        <v>43589800</v>
      </c>
      <c r="L26" s="17">
        <f>MIN(C26,O_Optimizer!$D$8)*I_Products!$G$6+IF(I26="Y",MAX(C26-O_Optimizer!$D$8,0)*I_Products!$G$6*I_Products!$H$6-MAX(C26-O_Optimizer!$D$8,0)*I_Live_Bird!$B$9,MAX(C26-O_Optimizer!$D$8,0)*I_Live_Bird!$B$10)</f>
        <v>47512060.799999997</v>
      </c>
      <c r="M26" s="17">
        <f>MIN(C26,O_Optimizer!$F$8)*I_Products!$G$6+IF(I26="Y",MAX(C26-O_Optimizer!$F$8,0)*I_Products!$G$6*I_Products!$H$6-MAX(C26-O_Optimizer!$F$8,0)*I_Live_Bird!$B$9,MAX(C26-O_Optimizer!$F$8,0)*I_Live_Bird!$B$10)</f>
        <v>48081292.800000004</v>
      </c>
    </row>
    <row r="27" spans="1:13" x14ac:dyDescent="0.35">
      <c r="A27" s="37" t="s">
        <v>122</v>
      </c>
      <c r="B27" s="43">
        <f>I_Yield!$E$9</f>
        <v>0.08</v>
      </c>
      <c r="C27" s="25">
        <f t="shared" si="3"/>
        <v>564.08000000000004</v>
      </c>
      <c r="D27" s="43">
        <f>O_Optimizer!$E$9</f>
        <v>462.79999999999995</v>
      </c>
      <c r="E27" s="25">
        <f t="shared" si="4"/>
        <v>462.79999999999995</v>
      </c>
      <c r="F27" s="25">
        <f t="shared" si="5"/>
        <v>101.28000000000009</v>
      </c>
      <c r="G27" s="51">
        <f t="shared" si="6"/>
        <v>0</v>
      </c>
      <c r="H27" s="26">
        <f t="shared" si="7"/>
        <v>1</v>
      </c>
      <c r="I27" s="41" t="str">
        <f>I_Products!$E$7</f>
        <v>Y</v>
      </c>
      <c r="J27" s="17">
        <f>IF(I27="Y",F27*I_Products!$G$7*I_Products!$H$7-F27*I_Live_Bird!$B$9,F27*I_Live_Bird!$B$10)</f>
        <v>2643408.0000000019</v>
      </c>
      <c r="K27" s="17">
        <f>E27*I_Products!$G$7</f>
        <v>12958399.999999998</v>
      </c>
      <c r="L27" s="17">
        <f>MIN(C27,O_Optimizer!$D$9)*I_Products!$G$7+IF(I27="Y",MAX(C27-O_Optimizer!$D$9,0)*I_Products!$G$7*I_Products!$H$7-MAX(C27-O_Optimizer!$D$9,0)*I_Live_Bird!$B$9,MAX(C27-O_Optimizer!$D$9,0)*I_Live_Bird!$B$10)</f>
        <v>15470138</v>
      </c>
      <c r="M27" s="17">
        <f>MIN(C27,O_Optimizer!$F$9)*I_Products!$G$7+IF(I27="Y",MAX(C27-O_Optimizer!$F$9,0)*I_Products!$G$7*I_Products!$H$7-MAX(C27-O_Optimizer!$F$9,0)*I_Live_Bird!$B$9,MAX(C27-O_Optimizer!$F$9,0)*I_Live_Bird!$B$10)</f>
        <v>15733858</v>
      </c>
    </row>
    <row r="28" spans="1:13" x14ac:dyDescent="0.35">
      <c r="A28" s="37" t="s">
        <v>127</v>
      </c>
      <c r="B28" s="43">
        <f>I_Yield!$E$10</f>
        <v>0.06</v>
      </c>
      <c r="C28" s="25">
        <f t="shared" si="3"/>
        <v>423.06</v>
      </c>
      <c r="D28" s="43">
        <f>O_Optimizer!$E$10</f>
        <v>230.89999999999998</v>
      </c>
      <c r="E28" s="25">
        <f t="shared" si="4"/>
        <v>230.89999999999998</v>
      </c>
      <c r="F28" s="25">
        <f t="shared" si="5"/>
        <v>192.16000000000003</v>
      </c>
      <c r="G28" s="51">
        <f t="shared" si="6"/>
        <v>0</v>
      </c>
      <c r="H28" s="26">
        <f t="shared" si="7"/>
        <v>1</v>
      </c>
      <c r="I28" s="41" t="str">
        <f>I_Products!$E$8</f>
        <v>Y</v>
      </c>
      <c r="J28" s="17">
        <f>IF(I28="Y",F28*I_Products!$G$8*I_Products!$H$8-F28*I_Live_Bird!$B$9,F28*I_Live_Bird!$B$10)</f>
        <v>2094544.0000000005</v>
      </c>
      <c r="K28" s="17">
        <f>E28*I_Products!$G$8</f>
        <v>2770799.9999999995</v>
      </c>
      <c r="L28" s="17">
        <f>MIN(C28,O_Optimizer!$D$10)*I_Products!$G$8+IF(I28="Y",MAX(C28-O_Optimizer!$D$10,0)*I_Products!$G$8*I_Products!$H$8-MAX(C28-O_Optimizer!$D$10,0)*I_Live_Bird!$B$9,MAX(C28-O_Optimizer!$D$10,0)*I_Live_Bird!$B$10)</f>
        <v>4827174</v>
      </c>
      <c r="M28" s="17">
        <f>MIN(C28,O_Optimizer!$F$10)*I_Products!$G$8+IF(I28="Y",MAX(C28-O_Optimizer!$F$10,0)*I_Products!$G$8*I_Products!$H$8-MAX(C28-O_Optimizer!$F$10,0)*I_Live_Bird!$B$9,MAX(C28-O_Optimizer!$F$10,0)*I_Live_Bird!$B$10)</f>
        <v>4903294</v>
      </c>
    </row>
    <row r="29" spans="1:13" x14ac:dyDescent="0.35">
      <c r="A29" s="37" t="s">
        <v>129</v>
      </c>
      <c r="B29" s="43">
        <f>I_Yield!$E$11</f>
        <v>0.12</v>
      </c>
      <c r="C29" s="25">
        <f t="shared" si="3"/>
        <v>846.12</v>
      </c>
      <c r="D29" s="43">
        <f>O_Optimizer!$E$11</f>
        <v>530.19999999999993</v>
      </c>
      <c r="E29" s="25">
        <f t="shared" si="4"/>
        <v>530.19999999999993</v>
      </c>
      <c r="F29" s="25">
        <f t="shared" si="5"/>
        <v>315.92000000000007</v>
      </c>
      <c r="G29" s="51">
        <f t="shared" si="6"/>
        <v>0</v>
      </c>
      <c r="H29" s="26">
        <f t="shared" si="7"/>
        <v>1</v>
      </c>
      <c r="I29" s="41" t="str">
        <f>I_Products!$E$9</f>
        <v>Y</v>
      </c>
      <c r="J29" s="17">
        <f>IF(I29="Y",F29*I_Products!$G$9*I_Products!$H$9-F29*I_Live_Bird!$B$9,F29*I_Live_Bird!$B$10)</f>
        <v>7108200.0000000019</v>
      </c>
      <c r="K29" s="17">
        <f>E29*I_Products!$G$9</f>
        <v>13254999.999999998</v>
      </c>
      <c r="L29" s="17">
        <f>MIN(C29,O_Optimizer!$D$11)*I_Products!$G$9+IF(I29="Y",MAX(C29-O_Optimizer!$D$11,0)*I_Products!$G$9*I_Products!$H$9-MAX(C29-O_Optimizer!$D$11,0)*I_Live_Bird!$B$9,MAX(C29-O_Optimizer!$D$11,0)*I_Live_Bird!$B$10)</f>
        <v>20164450</v>
      </c>
      <c r="M29" s="17">
        <f>MIN(C29,O_Optimizer!$F$11)*I_Products!$G$9+IF(I29="Y",MAX(C29-O_Optimizer!$F$11,0)*I_Products!$G$9*I_Products!$H$9-MAX(C29-O_Optimizer!$F$11,0)*I_Live_Bird!$B$9,MAX(C29-O_Optimizer!$F$11,0)*I_Live_Bird!$B$10)</f>
        <v>20562200</v>
      </c>
    </row>
    <row r="30" spans="1:13" x14ac:dyDescent="0.35">
      <c r="A30" s="37" t="s">
        <v>131</v>
      </c>
      <c r="B30" s="43">
        <f>I_Yield!$E$12</f>
        <v>0.1</v>
      </c>
      <c r="C30" s="25">
        <f t="shared" si="3"/>
        <v>705.1</v>
      </c>
      <c r="D30" s="43">
        <f>O_Optimizer!$E$12</f>
        <v>426.00000000000006</v>
      </c>
      <c r="E30" s="25">
        <f t="shared" si="4"/>
        <v>426.00000000000006</v>
      </c>
      <c r="F30" s="25">
        <f t="shared" si="5"/>
        <v>279.09999999999997</v>
      </c>
      <c r="G30" s="51">
        <f t="shared" si="6"/>
        <v>0</v>
      </c>
      <c r="H30" s="26">
        <f t="shared" si="7"/>
        <v>1</v>
      </c>
      <c r="I30" s="41" t="str">
        <f>I_Products!$E$10</f>
        <v>Y</v>
      </c>
      <c r="J30" s="17">
        <f>IF(I30="Y",F30*I_Products!$G$10*I_Products!$H$10-F30*I_Live_Bird!$B$9,F30*I_Live_Bird!$B$10)</f>
        <v>5386629.9999999991</v>
      </c>
      <c r="K30" s="17">
        <f>E30*I_Products!$G$10</f>
        <v>9372000.0000000019</v>
      </c>
      <c r="L30" s="17">
        <f>MIN(C30,O_Optimizer!$D$12)*I_Products!$G$10+IF(I30="Y",MAX(C30-O_Optimizer!$D$12,0)*I_Products!$G$10*I_Products!$H$10-MAX(C30-O_Optimizer!$D$12,0)*I_Live_Bird!$B$9,MAX(C30-O_Optimizer!$D$12,0)*I_Live_Bird!$B$10)</f>
        <v>14586370</v>
      </c>
      <c r="M30" s="17">
        <f>MIN(C30,O_Optimizer!$F$12)*I_Products!$G$10+IF(I30="Y",MAX(C30-O_Optimizer!$F$12,0)*I_Products!$G$10*I_Products!$H$10-MAX(C30-O_Optimizer!$F$12,0)*I_Live_Bird!$B$9,MAX(C30-O_Optimizer!$F$12,0)*I_Live_Bird!$B$10)</f>
        <v>14931160</v>
      </c>
    </row>
    <row r="31" spans="1:13" x14ac:dyDescent="0.35">
      <c r="A31" s="37" t="s">
        <v>133</v>
      </c>
      <c r="B31" s="43">
        <f>I_Yield!$E$13</f>
        <v>0.56000000000000005</v>
      </c>
      <c r="C31" s="25">
        <f t="shared" si="3"/>
        <v>3948.5600000000004</v>
      </c>
      <c r="D31" s="43">
        <f>O_Optimizer!$E$13</f>
        <v>1524.0000000000002</v>
      </c>
      <c r="E31" s="25">
        <f t="shared" si="4"/>
        <v>1524.0000000000002</v>
      </c>
      <c r="F31" s="25">
        <f t="shared" si="5"/>
        <v>2424.5600000000004</v>
      </c>
      <c r="G31" s="51">
        <f t="shared" si="6"/>
        <v>0</v>
      </c>
      <c r="H31" s="26">
        <f t="shared" si="7"/>
        <v>1</v>
      </c>
      <c r="I31" s="41" t="str">
        <f>I_Products!$E$11</f>
        <v>Y</v>
      </c>
      <c r="J31" s="17">
        <f>IF(I31="Y",F31*I_Products!$G$11*I_Products!$H$11-F31*I_Live_Bird!$B$9,F31*I_Live_Bird!$B$10)</f>
        <v>17214376.000000004</v>
      </c>
      <c r="K31" s="17">
        <f>E31*I_Products!$G$11</f>
        <v>12192000.000000002</v>
      </c>
      <c r="L31" s="17">
        <f>MIN(C31,O_Optimizer!$D$13)*I_Products!$G$11+IF(I31="Y",MAX(C31-O_Optimizer!$D$13,0)*I_Products!$G$11*I_Products!$H$11-MAX(C31-O_Optimizer!$D$13,0)*I_Live_Bird!$B$9,MAX(C31-O_Optimizer!$D$13,0)*I_Live_Bird!$B$10)</f>
        <v>29365066</v>
      </c>
      <c r="M31" s="17">
        <f>MIN(C31,O_Optimizer!$F$13)*I_Products!$G$11+IF(I31="Y",MAX(C31-O_Optimizer!$F$13,0)*I_Products!$G$11*I_Products!$H$11-MAX(C31-O_Optimizer!$F$13,0)*I_Live_Bird!$B$9,MAX(C31-O_Optimizer!$F$13,0)*I_Live_Bird!$B$10)</f>
        <v>29447326.000000004</v>
      </c>
    </row>
    <row r="32" spans="1:13" x14ac:dyDescent="0.35">
      <c r="A32" s="10" t="s">
        <v>171</v>
      </c>
      <c r="B32" s="52"/>
      <c r="C32" s="52"/>
      <c r="D32" s="52"/>
      <c r="E32" s="28">
        <f>SUM(E24:E31)</f>
        <v>8600.2999999999993</v>
      </c>
      <c r="F32" s="28">
        <f>SUM(F24:F31)</f>
        <v>3527.420000000001</v>
      </c>
      <c r="G32" s="28">
        <f>SUM(G24:G31)</f>
        <v>0</v>
      </c>
      <c r="H32" s="52"/>
      <c r="I32" s="52"/>
      <c r="J32" s="53">
        <f>SUM(J24:J31)</f>
        <v>42597106.800000027</v>
      </c>
      <c r="K32" s="53">
        <f>SUM(K24:K31)</f>
        <v>317311800</v>
      </c>
      <c r="L32" s="53">
        <f>SUM(L24:L31)</f>
        <v>357329260.80000001</v>
      </c>
      <c r="M32" s="53">
        <f>SUM(M24:M31)</f>
        <v>361265410.80000001</v>
      </c>
    </row>
    <row r="34" spans="1:4" x14ac:dyDescent="0.35">
      <c r="A34" s="2" t="s">
        <v>291</v>
      </c>
      <c r="B34" s="17">
        <f>$B$20*I_Live_Bird!$B$7</f>
        <v>289091000</v>
      </c>
    </row>
    <row r="35" spans="1:4" x14ac:dyDescent="0.35">
      <c r="A35" s="5" t="s">
        <v>292</v>
      </c>
      <c r="B35" s="54">
        <f>L32-$B$20*I_Live_Bird!$B$7</f>
        <v>68238260.800000012</v>
      </c>
    </row>
    <row r="36" spans="1:4" x14ac:dyDescent="0.35">
      <c r="A36" s="5" t="s">
        <v>293</v>
      </c>
      <c r="B36" s="18">
        <f>K32+J32-$B$20*I_Live_Bird!$B$7</f>
        <v>70817906.800000012</v>
      </c>
    </row>
    <row r="37" spans="1:4" x14ac:dyDescent="0.35">
      <c r="A37" s="5" t="s">
        <v>294</v>
      </c>
      <c r="B37" s="54">
        <f>M32-$B$20*I_Live_Bird!$B$7</f>
        <v>72174410.800000012</v>
      </c>
    </row>
    <row r="39" spans="1:4" x14ac:dyDescent="0.35">
      <c r="A39" s="2" t="s">
        <v>295</v>
      </c>
      <c r="B39" s="21">
        <v>0.25</v>
      </c>
      <c r="C39" s="21">
        <v>0.5</v>
      </c>
      <c r="D39" s="21">
        <v>0.25</v>
      </c>
    </row>
    <row r="40" spans="1:4" x14ac:dyDescent="0.35">
      <c r="A40" s="5" t="s">
        <v>296</v>
      </c>
      <c r="B40" s="18">
        <f>B39*O_Optimizer!$B$35+C39*O_Optimizer!$B$36+D39*O_Optimizer!$B$37</f>
        <v>70512121.300000012</v>
      </c>
    </row>
    <row r="42" spans="1:4" x14ac:dyDescent="0.35">
      <c r="A42" s="2" t="s">
        <v>297</v>
      </c>
      <c r="B42" s="25">
        <f>SUMIFS($F$24:$F$31,$I$24:$I$31,"Y")</f>
        <v>3527.420000000001</v>
      </c>
    </row>
    <row r="43" spans="1:4" x14ac:dyDescent="0.35">
      <c r="A43" s="2" t="s">
        <v>145</v>
      </c>
      <c r="B43" s="43">
        <f>I_Live_Bird!$B$8</f>
        <v>5000</v>
      </c>
    </row>
    <row r="44" spans="1:4" x14ac:dyDescent="0.35">
      <c r="A44" s="5" t="s">
        <v>298</v>
      </c>
      <c r="B44" s="5" t="str">
        <f>IF(B42&gt;B43,"OVER — revisi N / freezer","OK")</f>
        <v>OK</v>
      </c>
    </row>
  </sheetData>
  <mergeCells count="1">
    <mergeCell ref="C20:M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5"/>
  <sheetViews>
    <sheetView topLeftCell="A10" zoomScaleNormal="100" workbookViewId="0">
      <selection activeCell="A16" sqref="A16"/>
    </sheetView>
  </sheetViews>
  <sheetFormatPr defaultColWidth="8.54296875" defaultRowHeight="14.5" x14ac:dyDescent="0.35"/>
  <cols>
    <col min="1" max="1" width="34" customWidth="1"/>
    <col min="2" max="2" width="18" customWidth="1"/>
    <col min="3" max="5" width="16" customWidth="1"/>
    <col min="6" max="6" width="20" customWidth="1"/>
  </cols>
  <sheetData>
    <row r="1" spans="1:6" ht="16.5" customHeight="1" x14ac:dyDescent="0.35">
      <c r="A1" s="4" t="s">
        <v>299</v>
      </c>
      <c r="B1" s="4"/>
      <c r="C1" s="4"/>
      <c r="D1" s="4"/>
      <c r="E1" s="4"/>
      <c r="F1" s="4"/>
    </row>
    <row r="2" spans="1:6" x14ac:dyDescent="0.35">
      <c r="A2" s="1" t="s">
        <v>300</v>
      </c>
    </row>
    <row r="4" spans="1:6" x14ac:dyDescent="0.35">
      <c r="A4" s="3" t="s">
        <v>301</v>
      </c>
      <c r="B4" s="3"/>
      <c r="C4" s="3"/>
      <c r="D4" s="3"/>
      <c r="E4" s="3"/>
      <c r="F4" s="3"/>
    </row>
    <row r="5" spans="1:6" x14ac:dyDescent="0.35">
      <c r="A5" s="5" t="s">
        <v>302</v>
      </c>
      <c r="B5" s="18">
        <f>O_Optimizer!$B$20</f>
        <v>7051</v>
      </c>
    </row>
    <row r="6" spans="1:6" x14ac:dyDescent="0.35">
      <c r="A6" s="2" t="s">
        <v>303</v>
      </c>
      <c r="B6" s="17">
        <f>O_Optimizer!$B$20/7</f>
        <v>1007.2857142857143</v>
      </c>
    </row>
    <row r="7" spans="1:6" x14ac:dyDescent="0.35">
      <c r="A7" s="2" t="s">
        <v>304</v>
      </c>
      <c r="B7" s="5" t="str">
        <f>O_Optimizer!$B$16</f>
        <v>Boneless Dada (fillet)</v>
      </c>
    </row>
    <row r="8" spans="1:6" x14ac:dyDescent="0.35">
      <c r="A8" s="2" t="s">
        <v>298</v>
      </c>
      <c r="B8" s="5" t="str">
        <f>O_Optimizer!$B$44</f>
        <v>OK</v>
      </c>
    </row>
    <row r="10" spans="1:6" x14ac:dyDescent="0.35">
      <c r="A10" s="3" t="s">
        <v>305</v>
      </c>
      <c r="B10" s="3"/>
      <c r="C10" s="3"/>
      <c r="D10" s="3"/>
      <c r="E10" s="3"/>
      <c r="F10" s="3"/>
    </row>
    <row r="11" spans="1:6" x14ac:dyDescent="0.35">
      <c r="A11" s="2" t="s">
        <v>238</v>
      </c>
      <c r="B11" s="17">
        <f>O_Optimizer!$B$35</f>
        <v>68238260.800000012</v>
      </c>
    </row>
    <row r="12" spans="1:6" x14ac:dyDescent="0.35">
      <c r="A12" s="2" t="s">
        <v>239</v>
      </c>
      <c r="B12" s="18">
        <f>O_Optimizer!$B$36</f>
        <v>70817906.800000012</v>
      </c>
    </row>
    <row r="13" spans="1:6" x14ac:dyDescent="0.35">
      <c r="A13" s="2" t="s">
        <v>240</v>
      </c>
      <c r="B13" s="17">
        <f>O_Optimizer!$B$37</f>
        <v>72174410.800000012</v>
      </c>
    </row>
    <row r="14" spans="1:6" x14ac:dyDescent="0.35">
      <c r="A14" s="5" t="s">
        <v>306</v>
      </c>
      <c r="B14" s="18">
        <f>O_Optimizer!$B$40</f>
        <v>70512121.300000012</v>
      </c>
    </row>
    <row r="16" spans="1:6" x14ac:dyDescent="0.35">
      <c r="A16" s="3" t="s">
        <v>307</v>
      </c>
      <c r="B16" s="3"/>
      <c r="C16" s="3"/>
      <c r="D16" s="3"/>
      <c r="E16" s="3"/>
      <c r="F16" s="3"/>
    </row>
    <row r="17" spans="1:6" x14ac:dyDescent="0.35">
      <c r="A17" s="6" t="s">
        <v>102</v>
      </c>
      <c r="B17" s="6" t="s">
        <v>103</v>
      </c>
      <c r="C17" s="6" t="s">
        <v>285</v>
      </c>
      <c r="D17" s="6" t="s">
        <v>308</v>
      </c>
      <c r="E17" s="6" t="s">
        <v>309</v>
      </c>
      <c r="F17" s="6" t="s">
        <v>286</v>
      </c>
    </row>
    <row r="18" spans="1:6" x14ac:dyDescent="0.35">
      <c r="A18" s="37" t="s">
        <v>111</v>
      </c>
      <c r="B18" s="2" t="s">
        <v>112</v>
      </c>
      <c r="C18" s="55">
        <f>O_Optimizer!$H$24</f>
        <v>1</v>
      </c>
      <c r="D18" s="43">
        <f>O_Optimizer!$F$24</f>
        <v>0.16000000000030923</v>
      </c>
      <c r="E18" s="43">
        <f>O_Optimizer!$G$24</f>
        <v>0</v>
      </c>
      <c r="F18" s="41" t="str">
        <f>O_Optimizer!$I$24</f>
        <v>Y</v>
      </c>
    </row>
    <row r="19" spans="1:6" x14ac:dyDescent="0.35">
      <c r="A19" s="37" t="s">
        <v>117</v>
      </c>
      <c r="B19" s="2" t="s">
        <v>118</v>
      </c>
      <c r="C19" s="55">
        <f>O_Optimizer!$H$25</f>
        <v>1</v>
      </c>
      <c r="D19" s="43">
        <f>O_Optimizer!$F$25</f>
        <v>92.159999999999854</v>
      </c>
      <c r="E19" s="43">
        <f>O_Optimizer!$G$25</f>
        <v>0</v>
      </c>
      <c r="F19" s="41" t="str">
        <f>O_Optimizer!$I$25</f>
        <v>Y</v>
      </c>
    </row>
    <row r="20" spans="1:6" x14ac:dyDescent="0.35">
      <c r="A20" s="37" t="s">
        <v>119</v>
      </c>
      <c r="B20" s="2" t="s">
        <v>120</v>
      </c>
      <c r="C20" s="55">
        <f>O_Optimizer!$H$26</f>
        <v>1</v>
      </c>
      <c r="D20" s="43">
        <f>O_Optimizer!$F$26</f>
        <v>122.08000000000015</v>
      </c>
      <c r="E20" s="43">
        <f>O_Optimizer!$G$26</f>
        <v>0</v>
      </c>
      <c r="F20" s="41" t="str">
        <f>O_Optimizer!$I$26</f>
        <v>Y</v>
      </c>
    </row>
    <row r="21" spans="1:6" x14ac:dyDescent="0.35">
      <c r="A21" s="37" t="s">
        <v>122</v>
      </c>
      <c r="B21" s="2" t="s">
        <v>123</v>
      </c>
      <c r="C21" s="55">
        <f>O_Optimizer!$H$27</f>
        <v>1</v>
      </c>
      <c r="D21" s="43">
        <f>O_Optimizer!$F$27</f>
        <v>101.28000000000009</v>
      </c>
      <c r="E21" s="43">
        <f>O_Optimizer!$G$27</f>
        <v>0</v>
      </c>
      <c r="F21" s="41" t="str">
        <f>O_Optimizer!$I$27</f>
        <v>Y</v>
      </c>
    </row>
    <row r="22" spans="1:6" x14ac:dyDescent="0.35">
      <c r="A22" s="37" t="s">
        <v>127</v>
      </c>
      <c r="B22" s="2" t="s">
        <v>128</v>
      </c>
      <c r="C22" s="55">
        <f>O_Optimizer!$H$28</f>
        <v>1</v>
      </c>
      <c r="D22" s="43">
        <f>O_Optimizer!$F$28</f>
        <v>192.16000000000003</v>
      </c>
      <c r="E22" s="43">
        <f>O_Optimizer!$G$28</f>
        <v>0</v>
      </c>
      <c r="F22" s="41" t="str">
        <f>O_Optimizer!$I$28</f>
        <v>Y</v>
      </c>
    </row>
    <row r="23" spans="1:6" x14ac:dyDescent="0.35">
      <c r="A23" s="37" t="s">
        <v>129</v>
      </c>
      <c r="B23" s="2" t="s">
        <v>130</v>
      </c>
      <c r="C23" s="55">
        <f>O_Optimizer!$H$29</f>
        <v>1</v>
      </c>
      <c r="D23" s="43">
        <f>O_Optimizer!$F$29</f>
        <v>315.92000000000007</v>
      </c>
      <c r="E23" s="43">
        <f>O_Optimizer!$G$29</f>
        <v>0</v>
      </c>
      <c r="F23" s="41" t="str">
        <f>O_Optimizer!$I$29</f>
        <v>Y</v>
      </c>
    </row>
    <row r="24" spans="1:6" x14ac:dyDescent="0.35">
      <c r="A24" s="37" t="s">
        <v>131</v>
      </c>
      <c r="B24" s="2" t="s">
        <v>132</v>
      </c>
      <c r="C24" s="55">
        <f>O_Optimizer!$H$30</f>
        <v>1</v>
      </c>
      <c r="D24" s="43">
        <f>O_Optimizer!$F$30</f>
        <v>279.09999999999997</v>
      </c>
      <c r="E24" s="43">
        <f>O_Optimizer!$G$30</f>
        <v>0</v>
      </c>
      <c r="F24" s="41" t="str">
        <f>O_Optimizer!$I$30</f>
        <v>Y</v>
      </c>
    </row>
    <row r="25" spans="1:6" x14ac:dyDescent="0.35">
      <c r="A25" s="37" t="s">
        <v>133</v>
      </c>
      <c r="B25" s="2" t="s">
        <v>134</v>
      </c>
      <c r="C25" s="55">
        <f>O_Optimizer!$H$31</f>
        <v>1</v>
      </c>
      <c r="D25" s="43">
        <f>O_Optimizer!$F$31</f>
        <v>2424.5600000000004</v>
      </c>
      <c r="E25" s="43">
        <f>O_Optimizer!$G$31</f>
        <v>0</v>
      </c>
      <c r="F25" s="41" t="str">
        <f>O_Optimizer!$I$31</f>
        <v>Y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E78"/>
  </sheetPr>
  <dimension ref="A1:L86"/>
  <sheetViews>
    <sheetView tabSelected="1" zoomScaleNormal="100" workbookViewId="0">
      <selection activeCell="F13" sqref="F13"/>
    </sheetView>
  </sheetViews>
  <sheetFormatPr defaultColWidth="8.6328125" defaultRowHeight="14.5" x14ac:dyDescent="0.35"/>
  <cols>
    <col min="1" max="1" width="6" customWidth="1"/>
    <col min="2" max="2" width="11" customWidth="1"/>
    <col min="3" max="4" width="27" customWidth="1"/>
    <col min="5" max="5" width="15" customWidth="1"/>
    <col min="6" max="6" width="16" customWidth="1"/>
    <col min="7" max="7" width="17" customWidth="1"/>
    <col min="8" max="8" width="27" customWidth="1"/>
  </cols>
  <sheetData>
    <row r="1" spans="1:12" ht="16.5" x14ac:dyDescent="0.35">
      <c r="A1" s="73" t="s">
        <v>310</v>
      </c>
      <c r="B1" s="73"/>
      <c r="C1" s="73"/>
      <c r="D1" s="73"/>
      <c r="E1" s="73"/>
      <c r="F1" s="73"/>
      <c r="G1" s="73"/>
      <c r="H1" s="73"/>
    </row>
    <row r="2" spans="1:12" x14ac:dyDescent="0.35">
      <c r="A2" s="72" t="s">
        <v>311</v>
      </c>
      <c r="B2" s="72"/>
      <c r="C2" s="72"/>
      <c r="D2" s="72"/>
      <c r="E2" s="72"/>
      <c r="F2" s="72"/>
      <c r="G2" s="72"/>
      <c r="H2" s="72"/>
    </row>
    <row r="4" spans="1:12" x14ac:dyDescent="0.35">
      <c r="A4" s="71" t="s">
        <v>312</v>
      </c>
      <c r="B4" s="71"/>
      <c r="C4" s="71"/>
      <c r="D4" s="71"/>
      <c r="E4" s="71"/>
      <c r="F4" s="71"/>
      <c r="G4" s="71"/>
      <c r="H4" s="71"/>
    </row>
    <row r="5" spans="1:12" x14ac:dyDescent="0.35">
      <c r="B5" s="56" t="s">
        <v>102</v>
      </c>
      <c r="C5" s="56" t="s">
        <v>103</v>
      </c>
      <c r="D5" s="56" t="s">
        <v>313</v>
      </c>
    </row>
    <row r="6" spans="1:12" x14ac:dyDescent="0.35">
      <c r="B6" s="57" t="str">
        <f>I_Products!$A$4</f>
        <v>BLD</v>
      </c>
      <c r="C6" s="58" t="str">
        <f>I_Products!$B$4</f>
        <v>Boneless Dada (fillet)</v>
      </c>
      <c r="D6" s="59">
        <v>22000</v>
      </c>
      <c r="L6" t="s">
        <v>362</v>
      </c>
    </row>
    <row r="7" spans="1:12" x14ac:dyDescent="0.35">
      <c r="B7" s="57" t="str">
        <f>I_Products!$A$5</f>
        <v>BLP</v>
      </c>
      <c r="C7" s="58" t="str">
        <f>I_Products!$B$5</f>
        <v>Boneless Paha (fillet)</v>
      </c>
      <c r="D7" s="59">
        <v>16000</v>
      </c>
    </row>
    <row r="8" spans="1:12" x14ac:dyDescent="0.35">
      <c r="B8" s="57" t="str">
        <f>I_Products!$A$6</f>
        <v>SYP</v>
      </c>
      <c r="C8" s="58" t="str">
        <f>I_Products!$B$6</f>
        <v>Sayap</v>
      </c>
      <c r="D8" s="59">
        <v>11000</v>
      </c>
    </row>
    <row r="9" spans="1:12" x14ac:dyDescent="0.35">
      <c r="B9" s="57" t="str">
        <f>I_Products!$A$7</f>
        <v>CKR</v>
      </c>
      <c r="C9" s="58" t="str">
        <f>I_Products!$B$7</f>
        <v>Ceker</v>
      </c>
      <c r="D9" s="59">
        <v>8000</v>
      </c>
    </row>
    <row r="10" spans="1:12" x14ac:dyDescent="0.35">
      <c r="B10" s="57" t="str">
        <f>I_Products!$A$8</f>
        <v>KPL</v>
      </c>
      <c r="C10" s="58" t="str">
        <f>I_Products!$B$8</f>
        <v>Kepala</v>
      </c>
      <c r="D10" s="59">
        <v>4000</v>
      </c>
    </row>
    <row r="11" spans="1:12" x14ac:dyDescent="0.35">
      <c r="B11" s="57" t="str">
        <f>I_Products!$A$9</f>
        <v>KLT</v>
      </c>
      <c r="C11" s="58" t="str">
        <f>I_Products!$B$9</f>
        <v>Kulit</v>
      </c>
      <c r="D11" s="59">
        <v>9000</v>
      </c>
    </row>
    <row r="12" spans="1:12" x14ac:dyDescent="0.35">
      <c r="B12" s="57" t="str">
        <f>I_Products!$A$10</f>
        <v>JRN</v>
      </c>
      <c r="C12" s="58" t="str">
        <f>I_Products!$B$10</f>
        <v>Jeroan (ati ampela)</v>
      </c>
      <c r="D12" s="59">
        <v>6000</v>
      </c>
    </row>
    <row r="13" spans="1:12" x14ac:dyDescent="0.35">
      <c r="B13" s="57" t="str">
        <f>I_Products!$A$11</f>
        <v>TLG</v>
      </c>
      <c r="C13" s="58" t="str">
        <f>I_Products!$B$11</f>
        <v>Tulang / carcass frame</v>
      </c>
      <c r="D13" s="59">
        <v>24000</v>
      </c>
    </row>
    <row r="14" spans="1:12" x14ac:dyDescent="0.35">
      <c r="B14" s="60"/>
      <c r="C14" s="61" t="s">
        <v>171</v>
      </c>
      <c r="D14" s="62">
        <f>SUM(D6:D13)</f>
        <v>100000</v>
      </c>
    </row>
    <row r="16" spans="1:12" x14ac:dyDescent="0.35">
      <c r="A16" s="71" t="s">
        <v>314</v>
      </c>
      <c r="B16" s="71"/>
      <c r="C16" s="71"/>
      <c r="D16" s="71"/>
      <c r="E16" s="71"/>
      <c r="F16" s="71"/>
      <c r="G16" s="71"/>
      <c r="H16" s="71"/>
    </row>
    <row r="17" spans="1:8" x14ac:dyDescent="0.35">
      <c r="A17" s="72" t="s">
        <v>315</v>
      </c>
      <c r="B17" s="72"/>
      <c r="C17" s="72"/>
      <c r="D17" s="72"/>
      <c r="E17" s="72"/>
      <c r="F17" s="72"/>
      <c r="G17" s="72"/>
      <c r="H17" s="72"/>
    </row>
    <row r="18" spans="1:8" ht="26" x14ac:dyDescent="0.35">
      <c r="A18" s="56" t="s">
        <v>316</v>
      </c>
      <c r="B18" s="56" t="s">
        <v>102</v>
      </c>
      <c r="C18" s="56" t="s">
        <v>103</v>
      </c>
      <c r="D18" s="56" t="s">
        <v>317</v>
      </c>
      <c r="E18" s="56" t="s">
        <v>318</v>
      </c>
      <c r="F18" s="56" t="s">
        <v>319</v>
      </c>
      <c r="G18" s="56" t="s">
        <v>320</v>
      </c>
      <c r="H18" s="56" t="s">
        <v>197</v>
      </c>
    </row>
    <row r="19" spans="1:8" x14ac:dyDescent="0.35">
      <c r="A19" s="63">
        <f t="shared" ref="A19:A48" si="0">IF($B19&lt;&gt;"",ROW()-18,"")</f>
        <v>1</v>
      </c>
      <c r="B19" s="64" t="s">
        <v>111</v>
      </c>
      <c r="C19" s="65" t="str">
        <f>IFERROR(VLOOKUP($B19,I_Products!$A$4:$B$11,2,0),"")</f>
        <v>Boneless Dada (fillet)</v>
      </c>
      <c r="D19" s="66" t="s">
        <v>333</v>
      </c>
      <c r="E19" s="59">
        <v>2000</v>
      </c>
      <c r="F19" s="59"/>
      <c r="G19" s="67" t="str">
        <f t="shared" ref="G19:G48" si="1">IF(AND($E19&lt;&gt;"",$F19&lt;&gt;""),$E19*$F19,"")</f>
        <v/>
      </c>
      <c r="H19" s="66"/>
    </row>
    <row r="20" spans="1:8" x14ac:dyDescent="0.35">
      <c r="A20" s="63">
        <f t="shared" si="0"/>
        <v>2</v>
      </c>
      <c r="B20" s="64" t="s">
        <v>111</v>
      </c>
      <c r="C20" s="65" t="str">
        <f>IFERROR(VLOOKUP($B20,I_Products!$A$4:$B$11,2,0),"")</f>
        <v>Boneless Dada (fillet)</v>
      </c>
      <c r="D20" s="66"/>
      <c r="E20" s="59"/>
      <c r="F20" s="59"/>
      <c r="G20" s="67" t="str">
        <f t="shared" si="1"/>
        <v/>
      </c>
      <c r="H20" s="66"/>
    </row>
    <row r="21" spans="1:8" x14ac:dyDescent="0.35">
      <c r="A21" s="63" t="str">
        <f t="shared" si="0"/>
        <v/>
      </c>
      <c r="B21" s="64"/>
      <c r="C21" s="65" t="str">
        <f>IFERROR(VLOOKUP($B21,I_Products!$A$4:$B$11,2,0),"")</f>
        <v/>
      </c>
      <c r="D21" s="66"/>
      <c r="E21" s="59"/>
      <c r="F21" s="59"/>
      <c r="G21" s="67" t="str">
        <f t="shared" si="1"/>
        <v/>
      </c>
      <c r="H21" s="66"/>
    </row>
    <row r="22" spans="1:8" x14ac:dyDescent="0.35">
      <c r="A22" s="63" t="str">
        <f t="shared" si="0"/>
        <v/>
      </c>
      <c r="B22" s="64"/>
      <c r="C22" s="65" t="str">
        <f>IFERROR(VLOOKUP($B22,I_Products!$A$4:$B$11,2,0),"")</f>
        <v/>
      </c>
      <c r="D22" s="66"/>
      <c r="E22" s="59"/>
      <c r="F22" s="59"/>
      <c r="G22" s="67" t="str">
        <f t="shared" si="1"/>
        <v/>
      </c>
      <c r="H22" s="66"/>
    </row>
    <row r="23" spans="1:8" x14ac:dyDescent="0.35">
      <c r="A23" s="63" t="str">
        <f t="shared" si="0"/>
        <v/>
      </c>
      <c r="B23" s="64"/>
      <c r="C23" s="65" t="str">
        <f>IFERROR(VLOOKUP($B23,I_Products!$A$4:$B$11,2,0),"")</f>
        <v/>
      </c>
      <c r="D23" s="66"/>
      <c r="E23" s="59"/>
      <c r="F23" s="59"/>
      <c r="G23" s="67" t="str">
        <f t="shared" si="1"/>
        <v/>
      </c>
      <c r="H23" s="66"/>
    </row>
    <row r="24" spans="1:8" x14ac:dyDescent="0.35">
      <c r="A24" s="63" t="str">
        <f t="shared" si="0"/>
        <v/>
      </c>
      <c r="B24" s="64"/>
      <c r="C24" s="65" t="str">
        <f>IFERROR(VLOOKUP($B24,I_Products!$A$4:$B$11,2,0),"")</f>
        <v/>
      </c>
      <c r="D24" s="66"/>
      <c r="E24" s="59"/>
      <c r="F24" s="59"/>
      <c r="G24" s="67" t="str">
        <f t="shared" si="1"/>
        <v/>
      </c>
      <c r="H24" s="66"/>
    </row>
    <row r="25" spans="1:8" x14ac:dyDescent="0.35">
      <c r="A25" s="63" t="str">
        <f t="shared" si="0"/>
        <v/>
      </c>
      <c r="B25" s="64"/>
      <c r="C25" s="65" t="str">
        <f>IFERROR(VLOOKUP($B25,I_Products!$A$4:$B$11,2,0),"")</f>
        <v/>
      </c>
      <c r="D25" s="66"/>
      <c r="E25" s="59"/>
      <c r="F25" s="59"/>
      <c r="G25" s="67" t="str">
        <f t="shared" si="1"/>
        <v/>
      </c>
      <c r="H25" s="66"/>
    </row>
    <row r="26" spans="1:8" x14ac:dyDescent="0.35">
      <c r="A26" s="63" t="str">
        <f t="shared" si="0"/>
        <v/>
      </c>
      <c r="B26" s="64"/>
      <c r="C26" s="65" t="str">
        <f>IFERROR(VLOOKUP($B26,I_Products!$A$4:$B$11,2,0),"")</f>
        <v/>
      </c>
      <c r="D26" s="66"/>
      <c r="E26" s="59"/>
      <c r="F26" s="59"/>
      <c r="G26" s="67" t="str">
        <f t="shared" si="1"/>
        <v/>
      </c>
      <c r="H26" s="66"/>
    </row>
    <row r="27" spans="1:8" x14ac:dyDescent="0.35">
      <c r="A27" s="63" t="str">
        <f t="shared" si="0"/>
        <v/>
      </c>
      <c r="B27" s="64"/>
      <c r="C27" s="65" t="str">
        <f>IFERROR(VLOOKUP($B27,I_Products!$A$4:$B$11,2,0),"")</f>
        <v/>
      </c>
      <c r="D27" s="66"/>
      <c r="E27" s="59"/>
      <c r="F27" s="59"/>
      <c r="G27" s="67" t="str">
        <f t="shared" si="1"/>
        <v/>
      </c>
      <c r="H27" s="66"/>
    </row>
    <row r="28" spans="1:8" x14ac:dyDescent="0.35">
      <c r="A28" s="63" t="str">
        <f t="shared" si="0"/>
        <v/>
      </c>
      <c r="B28" s="64"/>
      <c r="C28" s="65" t="str">
        <f>IFERROR(VLOOKUP($B28,I_Products!$A$4:$B$11,2,0),"")</f>
        <v/>
      </c>
      <c r="D28" s="66"/>
      <c r="E28" s="59"/>
      <c r="F28" s="59"/>
      <c r="G28" s="67" t="str">
        <f t="shared" si="1"/>
        <v/>
      </c>
      <c r="H28" s="66"/>
    </row>
    <row r="29" spans="1:8" x14ac:dyDescent="0.35">
      <c r="A29" s="63" t="str">
        <f t="shared" si="0"/>
        <v/>
      </c>
      <c r="B29" s="64"/>
      <c r="C29" s="65" t="str">
        <f>IFERROR(VLOOKUP($B29,I_Products!$A$4:$B$11,2,0),"")</f>
        <v/>
      </c>
      <c r="D29" s="66"/>
      <c r="E29" s="59"/>
      <c r="F29" s="59"/>
      <c r="G29" s="67" t="str">
        <f t="shared" si="1"/>
        <v/>
      </c>
      <c r="H29" s="66"/>
    </row>
    <row r="30" spans="1:8" x14ac:dyDescent="0.35">
      <c r="A30" s="63" t="str">
        <f t="shared" si="0"/>
        <v/>
      </c>
      <c r="B30" s="64"/>
      <c r="C30" s="65" t="str">
        <f>IFERROR(VLOOKUP($B30,I_Products!$A$4:$B$11,2,0),"")</f>
        <v/>
      </c>
      <c r="D30" s="66"/>
      <c r="E30" s="59"/>
      <c r="F30" s="59"/>
      <c r="G30" s="67" t="str">
        <f t="shared" si="1"/>
        <v/>
      </c>
      <c r="H30" s="66"/>
    </row>
    <row r="31" spans="1:8" x14ac:dyDescent="0.35">
      <c r="A31" s="63" t="str">
        <f t="shared" si="0"/>
        <v/>
      </c>
      <c r="B31" s="64"/>
      <c r="C31" s="65" t="str">
        <f>IFERROR(VLOOKUP($B31,I_Products!$A$4:$B$11,2,0),"")</f>
        <v/>
      </c>
      <c r="D31" s="66"/>
      <c r="E31" s="59"/>
      <c r="F31" s="59"/>
      <c r="G31" s="67" t="str">
        <f t="shared" si="1"/>
        <v/>
      </c>
      <c r="H31" s="66"/>
    </row>
    <row r="32" spans="1:8" x14ac:dyDescent="0.35">
      <c r="A32" s="63" t="str">
        <f t="shared" si="0"/>
        <v/>
      </c>
      <c r="B32" s="64"/>
      <c r="C32" s="65" t="str">
        <f>IFERROR(VLOOKUP($B32,I_Products!$A$4:$B$11,2,0),"")</f>
        <v/>
      </c>
      <c r="D32" s="66"/>
      <c r="E32" s="59"/>
      <c r="F32" s="59"/>
      <c r="G32" s="67" t="str">
        <f t="shared" si="1"/>
        <v/>
      </c>
      <c r="H32" s="66"/>
    </row>
    <row r="33" spans="1:8" x14ac:dyDescent="0.35">
      <c r="A33" s="63" t="str">
        <f t="shared" si="0"/>
        <v/>
      </c>
      <c r="B33" s="64"/>
      <c r="C33" s="65" t="str">
        <f>IFERROR(VLOOKUP($B33,I_Products!$A$4:$B$11,2,0),"")</f>
        <v/>
      </c>
      <c r="D33" s="66"/>
      <c r="E33" s="59"/>
      <c r="F33" s="59"/>
      <c r="G33" s="67" t="str">
        <f t="shared" si="1"/>
        <v/>
      </c>
      <c r="H33" s="66"/>
    </row>
    <row r="34" spans="1:8" x14ac:dyDescent="0.35">
      <c r="A34" s="63" t="str">
        <f t="shared" si="0"/>
        <v/>
      </c>
      <c r="B34" s="64"/>
      <c r="C34" s="65" t="str">
        <f>IFERROR(VLOOKUP($B34,I_Products!$A$4:$B$11,2,0),"")</f>
        <v/>
      </c>
      <c r="D34" s="66"/>
      <c r="E34" s="59"/>
      <c r="F34" s="59"/>
      <c r="G34" s="67" t="str">
        <f t="shared" si="1"/>
        <v/>
      </c>
      <c r="H34" s="66"/>
    </row>
    <row r="35" spans="1:8" x14ac:dyDescent="0.35">
      <c r="A35" s="63" t="str">
        <f t="shared" si="0"/>
        <v/>
      </c>
      <c r="B35" s="64"/>
      <c r="C35" s="65" t="str">
        <f>IFERROR(VLOOKUP($B35,I_Products!$A$4:$B$11,2,0),"")</f>
        <v/>
      </c>
      <c r="D35" s="66"/>
      <c r="E35" s="59"/>
      <c r="F35" s="59"/>
      <c r="G35" s="67" t="str">
        <f t="shared" si="1"/>
        <v/>
      </c>
      <c r="H35" s="66"/>
    </row>
    <row r="36" spans="1:8" x14ac:dyDescent="0.35">
      <c r="A36" s="63" t="str">
        <f t="shared" si="0"/>
        <v/>
      </c>
      <c r="B36" s="64"/>
      <c r="C36" s="65" t="str">
        <f>IFERROR(VLOOKUP($B36,I_Products!$A$4:$B$11,2,0),"")</f>
        <v/>
      </c>
      <c r="D36" s="66"/>
      <c r="E36" s="59"/>
      <c r="F36" s="59"/>
      <c r="G36" s="67" t="str">
        <f t="shared" si="1"/>
        <v/>
      </c>
      <c r="H36" s="66"/>
    </row>
    <row r="37" spans="1:8" x14ac:dyDescent="0.35">
      <c r="A37" s="63" t="str">
        <f t="shared" si="0"/>
        <v/>
      </c>
      <c r="B37" s="64"/>
      <c r="C37" s="65" t="str">
        <f>IFERROR(VLOOKUP($B37,I_Products!$A$4:$B$11,2,0),"")</f>
        <v/>
      </c>
      <c r="D37" s="66"/>
      <c r="E37" s="59"/>
      <c r="F37" s="59"/>
      <c r="G37" s="67" t="str">
        <f t="shared" si="1"/>
        <v/>
      </c>
      <c r="H37" s="66"/>
    </row>
    <row r="38" spans="1:8" x14ac:dyDescent="0.35">
      <c r="A38" s="63" t="str">
        <f t="shared" si="0"/>
        <v/>
      </c>
      <c r="B38" s="64"/>
      <c r="C38" s="65" t="str">
        <f>IFERROR(VLOOKUP($B38,I_Products!$A$4:$B$11,2,0),"")</f>
        <v/>
      </c>
      <c r="D38" s="66"/>
      <c r="E38" s="59"/>
      <c r="F38" s="59"/>
      <c r="G38" s="67" t="str">
        <f t="shared" si="1"/>
        <v/>
      </c>
      <c r="H38" s="66"/>
    </row>
    <row r="39" spans="1:8" x14ac:dyDescent="0.35">
      <c r="A39" s="63" t="str">
        <f t="shared" si="0"/>
        <v/>
      </c>
      <c r="B39" s="64"/>
      <c r="C39" s="65" t="str">
        <f>IFERROR(VLOOKUP($B39,I_Products!$A$4:$B$11,2,0),"")</f>
        <v/>
      </c>
      <c r="D39" s="66"/>
      <c r="E39" s="59"/>
      <c r="F39" s="59"/>
      <c r="G39" s="67" t="str">
        <f t="shared" si="1"/>
        <v/>
      </c>
      <c r="H39" s="66"/>
    </row>
    <row r="40" spans="1:8" x14ac:dyDescent="0.35">
      <c r="A40" s="63" t="str">
        <f t="shared" si="0"/>
        <v/>
      </c>
      <c r="B40" s="64"/>
      <c r="C40" s="65" t="str">
        <f>IFERROR(VLOOKUP($B40,I_Products!$A$4:$B$11,2,0),"")</f>
        <v/>
      </c>
      <c r="D40" s="66"/>
      <c r="E40" s="59"/>
      <c r="F40" s="59"/>
      <c r="G40" s="67" t="str">
        <f t="shared" si="1"/>
        <v/>
      </c>
      <c r="H40" s="66"/>
    </row>
    <row r="41" spans="1:8" x14ac:dyDescent="0.35">
      <c r="A41" s="63" t="str">
        <f t="shared" si="0"/>
        <v/>
      </c>
      <c r="B41" s="64"/>
      <c r="C41" s="65" t="str">
        <f>IFERROR(VLOOKUP($B41,I_Products!$A$4:$B$11,2,0),"")</f>
        <v/>
      </c>
      <c r="D41" s="66"/>
      <c r="E41" s="59"/>
      <c r="F41" s="59"/>
      <c r="G41" s="67" t="str">
        <f t="shared" si="1"/>
        <v/>
      </c>
      <c r="H41" s="66"/>
    </row>
    <row r="42" spans="1:8" x14ac:dyDescent="0.35">
      <c r="A42" s="63" t="str">
        <f t="shared" si="0"/>
        <v/>
      </c>
      <c r="B42" s="64"/>
      <c r="C42" s="65" t="str">
        <f>IFERROR(VLOOKUP($B42,I_Products!$A$4:$B$11,2,0),"")</f>
        <v/>
      </c>
      <c r="D42" s="66"/>
      <c r="E42" s="59"/>
      <c r="F42" s="59"/>
      <c r="G42" s="67" t="str">
        <f t="shared" si="1"/>
        <v/>
      </c>
      <c r="H42" s="66"/>
    </row>
    <row r="43" spans="1:8" x14ac:dyDescent="0.35">
      <c r="A43" s="63" t="str">
        <f t="shared" si="0"/>
        <v/>
      </c>
      <c r="B43" s="64"/>
      <c r="C43" s="65" t="str">
        <f>IFERROR(VLOOKUP($B43,I_Products!$A$4:$B$11,2,0),"")</f>
        <v/>
      </c>
      <c r="D43" s="66"/>
      <c r="E43" s="59"/>
      <c r="F43" s="59"/>
      <c r="G43" s="67" t="str">
        <f t="shared" si="1"/>
        <v/>
      </c>
      <c r="H43" s="66"/>
    </row>
    <row r="44" spans="1:8" x14ac:dyDescent="0.35">
      <c r="A44" s="63" t="str">
        <f t="shared" si="0"/>
        <v/>
      </c>
      <c r="B44" s="64"/>
      <c r="C44" s="65" t="str">
        <f>IFERROR(VLOOKUP($B44,I_Products!$A$4:$B$11,2,0),"")</f>
        <v/>
      </c>
      <c r="D44" s="66"/>
      <c r="E44" s="59"/>
      <c r="F44" s="59"/>
      <c r="G44" s="67" t="str">
        <f t="shared" si="1"/>
        <v/>
      </c>
      <c r="H44" s="66"/>
    </row>
    <row r="45" spans="1:8" x14ac:dyDescent="0.35">
      <c r="A45" s="63" t="str">
        <f t="shared" si="0"/>
        <v/>
      </c>
      <c r="B45" s="64"/>
      <c r="C45" s="65" t="str">
        <f>IFERROR(VLOOKUP($B45,I_Products!$A$4:$B$11,2,0),"")</f>
        <v/>
      </c>
      <c r="D45" s="66"/>
      <c r="E45" s="59"/>
      <c r="F45" s="59"/>
      <c r="G45" s="67" t="str">
        <f t="shared" si="1"/>
        <v/>
      </c>
      <c r="H45" s="66"/>
    </row>
    <row r="46" spans="1:8" x14ac:dyDescent="0.35">
      <c r="A46" s="63" t="str">
        <f t="shared" si="0"/>
        <v/>
      </c>
      <c r="B46" s="64"/>
      <c r="C46" s="65" t="str">
        <f>IFERROR(VLOOKUP($B46,I_Products!$A$4:$B$11,2,0),"")</f>
        <v/>
      </c>
      <c r="D46" s="66"/>
      <c r="E46" s="59"/>
      <c r="F46" s="59"/>
      <c r="G46" s="67" t="str">
        <f t="shared" si="1"/>
        <v/>
      </c>
      <c r="H46" s="66"/>
    </row>
    <row r="47" spans="1:8" x14ac:dyDescent="0.35">
      <c r="A47" s="63" t="str">
        <f t="shared" si="0"/>
        <v/>
      </c>
      <c r="B47" s="64"/>
      <c r="C47" s="65" t="str">
        <f>IFERROR(VLOOKUP($B47,I_Products!$A$4:$B$11,2,0),"")</f>
        <v/>
      </c>
      <c r="D47" s="66"/>
      <c r="E47" s="59"/>
      <c r="F47" s="59"/>
      <c r="G47" s="67" t="str">
        <f t="shared" si="1"/>
        <v/>
      </c>
      <c r="H47" s="66"/>
    </row>
    <row r="48" spans="1:8" x14ac:dyDescent="0.35">
      <c r="A48" s="63" t="str">
        <f t="shared" si="0"/>
        <v/>
      </c>
      <c r="B48" s="64"/>
      <c r="C48" s="65" t="str">
        <f>IFERROR(VLOOKUP($B48,I_Products!$A$4:$B$11,2,0),"")</f>
        <v/>
      </c>
      <c r="D48" s="66"/>
      <c r="E48" s="59"/>
      <c r="F48" s="59"/>
      <c r="G48" s="67" t="str">
        <f t="shared" si="1"/>
        <v/>
      </c>
      <c r="H48" s="66"/>
    </row>
    <row r="49" spans="1:8" x14ac:dyDescent="0.35">
      <c r="A49" s="60"/>
      <c r="B49" s="60"/>
      <c r="C49" s="60"/>
      <c r="D49" s="61" t="s">
        <v>171</v>
      </c>
      <c r="E49" s="62">
        <f>SUM(E19:E48)</f>
        <v>2000</v>
      </c>
      <c r="F49" s="60"/>
      <c r="G49" s="62">
        <f>SUM(G19:G48)</f>
        <v>0</v>
      </c>
      <c r="H49" s="60"/>
    </row>
    <row r="51" spans="1:8" x14ac:dyDescent="0.35">
      <c r="A51" s="71" t="s">
        <v>321</v>
      </c>
      <c r="B51" s="71"/>
      <c r="C51" s="71"/>
      <c r="D51" s="71"/>
      <c r="E51" s="71"/>
      <c r="F51" s="71"/>
      <c r="G51" s="71"/>
      <c r="H51" s="71"/>
    </row>
    <row r="52" spans="1:8" ht="26" x14ac:dyDescent="0.35">
      <c r="B52" s="56" t="s">
        <v>102</v>
      </c>
      <c r="C52" s="56" t="s">
        <v>103</v>
      </c>
      <c r="D52" s="56" t="s">
        <v>313</v>
      </c>
      <c r="E52" s="56" t="s">
        <v>322</v>
      </c>
      <c r="F52" s="56" t="s">
        <v>323</v>
      </c>
      <c r="G52" s="56" t="s">
        <v>324</v>
      </c>
      <c r="H52" s="56" t="s">
        <v>21</v>
      </c>
    </row>
    <row r="53" spans="1:8" x14ac:dyDescent="0.35">
      <c r="B53" s="63" t="str">
        <f t="shared" ref="B53:D60" si="2">B6</f>
        <v>BLD</v>
      </c>
      <c r="C53" s="65" t="str">
        <f t="shared" si="2"/>
        <v>Boneless Dada (fillet)</v>
      </c>
      <c r="D53" s="67">
        <f t="shared" si="2"/>
        <v>22000</v>
      </c>
      <c r="E53" s="67">
        <f t="shared" ref="E53:E60" si="3">SUMIFS($E$19:$E$48,$B$19:$B$48,$B53)</f>
        <v>2000</v>
      </c>
      <c r="F53" s="67">
        <f t="shared" ref="F53:F60" si="4">D53-E53</f>
        <v>20000</v>
      </c>
      <c r="G53" s="68">
        <f t="shared" ref="G53:G60" si="5">IFERROR(E53/D53,0)</f>
        <v>9.0909090909090912E-2</v>
      </c>
      <c r="H53" s="65" t="str">
        <f t="shared" ref="H53:H60" si="6">IF(E53&gt;D53,"OVER — cek alokasi",IF(D53=0,"—",IF(F53&gt;0,"Ada sisa","Full")))</f>
        <v>Ada sisa</v>
      </c>
    </row>
    <row r="54" spans="1:8" x14ac:dyDescent="0.35">
      <c r="B54" s="63" t="str">
        <f t="shared" si="2"/>
        <v>BLP</v>
      </c>
      <c r="C54" s="65" t="str">
        <f t="shared" si="2"/>
        <v>Boneless Paha (fillet)</v>
      </c>
      <c r="D54" s="67">
        <f t="shared" si="2"/>
        <v>16000</v>
      </c>
      <c r="E54" s="67">
        <f t="shared" si="3"/>
        <v>0</v>
      </c>
      <c r="F54" s="67">
        <f t="shared" si="4"/>
        <v>16000</v>
      </c>
      <c r="G54" s="68">
        <f t="shared" si="5"/>
        <v>0</v>
      </c>
      <c r="H54" s="65" t="str">
        <f t="shared" si="6"/>
        <v>Ada sisa</v>
      </c>
    </row>
    <row r="55" spans="1:8" x14ac:dyDescent="0.35">
      <c r="B55" s="63" t="str">
        <f t="shared" si="2"/>
        <v>SYP</v>
      </c>
      <c r="C55" s="65" t="str">
        <f t="shared" si="2"/>
        <v>Sayap</v>
      </c>
      <c r="D55" s="67">
        <f t="shared" si="2"/>
        <v>11000</v>
      </c>
      <c r="E55" s="67">
        <f t="shared" si="3"/>
        <v>0</v>
      </c>
      <c r="F55" s="67">
        <f t="shared" si="4"/>
        <v>11000</v>
      </c>
      <c r="G55" s="68">
        <f t="shared" si="5"/>
        <v>0</v>
      </c>
      <c r="H55" s="65" t="str">
        <f t="shared" si="6"/>
        <v>Ada sisa</v>
      </c>
    </row>
    <row r="56" spans="1:8" x14ac:dyDescent="0.35">
      <c r="B56" s="63" t="str">
        <f t="shared" si="2"/>
        <v>CKR</v>
      </c>
      <c r="C56" s="65" t="str">
        <f t="shared" si="2"/>
        <v>Ceker</v>
      </c>
      <c r="D56" s="67">
        <f t="shared" si="2"/>
        <v>8000</v>
      </c>
      <c r="E56" s="67">
        <f t="shared" si="3"/>
        <v>0</v>
      </c>
      <c r="F56" s="67">
        <f t="shared" si="4"/>
        <v>8000</v>
      </c>
      <c r="G56" s="68">
        <f t="shared" si="5"/>
        <v>0</v>
      </c>
      <c r="H56" s="65" t="str">
        <f t="shared" si="6"/>
        <v>Ada sisa</v>
      </c>
    </row>
    <row r="57" spans="1:8" x14ac:dyDescent="0.35">
      <c r="B57" s="63" t="str">
        <f t="shared" si="2"/>
        <v>KPL</v>
      </c>
      <c r="C57" s="65" t="str">
        <f t="shared" si="2"/>
        <v>Kepala</v>
      </c>
      <c r="D57" s="67">
        <f t="shared" si="2"/>
        <v>4000</v>
      </c>
      <c r="E57" s="67">
        <f t="shared" si="3"/>
        <v>0</v>
      </c>
      <c r="F57" s="67">
        <f t="shared" si="4"/>
        <v>4000</v>
      </c>
      <c r="G57" s="68">
        <f t="shared" si="5"/>
        <v>0</v>
      </c>
      <c r="H57" s="65" t="str">
        <f t="shared" si="6"/>
        <v>Ada sisa</v>
      </c>
    </row>
    <row r="58" spans="1:8" x14ac:dyDescent="0.35">
      <c r="B58" s="63" t="str">
        <f t="shared" si="2"/>
        <v>KLT</v>
      </c>
      <c r="C58" s="65" t="str">
        <f t="shared" si="2"/>
        <v>Kulit</v>
      </c>
      <c r="D58" s="67">
        <f t="shared" si="2"/>
        <v>9000</v>
      </c>
      <c r="E58" s="67">
        <f t="shared" si="3"/>
        <v>0</v>
      </c>
      <c r="F58" s="67">
        <f t="shared" si="4"/>
        <v>9000</v>
      </c>
      <c r="G58" s="68">
        <f t="shared" si="5"/>
        <v>0</v>
      </c>
      <c r="H58" s="65" t="str">
        <f t="shared" si="6"/>
        <v>Ada sisa</v>
      </c>
    </row>
    <row r="59" spans="1:8" x14ac:dyDescent="0.35">
      <c r="B59" s="63" t="str">
        <f t="shared" si="2"/>
        <v>JRN</v>
      </c>
      <c r="C59" s="65" t="str">
        <f t="shared" si="2"/>
        <v>Jeroan (ati ampela)</v>
      </c>
      <c r="D59" s="67">
        <f t="shared" si="2"/>
        <v>6000</v>
      </c>
      <c r="E59" s="67">
        <f t="shared" si="3"/>
        <v>0</v>
      </c>
      <c r="F59" s="67">
        <f t="shared" si="4"/>
        <v>6000</v>
      </c>
      <c r="G59" s="68">
        <f t="shared" si="5"/>
        <v>0</v>
      </c>
      <c r="H59" s="65" t="str">
        <f t="shared" si="6"/>
        <v>Ada sisa</v>
      </c>
    </row>
    <row r="60" spans="1:8" x14ac:dyDescent="0.35">
      <c r="B60" s="63" t="str">
        <f t="shared" si="2"/>
        <v>TLG</v>
      </c>
      <c r="C60" s="65" t="str">
        <f t="shared" si="2"/>
        <v>Tulang / carcass frame</v>
      </c>
      <c r="D60" s="67">
        <f t="shared" si="2"/>
        <v>24000</v>
      </c>
      <c r="E60" s="67">
        <f t="shared" si="3"/>
        <v>0</v>
      </c>
      <c r="F60" s="67">
        <f t="shared" si="4"/>
        <v>24000</v>
      </c>
      <c r="G60" s="68">
        <f t="shared" si="5"/>
        <v>0</v>
      </c>
      <c r="H60" s="65" t="str">
        <f t="shared" si="6"/>
        <v>Ada sisa</v>
      </c>
    </row>
    <row r="61" spans="1:8" x14ac:dyDescent="0.35">
      <c r="B61" s="60"/>
      <c r="C61" s="61" t="s">
        <v>171</v>
      </c>
      <c r="D61" s="62">
        <f>SUM(D53:D60)</f>
        <v>100000</v>
      </c>
      <c r="E61" s="62">
        <f>SUM(E53:E60)</f>
        <v>2000</v>
      </c>
      <c r="F61" s="62">
        <f>SUM(F53:F60)</f>
        <v>98000</v>
      </c>
      <c r="G61" s="60"/>
      <c r="H61" s="60"/>
    </row>
    <row r="63" spans="1:8" x14ac:dyDescent="0.35">
      <c r="A63" s="71" t="s">
        <v>325</v>
      </c>
      <c r="B63" s="71"/>
      <c r="C63" s="71"/>
      <c r="D63" s="71"/>
      <c r="E63" s="71"/>
      <c r="F63" s="71"/>
      <c r="G63" s="71"/>
      <c r="H63" s="71"/>
    </row>
    <row r="64" spans="1:8" x14ac:dyDescent="0.35">
      <c r="A64" s="72" t="s">
        <v>326</v>
      </c>
      <c r="B64" s="72"/>
      <c r="C64" s="72"/>
      <c r="D64" s="72"/>
      <c r="E64" s="72"/>
      <c r="F64" s="72"/>
      <c r="G64" s="72"/>
      <c r="H64" s="72"/>
    </row>
    <row r="65" spans="4:6" x14ac:dyDescent="0.35">
      <c r="D65" s="56" t="s">
        <v>317</v>
      </c>
      <c r="E65" s="56" t="s">
        <v>327</v>
      </c>
      <c r="F65" s="56" t="s">
        <v>328</v>
      </c>
    </row>
    <row r="66" spans="4:6" x14ac:dyDescent="0.35">
      <c r="D66" s="66" t="s">
        <v>329</v>
      </c>
      <c r="E66" s="67">
        <f t="shared" ref="E66:E85" si="7">IF($D66&lt;&gt;"",SUMIFS($E$19:$E$48,$D$19:$D$48,$D66),"")</f>
        <v>0</v>
      </c>
      <c r="F66" s="67">
        <f t="shared" ref="F66:F85" si="8">IF($D66&lt;&gt;"",SUMIFS($G$19:$G$48,$D$19:$D$48,$D66),"")</f>
        <v>0</v>
      </c>
    </row>
    <row r="67" spans="4:6" x14ac:dyDescent="0.35">
      <c r="D67" s="66" t="s">
        <v>330</v>
      </c>
      <c r="E67" s="67">
        <f t="shared" si="7"/>
        <v>0</v>
      </c>
      <c r="F67" s="67">
        <f t="shared" si="8"/>
        <v>0</v>
      </c>
    </row>
    <row r="68" spans="4:6" x14ac:dyDescent="0.35">
      <c r="D68" s="66" t="s">
        <v>331</v>
      </c>
      <c r="E68" s="67">
        <f t="shared" si="7"/>
        <v>0</v>
      </c>
      <c r="F68" s="67">
        <f t="shared" si="8"/>
        <v>0</v>
      </c>
    </row>
    <row r="69" spans="4:6" x14ac:dyDescent="0.35">
      <c r="D69" s="66" t="s">
        <v>332</v>
      </c>
      <c r="E69" s="67">
        <f t="shared" si="7"/>
        <v>0</v>
      </c>
      <c r="F69" s="67">
        <f t="shared" si="8"/>
        <v>0</v>
      </c>
    </row>
    <row r="70" spans="4:6" x14ac:dyDescent="0.35">
      <c r="D70" s="66" t="s">
        <v>333</v>
      </c>
      <c r="E70" s="67">
        <f t="shared" si="7"/>
        <v>2000</v>
      </c>
      <c r="F70" s="67">
        <f t="shared" si="8"/>
        <v>0</v>
      </c>
    </row>
    <row r="71" spans="4:6" x14ac:dyDescent="0.35">
      <c r="D71" s="66"/>
      <c r="E71" s="67" t="str">
        <f t="shared" si="7"/>
        <v/>
      </c>
      <c r="F71" s="67" t="str">
        <f t="shared" si="8"/>
        <v/>
      </c>
    </row>
    <row r="72" spans="4:6" x14ac:dyDescent="0.35">
      <c r="D72" s="66"/>
      <c r="E72" s="67" t="str">
        <f t="shared" si="7"/>
        <v/>
      </c>
      <c r="F72" s="67" t="str">
        <f t="shared" si="8"/>
        <v/>
      </c>
    </row>
    <row r="73" spans="4:6" x14ac:dyDescent="0.35">
      <c r="D73" s="66"/>
      <c r="E73" s="67" t="str">
        <f t="shared" si="7"/>
        <v/>
      </c>
      <c r="F73" s="67" t="str">
        <f t="shared" si="8"/>
        <v/>
      </c>
    </row>
    <row r="74" spans="4:6" x14ac:dyDescent="0.35">
      <c r="D74" s="66"/>
      <c r="E74" s="67" t="str">
        <f t="shared" si="7"/>
        <v/>
      </c>
      <c r="F74" s="67" t="str">
        <f t="shared" si="8"/>
        <v/>
      </c>
    </row>
    <row r="75" spans="4:6" x14ac:dyDescent="0.35">
      <c r="D75" s="66"/>
      <c r="E75" s="67" t="str">
        <f t="shared" si="7"/>
        <v/>
      </c>
      <c r="F75" s="67" t="str">
        <f t="shared" si="8"/>
        <v/>
      </c>
    </row>
    <row r="76" spans="4:6" x14ac:dyDescent="0.35">
      <c r="D76" s="66"/>
      <c r="E76" s="67" t="str">
        <f t="shared" si="7"/>
        <v/>
      </c>
      <c r="F76" s="67" t="str">
        <f t="shared" si="8"/>
        <v/>
      </c>
    </row>
    <row r="77" spans="4:6" x14ac:dyDescent="0.35">
      <c r="D77" s="66"/>
      <c r="E77" s="67" t="str">
        <f t="shared" si="7"/>
        <v/>
      </c>
      <c r="F77" s="67" t="str">
        <f t="shared" si="8"/>
        <v/>
      </c>
    </row>
    <row r="78" spans="4:6" x14ac:dyDescent="0.35">
      <c r="D78" s="66"/>
      <c r="E78" s="67" t="str">
        <f t="shared" si="7"/>
        <v/>
      </c>
      <c r="F78" s="67" t="str">
        <f t="shared" si="8"/>
        <v/>
      </c>
    </row>
    <row r="79" spans="4:6" x14ac:dyDescent="0.35">
      <c r="D79" s="66"/>
      <c r="E79" s="67" t="str">
        <f t="shared" si="7"/>
        <v/>
      </c>
      <c r="F79" s="67" t="str">
        <f t="shared" si="8"/>
        <v/>
      </c>
    </row>
    <row r="80" spans="4:6" x14ac:dyDescent="0.35">
      <c r="D80" s="66"/>
      <c r="E80" s="67" t="str">
        <f t="shared" si="7"/>
        <v/>
      </c>
      <c r="F80" s="67" t="str">
        <f t="shared" si="8"/>
        <v/>
      </c>
    </row>
    <row r="81" spans="4:6" x14ac:dyDescent="0.35">
      <c r="D81" s="66"/>
      <c r="E81" s="67" t="str">
        <f t="shared" si="7"/>
        <v/>
      </c>
      <c r="F81" s="67" t="str">
        <f t="shared" si="8"/>
        <v/>
      </c>
    </row>
    <row r="82" spans="4:6" x14ac:dyDescent="0.35">
      <c r="D82" s="66"/>
      <c r="E82" s="67" t="str">
        <f t="shared" si="7"/>
        <v/>
      </c>
      <c r="F82" s="67" t="str">
        <f t="shared" si="8"/>
        <v/>
      </c>
    </row>
    <row r="83" spans="4:6" x14ac:dyDescent="0.35">
      <c r="D83" s="66"/>
      <c r="E83" s="67" t="str">
        <f t="shared" si="7"/>
        <v/>
      </c>
      <c r="F83" s="67" t="str">
        <f t="shared" si="8"/>
        <v/>
      </c>
    </row>
    <row r="84" spans="4:6" x14ac:dyDescent="0.35">
      <c r="D84" s="66"/>
      <c r="E84" s="67" t="str">
        <f t="shared" si="7"/>
        <v/>
      </c>
      <c r="F84" s="67" t="str">
        <f t="shared" si="8"/>
        <v/>
      </c>
    </row>
    <row r="85" spans="4:6" x14ac:dyDescent="0.35">
      <c r="D85" s="66"/>
      <c r="E85" s="67" t="str">
        <f t="shared" si="7"/>
        <v/>
      </c>
      <c r="F85" s="67" t="str">
        <f t="shared" si="8"/>
        <v/>
      </c>
    </row>
    <row r="86" spans="4:6" x14ac:dyDescent="0.35">
      <c r="D86" s="61" t="s">
        <v>171</v>
      </c>
      <c r="E86" s="62">
        <f>SUM(E66:E85)</f>
        <v>2000</v>
      </c>
      <c r="F86" s="62">
        <f>SUM(F66:F85)</f>
        <v>0</v>
      </c>
    </row>
  </sheetData>
  <mergeCells count="8">
    <mergeCell ref="A51:H51"/>
    <mergeCell ref="A63:H63"/>
    <mergeCell ref="A64:H64"/>
    <mergeCell ref="A1:H1"/>
    <mergeCell ref="A2:H2"/>
    <mergeCell ref="A4:H4"/>
    <mergeCell ref="A16:H16"/>
    <mergeCell ref="A17:H17"/>
  </mergeCells>
  <conditionalFormatting sqref="H53:H60">
    <cfRule type="expression" dxfId="0" priority="2">
      <formula>ISNUMBER(SEARCH("OVER",H53))</formula>
    </cfRule>
  </conditionalFormatting>
  <dataValidations count="2">
    <dataValidation type="list" allowBlank="1" showErrorMessage="1" errorTitle="SKU tidak valid" error="Pilih kode SKU dari daftar." prompt="Pilih SKU" sqref="B19:B48" xr:uid="{00000000-0002-0000-0E00-000000000000}">
      <formula1>$B$6:$B$13</formula1>
      <formula2>0</formula2>
    </dataValidation>
    <dataValidation type="list" allowBlank="1" sqref="D19:D48" xr:uid="{00000000-0002-0000-0E00-000001000000}">
      <formula1>$D$66:$D$85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"/>
  <sheetViews>
    <sheetView zoomScaleNormal="100" workbookViewId="0"/>
  </sheetViews>
  <sheetFormatPr defaultColWidth="8.54296875" defaultRowHeight="14.5" x14ac:dyDescent="0.35"/>
  <cols>
    <col min="1" max="1" width="12" customWidth="1"/>
    <col min="2" max="2" width="10" customWidth="1"/>
    <col min="3" max="3" width="22" customWidth="1"/>
    <col min="4" max="4" width="10" customWidth="1"/>
    <col min="5" max="9" width="12" customWidth="1"/>
  </cols>
  <sheetData>
    <row r="1" spans="1:9" ht="16.5" customHeight="1" x14ac:dyDescent="0.35">
      <c r="A1" s="73" t="s">
        <v>334</v>
      </c>
      <c r="B1" s="73"/>
      <c r="C1" s="73"/>
      <c r="D1" s="73"/>
      <c r="E1" s="73"/>
      <c r="F1" s="73"/>
      <c r="G1" s="73"/>
      <c r="H1" s="73"/>
      <c r="I1" s="73"/>
    </row>
    <row r="2" spans="1:9" x14ac:dyDescent="0.35">
      <c r="A2" s="1" t="s">
        <v>335</v>
      </c>
    </row>
    <row r="3" spans="1:9" ht="25.5" customHeight="1" x14ac:dyDescent="0.35">
      <c r="A3" s="6" t="s">
        <v>336</v>
      </c>
      <c r="B3" s="6" t="s">
        <v>102</v>
      </c>
      <c r="C3" s="6" t="s">
        <v>103</v>
      </c>
      <c r="D3" s="6" t="s">
        <v>260</v>
      </c>
      <c r="E3" s="6" t="s">
        <v>337</v>
      </c>
      <c r="F3" s="6" t="s">
        <v>338</v>
      </c>
      <c r="G3" s="6" t="s">
        <v>339</v>
      </c>
      <c r="H3" s="6" t="s">
        <v>340</v>
      </c>
      <c r="I3" s="6" t="s">
        <v>341</v>
      </c>
    </row>
    <row r="4" spans="1:9" x14ac:dyDescent="0.35">
      <c r="G4" s="26" t="str">
        <f t="shared" ref="G4:G13" si="0">IFERROR(ABS(F4-E4)/F4,"")</f>
        <v/>
      </c>
      <c r="H4" s="26" t="str">
        <f t="shared" ref="H4:H13" si="1">IFERROR((E4-F4)/F4,"")</f>
        <v/>
      </c>
      <c r="I4" s="23" t="str">
        <f t="shared" ref="I4:I13" si="2">IF(OR(E4="",F4=""),"",IF(SIGN(E4)=SIGN(F4),"Ya","Tidak"))</f>
        <v/>
      </c>
    </row>
    <row r="5" spans="1:9" x14ac:dyDescent="0.35">
      <c r="G5" s="26" t="str">
        <f t="shared" si="0"/>
        <v/>
      </c>
      <c r="H5" s="26" t="str">
        <f t="shared" si="1"/>
        <v/>
      </c>
      <c r="I5" s="23" t="str">
        <f t="shared" si="2"/>
        <v/>
      </c>
    </row>
    <row r="6" spans="1:9" x14ac:dyDescent="0.35">
      <c r="G6" s="26" t="str">
        <f t="shared" si="0"/>
        <v/>
      </c>
      <c r="H6" s="26" t="str">
        <f t="shared" si="1"/>
        <v/>
      </c>
      <c r="I6" s="23" t="str">
        <f t="shared" si="2"/>
        <v/>
      </c>
    </row>
    <row r="7" spans="1:9" x14ac:dyDescent="0.35">
      <c r="G7" s="26" t="str">
        <f t="shared" si="0"/>
        <v/>
      </c>
      <c r="H7" s="26" t="str">
        <f t="shared" si="1"/>
        <v/>
      </c>
      <c r="I7" s="23" t="str">
        <f t="shared" si="2"/>
        <v/>
      </c>
    </row>
    <row r="8" spans="1:9" x14ac:dyDescent="0.35">
      <c r="G8" s="26" t="str">
        <f t="shared" si="0"/>
        <v/>
      </c>
      <c r="H8" s="26" t="str">
        <f t="shared" si="1"/>
        <v/>
      </c>
      <c r="I8" s="23" t="str">
        <f t="shared" si="2"/>
        <v/>
      </c>
    </row>
    <row r="9" spans="1:9" x14ac:dyDescent="0.35">
      <c r="G9" s="26" t="str">
        <f t="shared" si="0"/>
        <v/>
      </c>
      <c r="H9" s="26" t="str">
        <f t="shared" si="1"/>
        <v/>
      </c>
      <c r="I9" s="23" t="str">
        <f t="shared" si="2"/>
        <v/>
      </c>
    </row>
    <row r="10" spans="1:9" x14ac:dyDescent="0.35">
      <c r="G10" s="26" t="str">
        <f t="shared" si="0"/>
        <v/>
      </c>
      <c r="H10" s="26" t="str">
        <f t="shared" si="1"/>
        <v/>
      </c>
      <c r="I10" s="23" t="str">
        <f t="shared" si="2"/>
        <v/>
      </c>
    </row>
    <row r="11" spans="1:9" x14ac:dyDescent="0.35">
      <c r="G11" s="26" t="str">
        <f t="shared" si="0"/>
        <v/>
      </c>
      <c r="H11" s="26" t="str">
        <f t="shared" si="1"/>
        <v/>
      </c>
      <c r="I11" s="23" t="str">
        <f t="shared" si="2"/>
        <v/>
      </c>
    </row>
    <row r="12" spans="1:9" x14ac:dyDescent="0.35">
      <c r="G12" s="26" t="str">
        <f t="shared" si="0"/>
        <v/>
      </c>
      <c r="H12" s="26" t="str">
        <f t="shared" si="1"/>
        <v/>
      </c>
      <c r="I12" s="23" t="str">
        <f t="shared" si="2"/>
        <v/>
      </c>
    </row>
    <row r="13" spans="1:9" x14ac:dyDescent="0.35">
      <c r="G13" s="26" t="str">
        <f t="shared" si="0"/>
        <v/>
      </c>
      <c r="H13" s="26" t="str">
        <f t="shared" si="1"/>
        <v/>
      </c>
      <c r="I13" s="23" t="str">
        <f t="shared" si="2"/>
        <v/>
      </c>
    </row>
    <row r="15" spans="1:9" x14ac:dyDescent="0.35">
      <c r="A15" s="5" t="s">
        <v>342</v>
      </c>
      <c r="B15" s="69" t="str">
        <f>IFERROR(AVERAGE(G4:G13),"")</f>
        <v/>
      </c>
    </row>
    <row r="16" spans="1:9" x14ac:dyDescent="0.35">
      <c r="A16" s="5" t="s">
        <v>343</v>
      </c>
      <c r="B16" s="69" t="str">
        <f>IFERROR(AVERAGE(H4:H13),"")</f>
        <v/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"/>
  <sheetViews>
    <sheetView zoomScaleNormal="100" workbookViewId="0">
      <selection activeCell="A12" sqref="A12"/>
    </sheetView>
  </sheetViews>
  <sheetFormatPr defaultColWidth="8.54296875" defaultRowHeight="14.5" x14ac:dyDescent="0.35"/>
  <cols>
    <col min="1" max="1" width="12" customWidth="1"/>
    <col min="2" max="2" width="16" customWidth="1"/>
    <col min="3" max="3" width="18" customWidth="1"/>
    <col min="4" max="4" width="40" customWidth="1"/>
    <col min="5" max="5" width="16" customWidth="1"/>
  </cols>
  <sheetData>
    <row r="1" spans="1:5" ht="16.5" customHeight="1" x14ac:dyDescent="0.35">
      <c r="A1" s="4" t="s">
        <v>344</v>
      </c>
      <c r="B1" s="4"/>
      <c r="C1" s="4"/>
      <c r="D1" s="4"/>
      <c r="E1" s="4"/>
    </row>
    <row r="3" spans="1:5" x14ac:dyDescent="0.35">
      <c r="A3" s="3" t="s">
        <v>345</v>
      </c>
      <c r="B3" s="3"/>
      <c r="C3" s="3"/>
      <c r="D3" s="3"/>
      <c r="E3" s="3"/>
    </row>
    <row r="4" spans="1:5" x14ac:dyDescent="0.35">
      <c r="A4" s="6" t="s">
        <v>346</v>
      </c>
      <c r="B4" s="6" t="s">
        <v>175</v>
      </c>
      <c r="C4" s="6" t="s">
        <v>347</v>
      </c>
      <c r="D4" s="6" t="s">
        <v>348</v>
      </c>
      <c r="E4" s="6" t="s">
        <v>349</v>
      </c>
    </row>
    <row r="5" spans="1:5" x14ac:dyDescent="0.35">
      <c r="A5" s="2" t="s">
        <v>350</v>
      </c>
      <c r="B5" s="2" t="s">
        <v>351</v>
      </c>
      <c r="C5" s="2" t="s">
        <v>95</v>
      </c>
      <c r="D5" s="2" t="s">
        <v>352</v>
      </c>
    </row>
    <row r="7" spans="1:5" x14ac:dyDescent="0.35">
      <c r="A7" s="3" t="s">
        <v>353</v>
      </c>
      <c r="B7" s="3"/>
      <c r="C7" s="3"/>
      <c r="D7" s="3"/>
      <c r="E7" s="3"/>
    </row>
    <row r="8" spans="1:5" x14ac:dyDescent="0.35">
      <c r="A8" s="6" t="s">
        <v>354</v>
      </c>
      <c r="B8" s="6" t="s">
        <v>355</v>
      </c>
      <c r="C8" s="6" t="s">
        <v>356</v>
      </c>
      <c r="D8" s="6" t="s">
        <v>175</v>
      </c>
      <c r="E8" s="6" t="s">
        <v>21</v>
      </c>
    </row>
    <row r="9" spans="1:5" x14ac:dyDescent="0.35">
      <c r="A9" s="2" t="s">
        <v>357</v>
      </c>
      <c r="B9" s="8"/>
      <c r="D9" s="8"/>
      <c r="E9" s="70" t="s">
        <v>81</v>
      </c>
    </row>
    <row r="10" spans="1:5" x14ac:dyDescent="0.35">
      <c r="A10" s="2" t="s">
        <v>358</v>
      </c>
      <c r="B10" s="8"/>
      <c r="D10" s="8"/>
      <c r="E10" s="70" t="s">
        <v>81</v>
      </c>
    </row>
    <row r="11" spans="1:5" x14ac:dyDescent="0.35">
      <c r="A11" s="2" t="s">
        <v>359</v>
      </c>
      <c r="B11" s="8"/>
      <c r="D11" s="8"/>
      <c r="E11" s="70" t="s">
        <v>81</v>
      </c>
    </row>
    <row r="12" spans="1:5" x14ac:dyDescent="0.35">
      <c r="A12" s="2" t="s">
        <v>360</v>
      </c>
      <c r="B12" s="8"/>
      <c r="D12" s="8"/>
      <c r="E12" s="70" t="s">
        <v>81</v>
      </c>
    </row>
    <row r="13" spans="1:5" x14ac:dyDescent="0.35">
      <c r="A13" s="2" t="s">
        <v>361</v>
      </c>
      <c r="B13" s="8"/>
      <c r="D13" s="8"/>
      <c r="E13" s="70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Model_Details</vt:lpstr>
      <vt:lpstr>I_Products</vt:lpstr>
      <vt:lpstr>I_Live_Bird</vt:lpstr>
      <vt:lpstr>I_Yield</vt:lpstr>
      <vt:lpstr>I_Sales_History</vt:lpstr>
      <vt:lpstr>I_Market_Intelligence</vt:lpstr>
      <vt:lpstr>I_MEV</vt:lpstr>
      <vt:lpstr>O_Demand_Rate</vt:lpstr>
      <vt:lpstr>O_Scenario_Multipliers</vt:lpstr>
      <vt:lpstr>O_Monte_Carlo</vt:lpstr>
      <vt:lpstr>O_Granger_Test</vt:lpstr>
      <vt:lpstr>O_Demand_Forecast</vt:lpstr>
      <vt:lpstr>O_Optimizer</vt:lpstr>
      <vt:lpstr>B_Purchase_Plan</vt:lpstr>
      <vt:lpstr>B_Alokasi_Stok</vt:lpstr>
      <vt:lpstr>O_Accuracy_Tracker</vt:lpstr>
      <vt:lpstr>Z_Model_Governance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Dika Irawan</cp:lastModifiedBy>
  <cp:revision>0</cp:revision>
  <dcterms:created xsi:type="dcterms:W3CDTF">2026-06-22T14:37:12Z</dcterms:created>
  <dcterms:modified xsi:type="dcterms:W3CDTF">2026-09-23T06:49:22Z</dcterms:modified>
  <dc:language>en-US</dc:language>
</cp:coreProperties>
</file>