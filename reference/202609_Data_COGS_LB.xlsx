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71F04E-B86F-4DB5-906F-E5C7484360D8}" xr6:coauthVersionLast="47" xr6:coauthVersionMax="47" xr10:uidLastSave="{00000000-0000-0000-0000-000000000000}"/>
  <bookViews>
    <workbookView xWindow="-110" yWindow="-110" windowWidth="25820" windowHeight="16220" tabRatio="846" firstSheet="13" activeTab="26" xr2:uid="{DDD5BE84-8DEB-4963-B282-CCE98C3D8D4B}"/>
  </bookViews>
  <sheets>
    <sheet name="Sheet3" sheetId="3" state="hidden" r:id="rId1"/>
    <sheet name="Pot_ISA11+Blasting" sheetId="21" state="hidden" r:id="rId2"/>
    <sheet name="Pot_ISA10+Blasting" sheetId="20" state="hidden" r:id="rId3"/>
    <sheet name="Pot_ISA30" sheetId="45" r:id="rId4"/>
    <sheet name="Pot_ISA29" sheetId="41" r:id="rId5"/>
    <sheet name="Pot_AGRO30" sheetId="46" r:id="rId6"/>
    <sheet name="Pot_AGRO29" sheetId="42" r:id="rId7"/>
    <sheet name="Pot_ISA28" sheetId="43" r:id="rId8"/>
    <sheet name="Pot_AGRO28" sheetId="44" r:id="rId9"/>
    <sheet name="Pot_AGRO25" sheetId="38" r:id="rId10"/>
    <sheet name="Pot_ISA25" sheetId="40" r:id="rId11"/>
    <sheet name="Pot_AGRO24" sheetId="37" r:id="rId12"/>
    <sheet name="Pot_ISA24" sheetId="39" r:id="rId13"/>
    <sheet name="Pot_AGRO22" sheetId="36" r:id="rId14"/>
    <sheet name="Pot_ISA22" sheetId="35" r:id="rId15"/>
    <sheet name="Pot_ISA21" sheetId="34" r:id="rId16"/>
    <sheet name="Pot_ISA18" sheetId="33" r:id="rId17"/>
    <sheet name="Pot_ISA17" sheetId="32" r:id="rId18"/>
    <sheet name="Pot_ISA16" sheetId="31" r:id="rId19"/>
    <sheet name="Pot_ISA10" sheetId="29" r:id="rId20"/>
    <sheet name="Pot_ISA09 (2)" sheetId="30" r:id="rId21"/>
    <sheet name="Pot_ISA09" sheetId="24" r:id="rId22"/>
    <sheet name="Pot_ISA07" sheetId="4" r:id="rId23"/>
    <sheet name="Boneless" sheetId="10" state="hidden" r:id="rId24"/>
    <sheet name="Pot_ISA03" sheetId="26" r:id="rId25"/>
    <sheet name="Pot_ISA02" sheetId="25" r:id="rId26"/>
    <sheet name="Pot_ISA01" sheetId="27" r:id="rId27"/>
    <sheet name="List_item" sheetId="6" r:id="rId28"/>
    <sheet name="Price list" sheetId="7" r:id="rId29"/>
    <sheet name="Albertus_TRD" sheetId="28" r:id="rId30"/>
    <sheet name="Pot_ISA" sheetId="23" state="hidden" r:id="rId31"/>
    <sheet name="Pot_ISA (2)" sheetId="11" state="hidden" r:id="rId32"/>
    <sheet name="Sheet5" sheetId="12" state="hidden" r:id="rId33"/>
  </sheets>
  <definedNames>
    <definedName name="_xlnm._FilterDatabase" localSheetId="27" hidden="1">List_item!$A$5:$G$1911</definedName>
    <definedName name="_xlnm._FilterDatabase" localSheetId="13" hidden="1">Pot_AGRO22!$A$11:$P$81</definedName>
    <definedName name="_xlnm._FilterDatabase" localSheetId="11" hidden="1">Pot_AGRO24!$A$11:$P$81</definedName>
    <definedName name="_xlnm._FilterDatabase" localSheetId="9" hidden="1">Pot_AGRO25!$A$11:$P$81</definedName>
    <definedName name="_xlnm._FilterDatabase" localSheetId="8" hidden="1">Pot_AGRO28!$A$11:$P$81</definedName>
    <definedName name="_xlnm._FilterDatabase" localSheetId="6" hidden="1">Pot_AGRO29!$A$11:$P$81</definedName>
    <definedName name="_xlnm._FilterDatabase" localSheetId="5" hidden="1">Pot_AGRO30!$A$11:$P$81</definedName>
    <definedName name="_xlnm._FilterDatabase" localSheetId="30" hidden="1">Pot_ISA!$A$10:$P$79</definedName>
    <definedName name="_xlnm._FilterDatabase" localSheetId="26" hidden="1">Pot_ISA01!$A$10:$P$80</definedName>
    <definedName name="_xlnm._FilterDatabase" localSheetId="25" hidden="1">Pot_ISA02!$A$10:$P$79</definedName>
    <definedName name="_xlnm._FilterDatabase" localSheetId="24" hidden="1">Pot_ISA03!$A$10:$P$79</definedName>
    <definedName name="_xlnm._FilterDatabase" localSheetId="22" hidden="1">Pot_ISA07!$A$10:$P$82</definedName>
    <definedName name="_xlnm._FilterDatabase" localSheetId="21" hidden="1">Pot_ISA09!$A$10:$P$82</definedName>
    <definedName name="_xlnm._FilterDatabase" localSheetId="20" hidden="1">'Pot_ISA09 (2)'!$A$10:$P$82</definedName>
    <definedName name="_xlnm._FilterDatabase" localSheetId="19" hidden="1">Pot_ISA10!$A$9:$R$93</definedName>
    <definedName name="_xlnm._FilterDatabase" localSheetId="2" hidden="1">'Pot_ISA10+Blasting'!$A$10:$P$79</definedName>
    <definedName name="_xlnm._FilterDatabase" localSheetId="1" hidden="1">'Pot_ISA11+Blasting'!$A$10:$P$79</definedName>
    <definedName name="_xlnm._FilterDatabase" localSheetId="18" hidden="1">Pot_ISA16!$A$10:$P$82</definedName>
    <definedName name="_xlnm._FilterDatabase" localSheetId="17" hidden="1">Pot_ISA17!$A$10:$P$85</definedName>
    <definedName name="_xlnm._FilterDatabase" localSheetId="16" hidden="1">Pot_ISA18!$A$10:$P$83</definedName>
    <definedName name="_xlnm._FilterDatabase" localSheetId="15" hidden="1">Pot_ISA21!$A$10:$P$82</definedName>
    <definedName name="_xlnm._FilterDatabase" localSheetId="14" hidden="1">Pot_ISA22!$A$10:$P$82</definedName>
    <definedName name="_xlnm._FilterDatabase" localSheetId="12" hidden="1">Pot_ISA24!$A$11:$P$87</definedName>
    <definedName name="_xlnm._FilterDatabase" localSheetId="10" hidden="1">Pot_ISA25!$A$11:$P$84</definedName>
    <definedName name="_xlnm._FilterDatabase" localSheetId="7" hidden="1">Pot_ISA28!$A$11:$P$81</definedName>
    <definedName name="_xlnm._FilterDatabase" localSheetId="4" hidden="1">Pot_ISA29!$A$11:$P$79</definedName>
    <definedName name="_xlnm._FilterDatabase" localSheetId="3" hidden="1">Pot_ISA30!$A$11:$P$83</definedName>
    <definedName name="_xlnm.Print_Area" localSheetId="29">Albertus_TRD!$A$3:$G$17</definedName>
    <definedName name="_xlnm.Print_Area" localSheetId="13">Pot_AGRO22!$A$2:$O$90</definedName>
    <definedName name="_xlnm.Print_Area" localSheetId="11">Pot_AGRO24!$A$2:$O$90</definedName>
    <definedName name="_xlnm.Print_Area" localSheetId="9">Pot_AGRO25!$A$2:$O$90</definedName>
    <definedName name="_xlnm.Print_Area" localSheetId="8">Pot_AGRO28!$A$2:$O$90</definedName>
    <definedName name="_xlnm.Print_Area" localSheetId="6">Pot_AGRO29!$A$2:$O$90</definedName>
    <definedName name="_xlnm.Print_Area" localSheetId="5">Pot_AGRO30!$A$2:$O$90</definedName>
    <definedName name="_xlnm.Print_Area" localSheetId="30">Pot_ISA!$A$2:$P$61</definedName>
    <definedName name="_xlnm.Print_Area" localSheetId="31">'Pot_ISA (2)'!$A$255:$N$314</definedName>
    <definedName name="_xlnm.Print_Area" localSheetId="26">Pot_ISA01!$A$2:$P$90</definedName>
    <definedName name="_xlnm.Print_Area" localSheetId="25">Pot_ISA02!$A$2:$P$61</definedName>
    <definedName name="_xlnm.Print_Area" localSheetId="24">Pot_ISA03!$A$2:$P$61</definedName>
    <definedName name="_xlnm.Print_Area" localSheetId="22">Pot_ISA07!$A$2:$P$64</definedName>
    <definedName name="_xlnm.Print_Area" localSheetId="21">Pot_ISA09!$A$2:$O$64</definedName>
    <definedName name="_xlnm.Print_Area" localSheetId="20">'Pot_ISA09 (2)'!$A$2:$O$64</definedName>
    <definedName name="_xlnm.Print_Area" localSheetId="19">Pot_ISA10!$A$2:$O$93</definedName>
    <definedName name="_xlnm.Print_Area" localSheetId="2">'Pot_ISA10+Blasting'!$A$2:$P$88</definedName>
    <definedName name="_xlnm.Print_Area" localSheetId="1">'Pot_ISA11+Blasting'!$A$2:$P$88</definedName>
    <definedName name="_xlnm.Print_Area" localSheetId="18">Pot_ISA16!$A$2:$O$92</definedName>
    <definedName name="_xlnm.Print_Area" localSheetId="17">Pot_ISA17!$A$2:$O$95</definedName>
    <definedName name="_xlnm.Print_Area" localSheetId="16">Pot_ISA18!$A$2:$O$93</definedName>
    <definedName name="_xlnm.Print_Area" localSheetId="15">Pot_ISA21!$A$2:$O$92</definedName>
    <definedName name="_xlnm.Print_Area" localSheetId="14">Pot_ISA22!$A$2:$O$92</definedName>
    <definedName name="_xlnm.Print_Area" localSheetId="12">Pot_ISA24!$A$2:$O$96</definedName>
    <definedName name="_xlnm.Print_Area" localSheetId="10">Pot_ISA25!$A$2:$O$93</definedName>
    <definedName name="_xlnm.Print_Area" localSheetId="7">Pot_ISA28!$A$2:$O$97</definedName>
    <definedName name="_xlnm.Print_Area" localSheetId="4">Pot_ISA29!$A$2:$O$94</definedName>
    <definedName name="_xlnm.Print_Area" localSheetId="3">Pot_ISA30!$A$2:$O$96</definedName>
    <definedName name="_xlnm.Print_Titles" localSheetId="13">Pot_AGRO22!$2:$10</definedName>
    <definedName name="_xlnm.Print_Titles" localSheetId="11">Pot_AGRO24!$2:$10</definedName>
    <definedName name="_xlnm.Print_Titles" localSheetId="9">Pot_AGRO25!$2:$10</definedName>
    <definedName name="_xlnm.Print_Titles" localSheetId="8">Pot_AGRO28!$2:$10</definedName>
    <definedName name="_xlnm.Print_Titles" localSheetId="6">Pot_AGRO29!$2:$10</definedName>
    <definedName name="_xlnm.Print_Titles" localSheetId="5">Pot_AGRO30!$2:$10</definedName>
    <definedName name="_xlnm.Print_Titles" localSheetId="21">Pot_ISA09!$1:$9</definedName>
    <definedName name="_xlnm.Print_Titles" localSheetId="20">'Pot_ISA09 (2)'!$1:$9</definedName>
    <definedName name="_xlnm.Print_Titles" localSheetId="19">Pot_ISA10!$2:$9</definedName>
    <definedName name="_xlnm.Print_Titles" localSheetId="18">Pot_ISA16!$2:$9</definedName>
    <definedName name="_xlnm.Print_Titles" localSheetId="17">Pot_ISA17!$2:$9</definedName>
    <definedName name="_xlnm.Print_Titles" localSheetId="16">Pot_ISA18!$2:$9</definedName>
    <definedName name="_xlnm.Print_Titles" localSheetId="15">Pot_ISA21!$2:$9</definedName>
    <definedName name="_xlnm.Print_Titles" localSheetId="14">Pot_ISA22!$2:$9</definedName>
    <definedName name="_xlnm.Print_Titles" localSheetId="12">Pot_ISA24!$2:$10</definedName>
    <definedName name="_xlnm.Print_Titles" localSheetId="10">Pot_ISA25!$2:$10</definedName>
    <definedName name="_xlnm.Print_Titles" localSheetId="7">Pot_ISA28!$2:$10</definedName>
    <definedName name="_xlnm.Print_Titles" localSheetId="4">Pot_ISA29!$2:$10</definedName>
    <definedName name="_xlnm.Print_Titles" localSheetId="3">Pot_ISA30!$2:$10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9" i="29" l="1"/>
  <c r="M47" i="41"/>
  <c r="L47" i="41"/>
  <c r="K47" i="41"/>
  <c r="K43" i="45"/>
  <c r="K66" i="4"/>
  <c r="J5" i="40" l="1"/>
  <c r="I7" i="40"/>
  <c r="B4" i="42"/>
  <c r="J5" i="41"/>
  <c r="B3" i="43"/>
  <c r="I7" i="43"/>
  <c r="J5" i="43"/>
  <c r="B84" i="43"/>
  <c r="B83" i="43"/>
  <c r="B82" i="43"/>
  <c r="B81" i="43"/>
  <c r="B80" i="43"/>
  <c r="B79" i="43"/>
  <c r="B78" i="43"/>
  <c r="B77" i="43"/>
  <c r="B76" i="43"/>
  <c r="B75" i="43"/>
  <c r="B74" i="43"/>
  <c r="B73" i="43"/>
  <c r="B72" i="43"/>
  <c r="B71" i="43"/>
  <c r="B70" i="43"/>
  <c r="B69" i="43"/>
  <c r="B68" i="43"/>
  <c r="B67" i="43"/>
  <c r="B66" i="43"/>
  <c r="B65" i="43"/>
  <c r="B64" i="43"/>
  <c r="B63" i="43"/>
  <c r="B62" i="43"/>
  <c r="B61" i="43"/>
  <c r="B60" i="43"/>
  <c r="B59" i="43"/>
  <c r="B58" i="43"/>
  <c r="B57" i="43"/>
  <c r="B56" i="43"/>
  <c r="B55" i="43"/>
  <c r="B54" i="43"/>
  <c r="B53" i="43"/>
  <c r="B52" i="43"/>
  <c r="B51" i="43"/>
  <c r="B50" i="43"/>
  <c r="B49" i="43"/>
  <c r="B48" i="43"/>
  <c r="B47" i="43"/>
  <c r="B46" i="43"/>
  <c r="B45" i="43"/>
  <c r="B44" i="43"/>
  <c r="B43" i="43"/>
  <c r="B42" i="43"/>
  <c r="B41" i="43"/>
  <c r="B40" i="43"/>
  <c r="B39" i="43"/>
  <c r="B38" i="43"/>
  <c r="B37" i="43"/>
  <c r="B36" i="43"/>
  <c r="B35" i="43"/>
  <c r="B34" i="43"/>
  <c r="B33" i="43"/>
  <c r="B32" i="43"/>
  <c r="B31" i="43"/>
  <c r="B30" i="43"/>
  <c r="B29" i="43"/>
  <c r="B28" i="43"/>
  <c r="B27" i="43"/>
  <c r="B26" i="43"/>
  <c r="B25" i="43"/>
  <c r="B24" i="43"/>
  <c r="B23" i="43"/>
  <c r="B22" i="43"/>
  <c r="B21" i="43"/>
  <c r="B20" i="43"/>
  <c r="B19" i="43"/>
  <c r="B18" i="43"/>
  <c r="B17" i="43"/>
  <c r="B16" i="43"/>
  <c r="B15" i="43"/>
  <c r="B14" i="43"/>
  <c r="B21" i="41"/>
  <c r="K21" i="41" s="1"/>
  <c r="H21" i="41"/>
  <c r="B84" i="41"/>
  <c r="B83" i="41"/>
  <c r="B82" i="41"/>
  <c r="B81" i="41"/>
  <c r="B80" i="41"/>
  <c r="B79" i="41"/>
  <c r="B78" i="41"/>
  <c r="B77" i="41"/>
  <c r="B76" i="41"/>
  <c r="B75" i="41"/>
  <c r="B74" i="41"/>
  <c r="B73" i="41"/>
  <c r="B72" i="41"/>
  <c r="B71" i="41"/>
  <c r="B70" i="41"/>
  <c r="B69" i="41"/>
  <c r="B68" i="41"/>
  <c r="B67" i="41"/>
  <c r="B66" i="41"/>
  <c r="B65" i="41"/>
  <c r="B64" i="41"/>
  <c r="B63" i="41"/>
  <c r="B62" i="41"/>
  <c r="B61" i="41"/>
  <c r="B60" i="41"/>
  <c r="B59" i="41"/>
  <c r="B58" i="41"/>
  <c r="B57" i="41"/>
  <c r="B56" i="41"/>
  <c r="B55" i="41"/>
  <c r="B54" i="41"/>
  <c r="B53" i="41"/>
  <c r="B52" i="41"/>
  <c r="B51" i="41"/>
  <c r="B50" i="41"/>
  <c r="B49" i="41"/>
  <c r="B48" i="41"/>
  <c r="B47" i="41"/>
  <c r="B46" i="41"/>
  <c r="B45" i="41"/>
  <c r="B44" i="41"/>
  <c r="B43" i="41"/>
  <c r="B42" i="41"/>
  <c r="B41" i="41"/>
  <c r="B40" i="41"/>
  <c r="B39" i="41"/>
  <c r="B38" i="41"/>
  <c r="B37" i="41"/>
  <c r="B36" i="41"/>
  <c r="B35" i="41"/>
  <c r="B34" i="41"/>
  <c r="B33" i="41"/>
  <c r="B32" i="41"/>
  <c r="B31" i="41"/>
  <c r="B30" i="41"/>
  <c r="B29" i="41"/>
  <c r="B28" i="41"/>
  <c r="B27" i="41"/>
  <c r="B26" i="41"/>
  <c r="B25" i="41"/>
  <c r="B24" i="41"/>
  <c r="B23" i="41"/>
  <c r="B22" i="41"/>
  <c r="B20" i="41"/>
  <c r="B19" i="41"/>
  <c r="B18" i="41"/>
  <c r="B17" i="41"/>
  <c r="B16" i="41"/>
  <c r="B15" i="41"/>
  <c r="B14" i="41"/>
  <c r="B13" i="41"/>
  <c r="B12" i="41"/>
  <c r="B65" i="45"/>
  <c r="K65" i="45" s="1"/>
  <c r="H65" i="45"/>
  <c r="J65" i="45"/>
  <c r="B62" i="45"/>
  <c r="K62" i="45" s="1"/>
  <c r="H62" i="45"/>
  <c r="B58" i="45"/>
  <c r="K58" i="45" s="1"/>
  <c r="H58" i="45"/>
  <c r="B86" i="45"/>
  <c r="B85" i="45"/>
  <c r="B84" i="45"/>
  <c r="B83" i="45"/>
  <c r="K83" i="45" s="1"/>
  <c r="B82" i="45"/>
  <c r="K82" i="45" s="1"/>
  <c r="B81" i="45"/>
  <c r="K81" i="45" s="1"/>
  <c r="B80" i="45"/>
  <c r="K80" i="45" s="1"/>
  <c r="B79" i="45"/>
  <c r="K79" i="45" s="1"/>
  <c r="B78" i="45"/>
  <c r="B77" i="45"/>
  <c r="K77" i="45" s="1"/>
  <c r="B76" i="45"/>
  <c r="K76" i="45" s="1"/>
  <c r="B75" i="45"/>
  <c r="K75" i="45" s="1"/>
  <c r="B74" i="45"/>
  <c r="K74" i="45" s="1"/>
  <c r="B73" i="45"/>
  <c r="K73" i="45" s="1"/>
  <c r="B72" i="45"/>
  <c r="B71" i="45"/>
  <c r="K71" i="45" s="1"/>
  <c r="B70" i="45"/>
  <c r="B69" i="45"/>
  <c r="K69" i="45" s="1"/>
  <c r="B68" i="45"/>
  <c r="K68" i="45" s="1"/>
  <c r="B67" i="45"/>
  <c r="K67" i="45" s="1"/>
  <c r="B66" i="45"/>
  <c r="K66" i="45" s="1"/>
  <c r="B64" i="45"/>
  <c r="K64" i="45" s="1"/>
  <c r="B63" i="45"/>
  <c r="B61" i="45"/>
  <c r="B60" i="45"/>
  <c r="B59" i="45"/>
  <c r="B57" i="45"/>
  <c r="K57" i="45" s="1"/>
  <c r="B56" i="45"/>
  <c r="K56" i="45" s="1"/>
  <c r="B55" i="45"/>
  <c r="K55" i="45" s="1"/>
  <c r="B54" i="45"/>
  <c r="K54" i="45" s="1"/>
  <c r="B53" i="45"/>
  <c r="B52" i="45"/>
  <c r="K52" i="45" s="1"/>
  <c r="B51" i="45"/>
  <c r="K51" i="45" s="1"/>
  <c r="B50" i="45"/>
  <c r="K50" i="45" s="1"/>
  <c r="B49" i="45"/>
  <c r="K49" i="45" s="1"/>
  <c r="B48" i="45"/>
  <c r="K48" i="45" s="1"/>
  <c r="B47" i="45"/>
  <c r="K47" i="45" s="1"/>
  <c r="B46" i="45"/>
  <c r="K46" i="45" s="1"/>
  <c r="B45" i="45"/>
  <c r="K45" i="45" s="1"/>
  <c r="B44" i="45"/>
  <c r="K44" i="45" s="1"/>
  <c r="B43" i="45"/>
  <c r="B42" i="45"/>
  <c r="B41" i="45"/>
  <c r="K41" i="45" s="1"/>
  <c r="B40" i="45"/>
  <c r="K40" i="45" s="1"/>
  <c r="B39" i="45"/>
  <c r="K39" i="45" s="1"/>
  <c r="B38" i="45"/>
  <c r="K38" i="45" s="1"/>
  <c r="B37" i="45"/>
  <c r="B36" i="45"/>
  <c r="K36" i="45" s="1"/>
  <c r="B35" i="45"/>
  <c r="K35" i="45" s="1"/>
  <c r="B34" i="45"/>
  <c r="K34" i="45" s="1"/>
  <c r="B33" i="45"/>
  <c r="K33" i="45" s="1"/>
  <c r="B32" i="45"/>
  <c r="K32" i="45" s="1"/>
  <c r="B31" i="45"/>
  <c r="K31" i="45" s="1"/>
  <c r="B30" i="45"/>
  <c r="K30" i="45" s="1"/>
  <c r="B29" i="45"/>
  <c r="K29" i="45" s="1"/>
  <c r="B28" i="45"/>
  <c r="K28" i="45" s="1"/>
  <c r="B27" i="45"/>
  <c r="K27" i="45" s="1"/>
  <c r="B26" i="45"/>
  <c r="K26" i="45" s="1"/>
  <c r="B25" i="45"/>
  <c r="K25" i="45" s="1"/>
  <c r="B24" i="45"/>
  <c r="K24" i="45" s="1"/>
  <c r="B23" i="45"/>
  <c r="K23" i="45" s="1"/>
  <c r="B22" i="45"/>
  <c r="B21" i="45"/>
  <c r="K21" i="45" s="1"/>
  <c r="B20" i="45"/>
  <c r="K20" i="45" s="1"/>
  <c r="B19" i="45"/>
  <c r="B18" i="45"/>
  <c r="K18" i="45" s="1"/>
  <c r="B17" i="45"/>
  <c r="K17" i="45" s="1"/>
  <c r="B16" i="45"/>
  <c r="K16" i="45" s="1"/>
  <c r="B15" i="45"/>
  <c r="K15" i="45" s="1"/>
  <c r="B14" i="45"/>
  <c r="K14" i="45" s="1"/>
  <c r="B13" i="45"/>
  <c r="K13" i="45" s="1"/>
  <c r="B12" i="45"/>
  <c r="K12" i="45" s="1"/>
  <c r="B3" i="46"/>
  <c r="B4" i="46"/>
  <c r="J5" i="46"/>
  <c r="J45" i="46" s="1"/>
  <c r="H81" i="46"/>
  <c r="B81" i="46"/>
  <c r="K81" i="46" s="1"/>
  <c r="H80" i="46"/>
  <c r="B80" i="46"/>
  <c r="K80" i="46" s="1"/>
  <c r="H79" i="46"/>
  <c r="B79" i="46"/>
  <c r="K79" i="46" s="1"/>
  <c r="H78" i="46"/>
  <c r="B78" i="46"/>
  <c r="K78" i="46" s="1"/>
  <c r="H77" i="46"/>
  <c r="B77" i="46"/>
  <c r="K77" i="46" s="1"/>
  <c r="H76" i="46"/>
  <c r="B76" i="46"/>
  <c r="K76" i="46" s="1"/>
  <c r="H75" i="46"/>
  <c r="B75" i="46"/>
  <c r="K75" i="46" s="1"/>
  <c r="H74" i="46"/>
  <c r="B74" i="46"/>
  <c r="K74" i="46" s="1"/>
  <c r="H73" i="46"/>
  <c r="B73" i="46"/>
  <c r="K73" i="46" s="1"/>
  <c r="H72" i="46"/>
  <c r="B72" i="46"/>
  <c r="K72" i="46" s="1"/>
  <c r="H71" i="46"/>
  <c r="B71" i="46"/>
  <c r="K71" i="46" s="1"/>
  <c r="H70" i="46"/>
  <c r="B70" i="46"/>
  <c r="K70" i="46" s="1"/>
  <c r="H69" i="46"/>
  <c r="B69" i="46"/>
  <c r="K69" i="46" s="1"/>
  <c r="H68" i="46"/>
  <c r="B68" i="46"/>
  <c r="K68" i="46" s="1"/>
  <c r="H67" i="46"/>
  <c r="B67" i="46"/>
  <c r="K67" i="46" s="1"/>
  <c r="H66" i="46"/>
  <c r="B66" i="46"/>
  <c r="K66" i="46" s="1"/>
  <c r="H65" i="46"/>
  <c r="B65" i="46"/>
  <c r="K65" i="46" s="1"/>
  <c r="H64" i="46"/>
  <c r="B64" i="46"/>
  <c r="K64" i="46" s="1"/>
  <c r="H63" i="46"/>
  <c r="B63" i="46"/>
  <c r="K63" i="46" s="1"/>
  <c r="H62" i="46"/>
  <c r="B62" i="46"/>
  <c r="K62" i="46" s="1"/>
  <c r="H61" i="46"/>
  <c r="B61" i="46"/>
  <c r="K61" i="46" s="1"/>
  <c r="H60" i="46"/>
  <c r="B60" i="46"/>
  <c r="K60" i="46" s="1"/>
  <c r="H59" i="46"/>
  <c r="B59" i="46"/>
  <c r="K59" i="46" s="1"/>
  <c r="H58" i="46"/>
  <c r="B58" i="46"/>
  <c r="K58" i="46" s="1"/>
  <c r="H57" i="46"/>
  <c r="B57" i="46"/>
  <c r="K57" i="46" s="1"/>
  <c r="H56" i="46"/>
  <c r="B56" i="46"/>
  <c r="K56" i="46" s="1"/>
  <c r="H55" i="46"/>
  <c r="B55" i="46"/>
  <c r="K55" i="46" s="1"/>
  <c r="H54" i="46"/>
  <c r="B54" i="46"/>
  <c r="K54" i="46" s="1"/>
  <c r="H53" i="46"/>
  <c r="B53" i="46"/>
  <c r="K53" i="46" s="1"/>
  <c r="H52" i="46"/>
  <c r="B52" i="46"/>
  <c r="K52" i="46" s="1"/>
  <c r="H51" i="46"/>
  <c r="B51" i="46"/>
  <c r="K51" i="46" s="1"/>
  <c r="H50" i="46"/>
  <c r="B50" i="46"/>
  <c r="K50" i="46" s="1"/>
  <c r="H49" i="46"/>
  <c r="B49" i="46"/>
  <c r="K49" i="46" s="1"/>
  <c r="H48" i="46"/>
  <c r="B48" i="46"/>
  <c r="K48" i="46" s="1"/>
  <c r="H47" i="46"/>
  <c r="B47" i="46"/>
  <c r="K47" i="46" s="1"/>
  <c r="H46" i="46"/>
  <c r="B46" i="46"/>
  <c r="K46" i="46" s="1"/>
  <c r="H45" i="46"/>
  <c r="B45" i="46"/>
  <c r="K45" i="46" s="1"/>
  <c r="H44" i="46"/>
  <c r="B44" i="46"/>
  <c r="K44" i="46" s="1"/>
  <c r="J43" i="46"/>
  <c r="H43" i="46"/>
  <c r="B43" i="46"/>
  <c r="K43" i="46" s="1"/>
  <c r="H42" i="46"/>
  <c r="B42" i="46"/>
  <c r="K42" i="46" s="1"/>
  <c r="H41" i="46"/>
  <c r="B41" i="46"/>
  <c r="K41" i="46" s="1"/>
  <c r="J40" i="46"/>
  <c r="H40" i="46"/>
  <c r="B40" i="46"/>
  <c r="K40" i="46" s="1"/>
  <c r="H39" i="46"/>
  <c r="B39" i="46"/>
  <c r="K39" i="46" s="1"/>
  <c r="H38" i="46"/>
  <c r="B38" i="46"/>
  <c r="K38" i="46" s="1"/>
  <c r="H37" i="46"/>
  <c r="B37" i="46"/>
  <c r="K37" i="46" s="1"/>
  <c r="H36" i="46"/>
  <c r="B36" i="46"/>
  <c r="K36" i="46" s="1"/>
  <c r="H35" i="46"/>
  <c r="B35" i="46"/>
  <c r="K35" i="46" s="1"/>
  <c r="H34" i="46"/>
  <c r="B34" i="46"/>
  <c r="K34" i="46" s="1"/>
  <c r="H33" i="46"/>
  <c r="B33" i="46"/>
  <c r="K33" i="46" s="1"/>
  <c r="H32" i="46"/>
  <c r="B32" i="46"/>
  <c r="K32" i="46" s="1"/>
  <c r="H31" i="46"/>
  <c r="B31" i="46"/>
  <c r="K31" i="46" s="1"/>
  <c r="H30" i="46"/>
  <c r="B30" i="46"/>
  <c r="K30" i="46" s="1"/>
  <c r="H29" i="46"/>
  <c r="B29" i="46"/>
  <c r="K29" i="46" s="1"/>
  <c r="H28" i="46"/>
  <c r="B28" i="46"/>
  <c r="K28" i="46" s="1"/>
  <c r="H27" i="46"/>
  <c r="B27" i="46"/>
  <c r="K27" i="46" s="1"/>
  <c r="H26" i="46"/>
  <c r="B26" i="46"/>
  <c r="K26" i="46" s="1"/>
  <c r="H25" i="46"/>
  <c r="B25" i="46"/>
  <c r="K25" i="46" s="1"/>
  <c r="H24" i="46"/>
  <c r="B24" i="46"/>
  <c r="K24" i="46" s="1"/>
  <c r="H23" i="46"/>
  <c r="B23" i="46"/>
  <c r="K23" i="46" s="1"/>
  <c r="H22" i="46"/>
  <c r="B22" i="46"/>
  <c r="K22" i="46" s="1"/>
  <c r="H21" i="46"/>
  <c r="B21" i="46"/>
  <c r="K21" i="46" s="1"/>
  <c r="H20" i="46"/>
  <c r="B20" i="46"/>
  <c r="K20" i="46" s="1"/>
  <c r="H19" i="46"/>
  <c r="B19" i="46"/>
  <c r="K19" i="46" s="1"/>
  <c r="H18" i="46"/>
  <c r="B18" i="46"/>
  <c r="K18" i="46" s="1"/>
  <c r="H17" i="46"/>
  <c r="B17" i="46"/>
  <c r="K17" i="46" s="1"/>
  <c r="H16" i="46"/>
  <c r="B16" i="46"/>
  <c r="K16" i="46" s="1"/>
  <c r="H15" i="46"/>
  <c r="B15" i="46"/>
  <c r="K15" i="46" s="1"/>
  <c r="H14" i="46"/>
  <c r="B14" i="46"/>
  <c r="K14" i="46" s="1"/>
  <c r="H13" i="46"/>
  <c r="B13" i="46"/>
  <c r="K13" i="46" s="1"/>
  <c r="H12" i="46"/>
  <c r="Q81" i="46" s="1"/>
  <c r="B12" i="46"/>
  <c r="K12" i="46" s="1"/>
  <c r="I11" i="46"/>
  <c r="L5" i="46"/>
  <c r="M5" i="46" s="1"/>
  <c r="B6" i="46"/>
  <c r="B4" i="45"/>
  <c r="J5" i="45"/>
  <c r="J55" i="45" s="1"/>
  <c r="B5" i="45"/>
  <c r="H83" i="45"/>
  <c r="H82" i="45"/>
  <c r="H81" i="45"/>
  <c r="H80" i="45"/>
  <c r="H79" i="45"/>
  <c r="H78" i="45"/>
  <c r="K78" i="45"/>
  <c r="H77" i="45"/>
  <c r="H76" i="45"/>
  <c r="H75" i="45"/>
  <c r="H74" i="45"/>
  <c r="H73" i="45"/>
  <c r="H72" i="45"/>
  <c r="K72" i="45"/>
  <c r="H71" i="45"/>
  <c r="H70" i="45"/>
  <c r="K70" i="45"/>
  <c r="H69" i="45"/>
  <c r="H68" i="45"/>
  <c r="H67" i="45"/>
  <c r="H66" i="45"/>
  <c r="H64" i="45"/>
  <c r="H63" i="45"/>
  <c r="K63" i="45"/>
  <c r="H61" i="45"/>
  <c r="K61" i="45"/>
  <c r="H60" i="45"/>
  <c r="K60" i="45"/>
  <c r="H59" i="45"/>
  <c r="K59" i="45"/>
  <c r="H57" i="45"/>
  <c r="H56" i="45"/>
  <c r="H55" i="45"/>
  <c r="H54" i="45"/>
  <c r="H53" i="45"/>
  <c r="K53" i="45"/>
  <c r="H52" i="45"/>
  <c r="H51" i="45"/>
  <c r="H50" i="45"/>
  <c r="H49" i="45"/>
  <c r="H48" i="45"/>
  <c r="H47" i="45"/>
  <c r="H46" i="45"/>
  <c r="H45" i="45"/>
  <c r="H44" i="45"/>
  <c r="H43" i="45"/>
  <c r="H42" i="45"/>
  <c r="K42" i="45"/>
  <c r="H41" i="45"/>
  <c r="H40" i="45"/>
  <c r="H39" i="45"/>
  <c r="H38" i="45"/>
  <c r="H37" i="45"/>
  <c r="K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J24" i="45"/>
  <c r="H24" i="45"/>
  <c r="H23" i="45"/>
  <c r="H22" i="45"/>
  <c r="K22" i="45"/>
  <c r="H21" i="45"/>
  <c r="H20" i="45"/>
  <c r="H19" i="45"/>
  <c r="K19" i="45"/>
  <c r="H18" i="45"/>
  <c r="H17" i="45"/>
  <c r="H16" i="45"/>
  <c r="H15" i="45"/>
  <c r="H14" i="45"/>
  <c r="H13" i="45"/>
  <c r="H12" i="45"/>
  <c r="I11" i="45"/>
  <c r="J6" i="39"/>
  <c r="C3" i="39"/>
  <c r="B5" i="40"/>
  <c r="C5" i="40"/>
  <c r="B5" i="39"/>
  <c r="C5" i="39"/>
  <c r="C2" i="34"/>
  <c r="B5" i="33"/>
  <c r="C5" i="33"/>
  <c r="C3" i="33"/>
  <c r="J6" i="31"/>
  <c r="J5" i="31"/>
  <c r="C3" i="31"/>
  <c r="C2" i="31"/>
  <c r="B5" i="31"/>
  <c r="C3" i="29"/>
  <c r="J5" i="30"/>
  <c r="L5" i="29"/>
  <c r="M5" i="29" s="1"/>
  <c r="L5" i="30"/>
  <c r="M5" i="30" s="1"/>
  <c r="B5" i="30"/>
  <c r="C3" i="30"/>
  <c r="B3" i="30"/>
  <c r="C2" i="30"/>
  <c r="C3" i="24"/>
  <c r="L5" i="24"/>
  <c r="M5" i="24" s="1"/>
  <c r="C3" i="4"/>
  <c r="C3" i="26"/>
  <c r="M5" i="26"/>
  <c r="L5" i="26"/>
  <c r="E3" i="27"/>
  <c r="C3" i="27"/>
  <c r="B5" i="26"/>
  <c r="C5" i="26"/>
  <c r="C3" i="25"/>
  <c r="B5" i="25"/>
  <c r="C5" i="25"/>
  <c r="L5" i="25"/>
  <c r="M5" i="25" s="1"/>
  <c r="J32" i="45" l="1"/>
  <c r="J20" i="45"/>
  <c r="J62" i="45"/>
  <c r="J58" i="45"/>
  <c r="J14" i="45"/>
  <c r="J27" i="45"/>
  <c r="J49" i="45"/>
  <c r="B3" i="45"/>
  <c r="B6" i="45" s="1"/>
  <c r="F11" i="45" s="1"/>
  <c r="J35" i="45"/>
  <c r="J43" i="45"/>
  <c r="J40" i="45"/>
  <c r="J60" i="45"/>
  <c r="J74" i="45"/>
  <c r="J17" i="45"/>
  <c r="J21" i="45"/>
  <c r="J29" i="45"/>
  <c r="J68" i="45"/>
  <c r="J72" i="45"/>
  <c r="J77" i="45"/>
  <c r="J53" i="45"/>
  <c r="P36" i="45"/>
  <c r="Q83" i="45"/>
  <c r="P83" i="45"/>
  <c r="P73" i="45"/>
  <c r="P35" i="45"/>
  <c r="P30" i="45"/>
  <c r="P33" i="45"/>
  <c r="J9" i="46"/>
  <c r="I9" i="46" s="1"/>
  <c r="I1" i="46" s="1"/>
  <c r="J41" i="46"/>
  <c r="J35" i="46"/>
  <c r="J44" i="46"/>
  <c r="J39" i="46"/>
  <c r="J42" i="46"/>
  <c r="P37" i="46"/>
  <c r="P34" i="46"/>
  <c r="F11" i="46"/>
  <c r="B7" i="46"/>
  <c r="P38" i="46"/>
  <c r="P31" i="46"/>
  <c r="P35" i="46"/>
  <c r="P71" i="46"/>
  <c r="K11" i="46"/>
  <c r="P36" i="46"/>
  <c r="P45" i="46"/>
  <c r="P33" i="46"/>
  <c r="P81" i="46"/>
  <c r="J32" i="46"/>
  <c r="J33" i="46"/>
  <c r="J72" i="46"/>
  <c r="J73" i="46"/>
  <c r="J74" i="46"/>
  <c r="J75" i="46"/>
  <c r="J76" i="46"/>
  <c r="J77" i="46"/>
  <c r="J78" i="46"/>
  <c r="J79" i="46"/>
  <c r="J80" i="46"/>
  <c r="J81" i="46"/>
  <c r="J37" i="46"/>
  <c r="Q34" i="46"/>
  <c r="Q38" i="46"/>
  <c r="J34" i="46"/>
  <c r="J38" i="46"/>
  <c r="Q35" i="46"/>
  <c r="Q45" i="46"/>
  <c r="Q31" i="46"/>
  <c r="Q36" i="46"/>
  <c r="Q71" i="46"/>
  <c r="J12" i="46"/>
  <c r="J13" i="46"/>
  <c r="J14" i="46"/>
  <c r="J15" i="46"/>
  <c r="J16" i="46"/>
  <c r="J17" i="46"/>
  <c r="J18" i="46"/>
  <c r="J19" i="46"/>
  <c r="J20" i="46"/>
  <c r="J21" i="46"/>
  <c r="J22" i="46"/>
  <c r="J23" i="46"/>
  <c r="J24" i="46"/>
  <c r="J25" i="46"/>
  <c r="J26" i="46"/>
  <c r="J27" i="46"/>
  <c r="J28" i="46"/>
  <c r="J29" i="46"/>
  <c r="J30" i="46"/>
  <c r="J31" i="46"/>
  <c r="J36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8" i="46"/>
  <c r="J59" i="46"/>
  <c r="J60" i="46"/>
  <c r="J61" i="46"/>
  <c r="J62" i="46"/>
  <c r="J63" i="46"/>
  <c r="J64" i="46"/>
  <c r="J65" i="46"/>
  <c r="J66" i="46"/>
  <c r="J67" i="46"/>
  <c r="J68" i="46"/>
  <c r="J69" i="46"/>
  <c r="J70" i="46"/>
  <c r="J71" i="46"/>
  <c r="Q33" i="46"/>
  <c r="Q37" i="46"/>
  <c r="J15" i="45"/>
  <c r="J28" i="45"/>
  <c r="J51" i="45"/>
  <c r="J70" i="45"/>
  <c r="J76" i="45"/>
  <c r="J12" i="45"/>
  <c r="J22" i="45"/>
  <c r="J30" i="45"/>
  <c r="J38" i="45"/>
  <c r="J47" i="45"/>
  <c r="J18" i="45"/>
  <c r="J25" i="45"/>
  <c r="J57" i="45"/>
  <c r="J16" i="45"/>
  <c r="J23" i="45"/>
  <c r="J39" i="45"/>
  <c r="J42" i="45"/>
  <c r="J45" i="45"/>
  <c r="J63" i="45"/>
  <c r="J66" i="45"/>
  <c r="J9" i="45"/>
  <c r="I9" i="45" s="1"/>
  <c r="I1" i="45" s="1"/>
  <c r="J19" i="45"/>
  <c r="J26" i="45"/>
  <c r="J34" i="45"/>
  <c r="B7" i="45"/>
  <c r="K11" i="45"/>
  <c r="L12" i="45" s="1"/>
  <c r="P37" i="45"/>
  <c r="P32" i="45"/>
  <c r="P44" i="45"/>
  <c r="P34" i="45"/>
  <c r="L5" i="45"/>
  <c r="M5" i="45" s="1"/>
  <c r="J37" i="45"/>
  <c r="J33" i="45"/>
  <c r="J83" i="45"/>
  <c r="J82" i="45"/>
  <c r="J81" i="45"/>
  <c r="J80" i="45"/>
  <c r="J79" i="45"/>
  <c r="J78" i="45"/>
  <c r="J31" i="45"/>
  <c r="J36" i="45"/>
  <c r="J44" i="45"/>
  <c r="J13" i="45"/>
  <c r="J41" i="45"/>
  <c r="J46" i="45"/>
  <c r="J48" i="45"/>
  <c r="J50" i="45"/>
  <c r="J52" i="45"/>
  <c r="J54" i="45"/>
  <c r="J56" i="45"/>
  <c r="J59" i="45"/>
  <c r="J61" i="45"/>
  <c r="J64" i="45"/>
  <c r="J67" i="45"/>
  <c r="J69" i="45"/>
  <c r="J71" i="45"/>
  <c r="J73" i="45"/>
  <c r="J75" i="45"/>
  <c r="Q33" i="45"/>
  <c r="Q37" i="45"/>
  <c r="Q34" i="45"/>
  <c r="Q44" i="45"/>
  <c r="Q30" i="45"/>
  <c r="Q35" i="45"/>
  <c r="Q73" i="45"/>
  <c r="Q32" i="45"/>
  <c r="Q36" i="45"/>
  <c r="L65" i="45" l="1"/>
  <c r="L27" i="45"/>
  <c r="M27" i="45" s="1"/>
  <c r="O27" i="45" s="1"/>
  <c r="L23" i="45"/>
  <c r="N23" i="45" s="1"/>
  <c r="L75" i="45"/>
  <c r="M75" i="45" s="1"/>
  <c r="O75" i="45" s="1"/>
  <c r="L47" i="45"/>
  <c r="N47" i="45" s="1"/>
  <c r="L62" i="45"/>
  <c r="L42" i="45"/>
  <c r="M42" i="45" s="1"/>
  <c r="O42" i="45" s="1"/>
  <c r="L25" i="45"/>
  <c r="M25" i="45" s="1"/>
  <c r="O25" i="45" s="1"/>
  <c r="L82" i="45"/>
  <c r="M82" i="45" s="1"/>
  <c r="O82" i="45" s="1"/>
  <c r="L33" i="45"/>
  <c r="N33" i="45" s="1"/>
  <c r="L21" i="45"/>
  <c r="N21" i="45" s="1"/>
  <c r="L79" i="45"/>
  <c r="N79" i="45" s="1"/>
  <c r="L18" i="45"/>
  <c r="N18" i="45" s="1"/>
  <c r="L60" i="45"/>
  <c r="N60" i="45" s="1"/>
  <c r="L58" i="45"/>
  <c r="L68" i="45"/>
  <c r="M68" i="45" s="1"/>
  <c r="O68" i="45" s="1"/>
  <c r="L31" i="45"/>
  <c r="M31" i="45" s="1"/>
  <c r="O31" i="45" s="1"/>
  <c r="L57" i="45"/>
  <c r="N57" i="45" s="1"/>
  <c r="L34" i="45"/>
  <c r="M34" i="45" s="1"/>
  <c r="O34" i="45" s="1"/>
  <c r="L78" i="45"/>
  <c r="N78" i="45" s="1"/>
  <c r="L74" i="45"/>
  <c r="N74" i="45" s="1"/>
  <c r="L77" i="45"/>
  <c r="L16" i="45"/>
  <c r="N16" i="45" s="1"/>
  <c r="L81" i="45"/>
  <c r="N81" i="45" s="1"/>
  <c r="L32" i="45"/>
  <c r="M32" i="45" s="1"/>
  <c r="O32" i="45" s="1"/>
  <c r="L19" i="46"/>
  <c r="N19" i="46" s="1"/>
  <c r="L70" i="46"/>
  <c r="L53" i="46"/>
  <c r="L29" i="46"/>
  <c r="L76" i="46"/>
  <c r="L60" i="46"/>
  <c r="L20" i="46"/>
  <c r="L39" i="46"/>
  <c r="L51" i="46"/>
  <c r="L26" i="46"/>
  <c r="J11" i="46"/>
  <c r="L65" i="46"/>
  <c r="L49" i="46"/>
  <c r="L42" i="46"/>
  <c r="L79" i="46"/>
  <c r="L31" i="46"/>
  <c r="L78" i="46"/>
  <c r="L62" i="46"/>
  <c r="L46" i="46"/>
  <c r="L43" i="46"/>
  <c r="L73" i="46"/>
  <c r="L67" i="46"/>
  <c r="L25" i="46"/>
  <c r="L45" i="46"/>
  <c r="L72" i="46"/>
  <c r="L56" i="46"/>
  <c r="L32" i="46"/>
  <c r="L16" i="46"/>
  <c r="L63" i="46"/>
  <c r="L47" i="46"/>
  <c r="L22" i="46"/>
  <c r="L37" i="46"/>
  <c r="L81" i="46"/>
  <c r="L15" i="46"/>
  <c r="L77" i="46"/>
  <c r="L61" i="46"/>
  <c r="L36" i="46"/>
  <c r="L75" i="46"/>
  <c r="L41" i="46"/>
  <c r="L74" i="46"/>
  <c r="L58" i="46"/>
  <c r="L38" i="46"/>
  <c r="L21" i="46"/>
  <c r="L69" i="46"/>
  <c r="L35" i="46"/>
  <c r="L40" i="46"/>
  <c r="L17" i="46"/>
  <c r="L68" i="46"/>
  <c r="L52" i="46"/>
  <c r="L28" i="46"/>
  <c r="L12" i="46"/>
  <c r="L59" i="46"/>
  <c r="L27" i="46"/>
  <c r="L34" i="46"/>
  <c r="L18" i="46"/>
  <c r="L57" i="46"/>
  <c r="L71" i="46"/>
  <c r="L33" i="46"/>
  <c r="L54" i="46"/>
  <c r="L13" i="46"/>
  <c r="L80" i="46"/>
  <c r="L64" i="46"/>
  <c r="L48" i="46"/>
  <c r="L24" i="46"/>
  <c r="L55" i="46"/>
  <c r="L23" i="46"/>
  <c r="L30" i="46"/>
  <c r="L14" i="46"/>
  <c r="L44" i="46"/>
  <c r="L66" i="46"/>
  <c r="L50" i="46"/>
  <c r="J11" i="45"/>
  <c r="M12" i="45"/>
  <c r="N12" i="45"/>
  <c r="L44" i="45"/>
  <c r="L39" i="45"/>
  <c r="L20" i="45"/>
  <c r="L36" i="45"/>
  <c r="L53" i="45"/>
  <c r="L66" i="45"/>
  <c r="M23" i="45"/>
  <c r="O23" i="45" s="1"/>
  <c r="L70" i="45"/>
  <c r="L45" i="45"/>
  <c r="L55" i="45"/>
  <c r="L29" i="45"/>
  <c r="L37" i="45"/>
  <c r="M60" i="45"/>
  <c r="O60" i="45" s="1"/>
  <c r="N42" i="45"/>
  <c r="L51" i="45"/>
  <c r="L40" i="45"/>
  <c r="L14" i="45"/>
  <c r="L83" i="45"/>
  <c r="L73" i="45"/>
  <c r="L43" i="45"/>
  <c r="L35" i="45"/>
  <c r="L30" i="45"/>
  <c r="L28" i="45"/>
  <c r="L26" i="45"/>
  <c r="L24" i="45"/>
  <c r="L22" i="45"/>
  <c r="L19" i="45"/>
  <c r="L17" i="45"/>
  <c r="L15" i="45"/>
  <c r="L72" i="45"/>
  <c r="L13" i="45"/>
  <c r="L69" i="45"/>
  <c r="L59" i="45"/>
  <c r="L50" i="45"/>
  <c r="L64" i="45"/>
  <c r="L54" i="45"/>
  <c r="L46" i="45"/>
  <c r="L41" i="45"/>
  <c r="L38" i="45"/>
  <c r="L71" i="45"/>
  <c r="L61" i="45"/>
  <c r="L52" i="45"/>
  <c r="L67" i="45"/>
  <c r="L56" i="45"/>
  <c r="N77" i="45"/>
  <c r="M77" i="45"/>
  <c r="O77" i="45" s="1"/>
  <c r="L76" i="45"/>
  <c r="L63" i="45"/>
  <c r="L80" i="45"/>
  <c r="L49" i="45"/>
  <c r="L48" i="45"/>
  <c r="N82" i="45" l="1"/>
  <c r="N27" i="45"/>
  <c r="M47" i="45"/>
  <c r="O47" i="45" s="1"/>
  <c r="N25" i="45"/>
  <c r="M81" i="45"/>
  <c r="O81" i="45" s="1"/>
  <c r="N68" i="45"/>
  <c r="M79" i="45"/>
  <c r="O79" i="45" s="1"/>
  <c r="M78" i="45"/>
  <c r="O78" i="45" s="1"/>
  <c r="N75" i="45"/>
  <c r="M18" i="45"/>
  <c r="O18" i="45" s="1"/>
  <c r="M65" i="45"/>
  <c r="O65" i="45" s="1"/>
  <c r="N65" i="45"/>
  <c r="M62" i="45"/>
  <c r="O62" i="45" s="1"/>
  <c r="N62" i="45"/>
  <c r="M21" i="45"/>
  <c r="O21" i="45" s="1"/>
  <c r="M57" i="45"/>
  <c r="O57" i="45" s="1"/>
  <c r="M33" i="45"/>
  <c r="O33" i="45" s="1"/>
  <c r="M58" i="45"/>
  <c r="O58" i="45" s="1"/>
  <c r="N58" i="45"/>
  <c r="M16" i="45"/>
  <c r="O16" i="45" s="1"/>
  <c r="M74" i="45"/>
  <c r="O74" i="45" s="1"/>
  <c r="N34" i="45"/>
  <c r="N31" i="45"/>
  <c r="N32" i="45"/>
  <c r="M19" i="46"/>
  <c r="O19" i="46" s="1"/>
  <c r="N71" i="46"/>
  <c r="M71" i="46"/>
  <c r="O71" i="46" s="1"/>
  <c r="N81" i="46"/>
  <c r="M81" i="46"/>
  <c r="O81" i="46" s="1"/>
  <c r="N78" i="46"/>
  <c r="M78" i="46"/>
  <c r="O78" i="46" s="1"/>
  <c r="N51" i="46"/>
  <c r="M51" i="46"/>
  <c r="O51" i="46" s="1"/>
  <c r="N24" i="46"/>
  <c r="M24" i="46"/>
  <c r="O24" i="46" s="1"/>
  <c r="N68" i="46"/>
  <c r="M68" i="46"/>
  <c r="O68" i="46" s="1"/>
  <c r="N48" i="46"/>
  <c r="M48" i="46"/>
  <c r="O48" i="46" s="1"/>
  <c r="N25" i="46"/>
  <c r="M25" i="46"/>
  <c r="O25" i="46" s="1"/>
  <c r="N66" i="46"/>
  <c r="M66" i="46"/>
  <c r="O66" i="46" s="1"/>
  <c r="N64" i="46"/>
  <c r="M64" i="46"/>
  <c r="O64" i="46" s="1"/>
  <c r="N34" i="46"/>
  <c r="M34" i="46"/>
  <c r="O34" i="46" s="1"/>
  <c r="M40" i="46"/>
  <c r="O40" i="46" s="1"/>
  <c r="N40" i="46"/>
  <c r="N75" i="46"/>
  <c r="M75" i="46"/>
  <c r="O75" i="46" s="1"/>
  <c r="N47" i="46"/>
  <c r="M47" i="46"/>
  <c r="O47" i="46" s="1"/>
  <c r="N67" i="46"/>
  <c r="M67" i="46"/>
  <c r="O67" i="46" s="1"/>
  <c r="M42" i="46"/>
  <c r="O42" i="46" s="1"/>
  <c r="N42" i="46"/>
  <c r="N60" i="46"/>
  <c r="M60" i="46"/>
  <c r="O60" i="46" s="1"/>
  <c r="N38" i="46"/>
  <c r="M38" i="46"/>
  <c r="O38" i="46" s="1"/>
  <c r="M45" i="46"/>
  <c r="O45" i="46" s="1"/>
  <c r="N45" i="46"/>
  <c r="N17" i="46"/>
  <c r="M17" i="46"/>
  <c r="O17" i="46" s="1"/>
  <c r="N22" i="46"/>
  <c r="M22" i="46"/>
  <c r="O22" i="46" s="1"/>
  <c r="N20" i="46"/>
  <c r="M20" i="46"/>
  <c r="O20" i="46" s="1"/>
  <c r="M44" i="46"/>
  <c r="O44" i="46" s="1"/>
  <c r="N44" i="46"/>
  <c r="N80" i="46"/>
  <c r="M80" i="46"/>
  <c r="O80" i="46" s="1"/>
  <c r="N36" i="46"/>
  <c r="M36" i="46"/>
  <c r="O36" i="46" s="1"/>
  <c r="N63" i="46"/>
  <c r="M63" i="46"/>
  <c r="O63" i="46" s="1"/>
  <c r="N73" i="46"/>
  <c r="M73" i="46"/>
  <c r="O73" i="46" s="1"/>
  <c r="N49" i="46"/>
  <c r="M49" i="46"/>
  <c r="O49" i="46" s="1"/>
  <c r="N76" i="46"/>
  <c r="M76" i="46"/>
  <c r="O76" i="46" s="1"/>
  <c r="N33" i="46"/>
  <c r="M33" i="46"/>
  <c r="O33" i="46" s="1"/>
  <c r="N56" i="46"/>
  <c r="M56" i="46"/>
  <c r="O56" i="46" s="1"/>
  <c r="N62" i="46"/>
  <c r="M62" i="46"/>
  <c r="O62" i="46" s="1"/>
  <c r="N70" i="46"/>
  <c r="M70" i="46"/>
  <c r="O70" i="46" s="1"/>
  <c r="N55" i="46"/>
  <c r="M55" i="46"/>
  <c r="O55" i="46" s="1"/>
  <c r="N52" i="46"/>
  <c r="M52" i="46"/>
  <c r="O52" i="46" s="1"/>
  <c r="N58" i="46"/>
  <c r="M58" i="46"/>
  <c r="O58" i="46" s="1"/>
  <c r="N72" i="46"/>
  <c r="M72" i="46"/>
  <c r="O72" i="46" s="1"/>
  <c r="N57" i="46"/>
  <c r="M57" i="46"/>
  <c r="O57" i="46" s="1"/>
  <c r="N74" i="46"/>
  <c r="M74" i="46"/>
  <c r="O74" i="46" s="1"/>
  <c r="N50" i="46"/>
  <c r="M50" i="46"/>
  <c r="O50" i="46" s="1"/>
  <c r="N18" i="46"/>
  <c r="M18" i="46"/>
  <c r="O18" i="46" s="1"/>
  <c r="M41" i="46"/>
  <c r="O41" i="46" s="1"/>
  <c r="N41" i="46"/>
  <c r="N79" i="46"/>
  <c r="M79" i="46"/>
  <c r="O79" i="46" s="1"/>
  <c r="N27" i="46"/>
  <c r="M27" i="46"/>
  <c r="O27" i="46" s="1"/>
  <c r="N15" i="46"/>
  <c r="M15" i="46"/>
  <c r="O15" i="46" s="1"/>
  <c r="N37" i="46"/>
  <c r="M37" i="46"/>
  <c r="O37" i="46" s="1"/>
  <c r="M35" i="46"/>
  <c r="O35" i="46" s="1"/>
  <c r="N35" i="46"/>
  <c r="N14" i="46"/>
  <c r="M14" i="46"/>
  <c r="O14" i="46" s="1"/>
  <c r="N13" i="46"/>
  <c r="M13" i="46"/>
  <c r="O13" i="46" s="1"/>
  <c r="N59" i="46"/>
  <c r="M59" i="46"/>
  <c r="O59" i="46" s="1"/>
  <c r="N69" i="46"/>
  <c r="M69" i="46"/>
  <c r="O69" i="46" s="1"/>
  <c r="N61" i="46"/>
  <c r="M61" i="46"/>
  <c r="O61" i="46" s="1"/>
  <c r="N16" i="46"/>
  <c r="M16" i="46"/>
  <c r="O16" i="46" s="1"/>
  <c r="M43" i="46"/>
  <c r="O43" i="46" s="1"/>
  <c r="N43" i="46"/>
  <c r="N65" i="46"/>
  <c r="M65" i="46"/>
  <c r="O65" i="46" s="1"/>
  <c r="N29" i="46"/>
  <c r="M29" i="46"/>
  <c r="O29" i="46" s="1"/>
  <c r="N30" i="46"/>
  <c r="M30" i="46"/>
  <c r="O30" i="46" s="1"/>
  <c r="N54" i="46"/>
  <c r="M54" i="46"/>
  <c r="O54" i="46" s="1"/>
  <c r="N12" i="46"/>
  <c r="M12" i="46"/>
  <c r="N21" i="46"/>
  <c r="M21" i="46"/>
  <c r="O21" i="46" s="1"/>
  <c r="N77" i="46"/>
  <c r="M77" i="46"/>
  <c r="O77" i="46" s="1"/>
  <c r="N32" i="46"/>
  <c r="M32" i="46"/>
  <c r="O32" i="46" s="1"/>
  <c r="N46" i="46"/>
  <c r="M46" i="46"/>
  <c r="O46" i="46" s="1"/>
  <c r="N53" i="46"/>
  <c r="M53" i="46"/>
  <c r="O53" i="46" s="1"/>
  <c r="N23" i="46"/>
  <c r="M23" i="46"/>
  <c r="O23" i="46" s="1"/>
  <c r="N28" i="46"/>
  <c r="M28" i="46"/>
  <c r="O28" i="46" s="1"/>
  <c r="N26" i="46"/>
  <c r="M26" i="46"/>
  <c r="O26" i="46" s="1"/>
  <c r="N31" i="46"/>
  <c r="M31" i="46"/>
  <c r="O31" i="46" s="1"/>
  <c r="M39" i="46"/>
  <c r="O39" i="46" s="1"/>
  <c r="N39" i="46"/>
  <c r="N73" i="45"/>
  <c r="M73" i="45"/>
  <c r="O73" i="45" s="1"/>
  <c r="N66" i="45"/>
  <c r="M66" i="45"/>
  <c r="O66" i="45" s="1"/>
  <c r="N80" i="45"/>
  <c r="M80" i="45"/>
  <c r="O80" i="45" s="1"/>
  <c r="N59" i="45"/>
  <c r="M59" i="45"/>
  <c r="O59" i="45" s="1"/>
  <c r="N53" i="45"/>
  <c r="M53" i="45"/>
  <c r="O53" i="45" s="1"/>
  <c r="N63" i="45"/>
  <c r="M63" i="45"/>
  <c r="O63" i="45" s="1"/>
  <c r="M36" i="45"/>
  <c r="O36" i="45" s="1"/>
  <c r="N36" i="45"/>
  <c r="N76" i="45"/>
  <c r="M76" i="45"/>
  <c r="O76" i="45" s="1"/>
  <c r="M38" i="45"/>
  <c r="O38" i="45" s="1"/>
  <c r="N38" i="45"/>
  <c r="N26" i="45"/>
  <c r="M26" i="45"/>
  <c r="O26" i="45" s="1"/>
  <c r="M37" i="45"/>
  <c r="O37" i="45" s="1"/>
  <c r="N37" i="45"/>
  <c r="N20" i="45"/>
  <c r="M20" i="45"/>
  <c r="O20" i="45" s="1"/>
  <c r="O12" i="45"/>
  <c r="M41" i="45"/>
  <c r="O41" i="45" s="1"/>
  <c r="N41" i="45"/>
  <c r="N72" i="45"/>
  <c r="M72" i="45"/>
  <c r="O72" i="45" s="1"/>
  <c r="N28" i="45"/>
  <c r="M28" i="45"/>
  <c r="O28" i="45" s="1"/>
  <c r="M14" i="45"/>
  <c r="O14" i="45" s="1"/>
  <c r="N14" i="45"/>
  <c r="N29" i="45"/>
  <c r="M29" i="45"/>
  <c r="O29" i="45" s="1"/>
  <c r="M39" i="45"/>
  <c r="O39" i="45" s="1"/>
  <c r="N39" i="45"/>
  <c r="N30" i="45"/>
  <c r="M30" i="45"/>
  <c r="O30" i="45" s="1"/>
  <c r="M40" i="45"/>
  <c r="O40" i="45" s="1"/>
  <c r="N40" i="45"/>
  <c r="N55" i="45"/>
  <c r="M55" i="45"/>
  <c r="O55" i="45" s="1"/>
  <c r="N56" i="45"/>
  <c r="M56" i="45"/>
  <c r="O56" i="45" s="1"/>
  <c r="N49" i="45"/>
  <c r="M49" i="45"/>
  <c r="O49" i="45" s="1"/>
  <c r="N52" i="45"/>
  <c r="M52" i="45"/>
  <c r="O52" i="45" s="1"/>
  <c r="N50" i="45"/>
  <c r="M50" i="45"/>
  <c r="O50" i="45" s="1"/>
  <c r="N61" i="45"/>
  <c r="M61" i="45"/>
  <c r="O61" i="45" s="1"/>
  <c r="N22" i="45"/>
  <c r="M22" i="45"/>
  <c r="O22" i="45" s="1"/>
  <c r="N46" i="45"/>
  <c r="M46" i="45"/>
  <c r="O46" i="45" s="1"/>
  <c r="N15" i="45"/>
  <c r="M15" i="45"/>
  <c r="O15" i="45" s="1"/>
  <c r="M44" i="45"/>
  <c r="O44" i="45" s="1"/>
  <c r="N44" i="45"/>
  <c r="N54" i="45"/>
  <c r="M54" i="45"/>
  <c r="O54" i="45" s="1"/>
  <c r="N17" i="45"/>
  <c r="M17" i="45"/>
  <c r="O17" i="45" s="1"/>
  <c r="N35" i="45"/>
  <c r="M35" i="45"/>
  <c r="O35" i="45" s="1"/>
  <c r="N51" i="45"/>
  <c r="M51" i="45"/>
  <c r="O51" i="45" s="1"/>
  <c r="N45" i="45"/>
  <c r="M45" i="45"/>
  <c r="O45" i="45" s="1"/>
  <c r="N48" i="45"/>
  <c r="M48" i="45"/>
  <c r="O48" i="45" s="1"/>
  <c r="N67" i="45"/>
  <c r="M67" i="45"/>
  <c r="O67" i="45" s="1"/>
  <c r="N64" i="45"/>
  <c r="M64" i="45"/>
  <c r="O64" i="45" s="1"/>
  <c r="N19" i="45"/>
  <c r="M19" i="45"/>
  <c r="O19" i="45" s="1"/>
  <c r="M43" i="45"/>
  <c r="O43" i="45" s="1"/>
  <c r="N43" i="45"/>
  <c r="N70" i="45"/>
  <c r="M70" i="45"/>
  <c r="O70" i="45" s="1"/>
  <c r="N83" i="45"/>
  <c r="M83" i="45"/>
  <c r="O83" i="45" s="1"/>
  <c r="N71" i="45"/>
  <c r="M71" i="45"/>
  <c r="O71" i="45" s="1"/>
  <c r="N69" i="45"/>
  <c r="M69" i="45"/>
  <c r="O69" i="45" s="1"/>
  <c r="N24" i="45"/>
  <c r="M24" i="45"/>
  <c r="O24" i="45" s="1"/>
  <c r="M13" i="45"/>
  <c r="O13" i="45" s="1"/>
  <c r="N13" i="45"/>
  <c r="M11" i="46" l="1"/>
  <c r="L9" i="46" s="1"/>
  <c r="O12" i="46"/>
  <c r="O11" i="46" s="1"/>
  <c r="O11" i="45"/>
  <c r="M11" i="45"/>
  <c r="L9" i="45" s="1"/>
  <c r="J5" i="44" l="1"/>
  <c r="J71" i="44" s="1"/>
  <c r="B3" i="44"/>
  <c r="B4" i="44"/>
  <c r="H81" i="44"/>
  <c r="B81" i="44"/>
  <c r="K81" i="44" s="1"/>
  <c r="H80" i="44"/>
  <c r="B80" i="44"/>
  <c r="K80" i="44" s="1"/>
  <c r="H79" i="44"/>
  <c r="B79" i="44"/>
  <c r="K79" i="44" s="1"/>
  <c r="H78" i="44"/>
  <c r="B78" i="44"/>
  <c r="K78" i="44" s="1"/>
  <c r="H77" i="44"/>
  <c r="B77" i="44"/>
  <c r="K77" i="44" s="1"/>
  <c r="H76" i="44"/>
  <c r="B76" i="44"/>
  <c r="K76" i="44" s="1"/>
  <c r="H75" i="44"/>
  <c r="B75" i="44"/>
  <c r="K75" i="44" s="1"/>
  <c r="H74" i="44"/>
  <c r="B74" i="44"/>
  <c r="K74" i="44" s="1"/>
  <c r="H73" i="44"/>
  <c r="B73" i="44"/>
  <c r="K73" i="44" s="1"/>
  <c r="H72" i="44"/>
  <c r="B72" i="44"/>
  <c r="K72" i="44" s="1"/>
  <c r="K71" i="44"/>
  <c r="H71" i="44"/>
  <c r="B71" i="44"/>
  <c r="H70" i="44"/>
  <c r="B70" i="44"/>
  <c r="K70" i="44" s="1"/>
  <c r="H69" i="44"/>
  <c r="B69" i="44"/>
  <c r="K69" i="44" s="1"/>
  <c r="H68" i="44"/>
  <c r="B68" i="44"/>
  <c r="K68" i="44" s="1"/>
  <c r="H67" i="44"/>
  <c r="B67" i="44"/>
  <c r="K67" i="44" s="1"/>
  <c r="H66" i="44"/>
  <c r="B66" i="44"/>
  <c r="K66" i="44" s="1"/>
  <c r="H65" i="44"/>
  <c r="B65" i="44"/>
  <c r="K65" i="44" s="1"/>
  <c r="H64" i="44"/>
  <c r="B64" i="44"/>
  <c r="K64" i="44" s="1"/>
  <c r="H63" i="44"/>
  <c r="B63" i="44"/>
  <c r="K63" i="44" s="1"/>
  <c r="H62" i="44"/>
  <c r="B62" i="44"/>
  <c r="K62" i="44" s="1"/>
  <c r="H61" i="44"/>
  <c r="B61" i="44"/>
  <c r="K61" i="44" s="1"/>
  <c r="H60" i="44"/>
  <c r="B60" i="44"/>
  <c r="K60" i="44" s="1"/>
  <c r="H59" i="44"/>
  <c r="B59" i="44"/>
  <c r="K59" i="44" s="1"/>
  <c r="H58" i="44"/>
  <c r="B58" i="44"/>
  <c r="K58" i="44" s="1"/>
  <c r="H57" i="44"/>
  <c r="B57" i="44"/>
  <c r="K57" i="44" s="1"/>
  <c r="H56" i="44"/>
  <c r="B56" i="44"/>
  <c r="K56" i="44" s="1"/>
  <c r="H55" i="44"/>
  <c r="B55" i="44"/>
  <c r="K55" i="44" s="1"/>
  <c r="H54" i="44"/>
  <c r="B54" i="44"/>
  <c r="K54" i="44" s="1"/>
  <c r="H53" i="44"/>
  <c r="B53" i="44"/>
  <c r="K53" i="44" s="1"/>
  <c r="H52" i="44"/>
  <c r="B52" i="44"/>
  <c r="K52" i="44" s="1"/>
  <c r="H51" i="44"/>
  <c r="B51" i="44"/>
  <c r="K51" i="44" s="1"/>
  <c r="H50" i="44"/>
  <c r="B50" i="44"/>
  <c r="K50" i="44" s="1"/>
  <c r="H49" i="44"/>
  <c r="B49" i="44"/>
  <c r="K49" i="44" s="1"/>
  <c r="H48" i="44"/>
  <c r="B48" i="44"/>
  <c r="K48" i="44" s="1"/>
  <c r="H47" i="44"/>
  <c r="B47" i="44"/>
  <c r="K47" i="44" s="1"/>
  <c r="H46" i="44"/>
  <c r="B46" i="44"/>
  <c r="K46" i="44" s="1"/>
  <c r="K45" i="44"/>
  <c r="H45" i="44"/>
  <c r="B45" i="44"/>
  <c r="K44" i="44"/>
  <c r="H44" i="44"/>
  <c r="B44" i="44"/>
  <c r="K43" i="44"/>
  <c r="H43" i="44"/>
  <c r="B43" i="44"/>
  <c r="K42" i="44"/>
  <c r="H42" i="44"/>
  <c r="B42" i="44"/>
  <c r="K41" i="44"/>
  <c r="H41" i="44"/>
  <c r="B41" i="44"/>
  <c r="K40" i="44"/>
  <c r="H40" i="44"/>
  <c r="B40" i="44"/>
  <c r="K39" i="44"/>
  <c r="H39" i="44"/>
  <c r="B39" i="44"/>
  <c r="H38" i="44"/>
  <c r="B38" i="44"/>
  <c r="K38" i="44" s="1"/>
  <c r="H37" i="44"/>
  <c r="B37" i="44"/>
  <c r="K37" i="44" s="1"/>
  <c r="H36" i="44"/>
  <c r="B36" i="44"/>
  <c r="K36" i="44" s="1"/>
  <c r="K35" i="44"/>
  <c r="H35" i="44"/>
  <c r="B35" i="44"/>
  <c r="H34" i="44"/>
  <c r="B34" i="44"/>
  <c r="K34" i="44" s="1"/>
  <c r="H33" i="44"/>
  <c r="B33" i="44"/>
  <c r="K33" i="44" s="1"/>
  <c r="H32" i="44"/>
  <c r="B32" i="44"/>
  <c r="K32" i="44" s="1"/>
  <c r="H31" i="44"/>
  <c r="B31" i="44"/>
  <c r="K31" i="44" s="1"/>
  <c r="H30" i="44"/>
  <c r="B30" i="44"/>
  <c r="K30" i="44" s="1"/>
  <c r="H29" i="44"/>
  <c r="B29" i="44"/>
  <c r="K29" i="44" s="1"/>
  <c r="H28" i="44"/>
  <c r="B28" i="44"/>
  <c r="K28" i="44" s="1"/>
  <c r="H27" i="44"/>
  <c r="B27" i="44"/>
  <c r="K27" i="44" s="1"/>
  <c r="H26" i="44"/>
  <c r="B26" i="44"/>
  <c r="K26" i="44" s="1"/>
  <c r="H25" i="44"/>
  <c r="B25" i="44"/>
  <c r="K25" i="44" s="1"/>
  <c r="H24" i="44"/>
  <c r="B24" i="44"/>
  <c r="K24" i="44" s="1"/>
  <c r="H23" i="44"/>
  <c r="B23" i="44"/>
  <c r="K23" i="44" s="1"/>
  <c r="H22" i="44"/>
  <c r="B22" i="44"/>
  <c r="K22" i="44" s="1"/>
  <c r="H21" i="44"/>
  <c r="B21" i="44"/>
  <c r="K21" i="44" s="1"/>
  <c r="H20" i="44"/>
  <c r="B20" i="44"/>
  <c r="K20" i="44" s="1"/>
  <c r="H19" i="44"/>
  <c r="B19" i="44"/>
  <c r="K19" i="44" s="1"/>
  <c r="H18" i="44"/>
  <c r="B18" i="44"/>
  <c r="K18" i="44" s="1"/>
  <c r="H17" i="44"/>
  <c r="B17" i="44"/>
  <c r="K17" i="44" s="1"/>
  <c r="H16" i="44"/>
  <c r="B16" i="44"/>
  <c r="K16" i="44" s="1"/>
  <c r="H15" i="44"/>
  <c r="B15" i="44"/>
  <c r="K15" i="44" s="1"/>
  <c r="H14" i="44"/>
  <c r="B14" i="44"/>
  <c r="K14" i="44" s="1"/>
  <c r="H13" i="44"/>
  <c r="B13" i="44"/>
  <c r="K13" i="44" s="1"/>
  <c r="H12" i="44"/>
  <c r="B12" i="44"/>
  <c r="K12" i="44" s="1"/>
  <c r="I11" i="44"/>
  <c r="J51" i="43"/>
  <c r="B4" i="43"/>
  <c r="H81" i="43"/>
  <c r="K81" i="43"/>
  <c r="H80" i="43"/>
  <c r="K80" i="43"/>
  <c r="H79" i="43"/>
  <c r="K79" i="43"/>
  <c r="H78" i="43"/>
  <c r="K78" i="43"/>
  <c r="H77" i="43"/>
  <c r="K77" i="43"/>
  <c r="H76" i="43"/>
  <c r="K76" i="43"/>
  <c r="H75" i="43"/>
  <c r="K75" i="43"/>
  <c r="H74" i="43"/>
  <c r="K74" i="43"/>
  <c r="H73" i="43"/>
  <c r="K73" i="43"/>
  <c r="H72" i="43"/>
  <c r="K72" i="43"/>
  <c r="K71" i="43"/>
  <c r="J71" i="43"/>
  <c r="H71" i="43"/>
  <c r="H70" i="43"/>
  <c r="K70" i="43"/>
  <c r="J69" i="43"/>
  <c r="H69" i="43"/>
  <c r="K69" i="43"/>
  <c r="H68" i="43"/>
  <c r="K68" i="43"/>
  <c r="H67" i="43"/>
  <c r="K67" i="43"/>
  <c r="H66" i="43"/>
  <c r="K66" i="43"/>
  <c r="J65" i="43"/>
  <c r="H65" i="43"/>
  <c r="K65" i="43"/>
  <c r="H64" i="43"/>
  <c r="K64" i="43"/>
  <c r="H63" i="43"/>
  <c r="K63" i="43"/>
  <c r="H62" i="43"/>
  <c r="K62" i="43"/>
  <c r="J61" i="43"/>
  <c r="H61" i="43"/>
  <c r="K61" i="43"/>
  <c r="H60" i="43"/>
  <c r="K60" i="43"/>
  <c r="J59" i="43"/>
  <c r="H59" i="43"/>
  <c r="K59" i="43"/>
  <c r="H58" i="43"/>
  <c r="K58" i="43"/>
  <c r="H57" i="43"/>
  <c r="K57" i="43"/>
  <c r="H56" i="43"/>
  <c r="K56" i="43"/>
  <c r="J55" i="43"/>
  <c r="H55" i="43"/>
  <c r="K55" i="43"/>
  <c r="H54" i="43"/>
  <c r="K54" i="43"/>
  <c r="J53" i="43"/>
  <c r="H53" i="43"/>
  <c r="K53" i="43"/>
  <c r="H52" i="43"/>
  <c r="K52" i="43"/>
  <c r="H51" i="43"/>
  <c r="K51" i="43"/>
  <c r="H50" i="43"/>
  <c r="K50" i="43"/>
  <c r="K49" i="43"/>
  <c r="H49" i="43"/>
  <c r="K48" i="43"/>
  <c r="H48" i="43"/>
  <c r="K47" i="43"/>
  <c r="H47" i="43"/>
  <c r="K46" i="43"/>
  <c r="H46" i="43"/>
  <c r="K45" i="43"/>
  <c r="J45" i="43"/>
  <c r="H45" i="43"/>
  <c r="K44" i="43"/>
  <c r="H44" i="43"/>
  <c r="K43" i="43"/>
  <c r="J43" i="43"/>
  <c r="H43" i="43"/>
  <c r="K42" i="43"/>
  <c r="H42" i="43"/>
  <c r="K41" i="43"/>
  <c r="J41" i="43"/>
  <c r="H41" i="43"/>
  <c r="J40" i="43"/>
  <c r="H40" i="43"/>
  <c r="K40" i="43"/>
  <c r="H39" i="43"/>
  <c r="K39" i="43"/>
  <c r="K38" i="43"/>
  <c r="H38" i="43"/>
  <c r="H37" i="43"/>
  <c r="K37" i="43"/>
  <c r="K36" i="43"/>
  <c r="H36" i="43"/>
  <c r="J35" i="43"/>
  <c r="H35" i="43"/>
  <c r="K35" i="43"/>
  <c r="K34" i="43"/>
  <c r="H34" i="43"/>
  <c r="H33" i="43"/>
  <c r="K33" i="43"/>
  <c r="H32" i="43"/>
  <c r="K32" i="43"/>
  <c r="K31" i="43"/>
  <c r="H31" i="43"/>
  <c r="K30" i="43"/>
  <c r="H30" i="43"/>
  <c r="K29" i="43"/>
  <c r="H29" i="43"/>
  <c r="K28" i="43"/>
  <c r="H28" i="43"/>
  <c r="K27" i="43"/>
  <c r="H27" i="43"/>
  <c r="K26" i="43"/>
  <c r="H26" i="43"/>
  <c r="K25" i="43"/>
  <c r="H25" i="43"/>
  <c r="K24" i="43"/>
  <c r="H24" i="43"/>
  <c r="K23" i="43"/>
  <c r="H23" i="43"/>
  <c r="K22" i="43"/>
  <c r="H22" i="43"/>
  <c r="H21" i="43"/>
  <c r="K21" i="43"/>
  <c r="K20" i="43"/>
  <c r="H20" i="43"/>
  <c r="H19" i="43"/>
  <c r="K19" i="43"/>
  <c r="H18" i="43"/>
  <c r="K18" i="43"/>
  <c r="H17" i="43"/>
  <c r="K17" i="43"/>
  <c r="K16" i="43"/>
  <c r="H16" i="43"/>
  <c r="H15" i="43"/>
  <c r="K15" i="43"/>
  <c r="K14" i="43"/>
  <c r="H14" i="43"/>
  <c r="H13" i="43"/>
  <c r="B13" i="43"/>
  <c r="K13" i="43" s="1"/>
  <c r="H12" i="43"/>
  <c r="B12" i="43"/>
  <c r="K12" i="43" s="1"/>
  <c r="I11" i="43"/>
  <c r="J9" i="43"/>
  <c r="I9" i="43" s="1"/>
  <c r="I1" i="43" s="1"/>
  <c r="L5" i="43"/>
  <c r="M5" i="43" s="1"/>
  <c r="J68" i="43"/>
  <c r="B6" i="43"/>
  <c r="F11" i="43" s="1"/>
  <c r="O5" i="41"/>
  <c r="N5" i="41"/>
  <c r="J5" i="42"/>
  <c r="J63" i="42" s="1"/>
  <c r="B3" i="42"/>
  <c r="J67" i="42"/>
  <c r="H81" i="42"/>
  <c r="B81" i="42"/>
  <c r="K81" i="42" s="1"/>
  <c r="H80" i="42"/>
  <c r="B80" i="42"/>
  <c r="K80" i="42" s="1"/>
  <c r="H79" i="42"/>
  <c r="B79" i="42"/>
  <c r="K79" i="42" s="1"/>
  <c r="H78" i="42"/>
  <c r="B78" i="42"/>
  <c r="K78" i="42" s="1"/>
  <c r="H77" i="42"/>
  <c r="B77" i="42"/>
  <c r="K77" i="42" s="1"/>
  <c r="H76" i="42"/>
  <c r="B76" i="42"/>
  <c r="K76" i="42" s="1"/>
  <c r="H75" i="42"/>
  <c r="B75" i="42"/>
  <c r="K75" i="42" s="1"/>
  <c r="H74" i="42"/>
  <c r="B74" i="42"/>
  <c r="K74" i="42" s="1"/>
  <c r="H73" i="42"/>
  <c r="B73" i="42"/>
  <c r="K73" i="42" s="1"/>
  <c r="H72" i="42"/>
  <c r="B72" i="42"/>
  <c r="K72" i="42" s="1"/>
  <c r="K71" i="42"/>
  <c r="H71" i="42"/>
  <c r="B71" i="42"/>
  <c r="H70" i="42"/>
  <c r="B70" i="42"/>
  <c r="K70" i="42" s="1"/>
  <c r="J69" i="42"/>
  <c r="H69" i="42"/>
  <c r="B69" i="42"/>
  <c r="K69" i="42" s="1"/>
  <c r="H68" i="42"/>
  <c r="B68" i="42"/>
  <c r="K68" i="42" s="1"/>
  <c r="H67" i="42"/>
  <c r="B67" i="42"/>
  <c r="K67" i="42" s="1"/>
  <c r="H66" i="42"/>
  <c r="B66" i="42"/>
  <c r="K66" i="42" s="1"/>
  <c r="J65" i="42"/>
  <c r="H65" i="42"/>
  <c r="B65" i="42"/>
  <c r="K65" i="42" s="1"/>
  <c r="H64" i="42"/>
  <c r="B64" i="42"/>
  <c r="K64" i="42" s="1"/>
  <c r="H63" i="42"/>
  <c r="B63" i="42"/>
  <c r="K63" i="42" s="1"/>
  <c r="H62" i="42"/>
  <c r="B62" i="42"/>
  <c r="K62" i="42" s="1"/>
  <c r="J61" i="42"/>
  <c r="H61" i="42"/>
  <c r="B61" i="42"/>
  <c r="K61" i="42" s="1"/>
  <c r="H60" i="42"/>
  <c r="B60" i="42"/>
  <c r="K60" i="42" s="1"/>
  <c r="J59" i="42"/>
  <c r="H59" i="42"/>
  <c r="B59" i="42"/>
  <c r="K59" i="42" s="1"/>
  <c r="H58" i="42"/>
  <c r="B58" i="42"/>
  <c r="K58" i="42" s="1"/>
  <c r="J57" i="42"/>
  <c r="H57" i="42"/>
  <c r="B57" i="42"/>
  <c r="K57" i="42" s="1"/>
  <c r="H56" i="42"/>
  <c r="B56" i="42"/>
  <c r="K56" i="42" s="1"/>
  <c r="H55" i="42"/>
  <c r="B55" i="42"/>
  <c r="K55" i="42" s="1"/>
  <c r="H54" i="42"/>
  <c r="B54" i="42"/>
  <c r="K54" i="42" s="1"/>
  <c r="H53" i="42"/>
  <c r="B53" i="42"/>
  <c r="K53" i="42" s="1"/>
  <c r="H52" i="42"/>
  <c r="B52" i="42"/>
  <c r="K52" i="42" s="1"/>
  <c r="J51" i="42"/>
  <c r="H51" i="42"/>
  <c r="B51" i="42"/>
  <c r="K51" i="42" s="1"/>
  <c r="H50" i="42"/>
  <c r="B50" i="42"/>
  <c r="K50" i="42" s="1"/>
  <c r="J49" i="42"/>
  <c r="H49" i="42"/>
  <c r="B49" i="42"/>
  <c r="K49" i="42" s="1"/>
  <c r="H48" i="42"/>
  <c r="B48" i="42"/>
  <c r="K48" i="42" s="1"/>
  <c r="K47" i="42"/>
  <c r="H47" i="42"/>
  <c r="B47" i="42"/>
  <c r="H46" i="42"/>
  <c r="B46" i="42"/>
  <c r="K46" i="42" s="1"/>
  <c r="K45" i="42"/>
  <c r="H45" i="42"/>
  <c r="B45" i="42"/>
  <c r="K44" i="42"/>
  <c r="H44" i="42"/>
  <c r="B44" i="42"/>
  <c r="K43" i="42"/>
  <c r="H43" i="42"/>
  <c r="B43" i="42"/>
  <c r="K42" i="42"/>
  <c r="J42" i="42"/>
  <c r="H42" i="42"/>
  <c r="B42" i="42"/>
  <c r="J41" i="42"/>
  <c r="H41" i="42"/>
  <c r="B41" i="42"/>
  <c r="K41" i="42" s="1"/>
  <c r="H40" i="42"/>
  <c r="B40" i="42"/>
  <c r="K40" i="42" s="1"/>
  <c r="H39" i="42"/>
  <c r="B39" i="42"/>
  <c r="K39" i="42" s="1"/>
  <c r="H38" i="42"/>
  <c r="B38" i="42"/>
  <c r="K38" i="42" s="1"/>
  <c r="P38" i="42" s="1"/>
  <c r="J37" i="42"/>
  <c r="H37" i="42"/>
  <c r="B37" i="42"/>
  <c r="K37" i="42" s="1"/>
  <c r="K36" i="42"/>
  <c r="H36" i="42"/>
  <c r="B36" i="42"/>
  <c r="K35" i="42"/>
  <c r="H35" i="42"/>
  <c r="B35" i="42"/>
  <c r="H34" i="42"/>
  <c r="B34" i="42"/>
  <c r="K34" i="42" s="1"/>
  <c r="H33" i="42"/>
  <c r="B33" i="42"/>
  <c r="K33" i="42" s="1"/>
  <c r="H32" i="42"/>
  <c r="B32" i="42"/>
  <c r="K32" i="42" s="1"/>
  <c r="K31" i="42"/>
  <c r="H31" i="42"/>
  <c r="B31" i="42"/>
  <c r="J30" i="42"/>
  <c r="H30" i="42"/>
  <c r="B30" i="42"/>
  <c r="K30" i="42" s="1"/>
  <c r="K29" i="42"/>
  <c r="H29" i="42"/>
  <c r="B29" i="42"/>
  <c r="J28" i="42"/>
  <c r="H28" i="42"/>
  <c r="B28" i="42"/>
  <c r="K28" i="42" s="1"/>
  <c r="K27" i="42"/>
  <c r="H27" i="42"/>
  <c r="B27" i="42"/>
  <c r="H26" i="42"/>
  <c r="B26" i="42"/>
  <c r="K26" i="42" s="1"/>
  <c r="K25" i="42"/>
  <c r="H25" i="42"/>
  <c r="B25" i="42"/>
  <c r="H24" i="42"/>
  <c r="B24" i="42"/>
  <c r="K24" i="42" s="1"/>
  <c r="K23" i="42"/>
  <c r="H23" i="42"/>
  <c r="B23" i="42"/>
  <c r="J22" i="42"/>
  <c r="H22" i="42"/>
  <c r="B22" i="42"/>
  <c r="K22" i="42" s="1"/>
  <c r="K21" i="42"/>
  <c r="H21" i="42"/>
  <c r="B21" i="42"/>
  <c r="J20" i="42"/>
  <c r="H20" i="42"/>
  <c r="B20" i="42"/>
  <c r="K20" i="42" s="1"/>
  <c r="K19" i="42"/>
  <c r="H19" i="42"/>
  <c r="B19" i="42"/>
  <c r="H18" i="42"/>
  <c r="B18" i="42"/>
  <c r="K18" i="42" s="1"/>
  <c r="K17" i="42"/>
  <c r="H17" i="42"/>
  <c r="B17" i="42"/>
  <c r="H16" i="42"/>
  <c r="B16" i="42"/>
  <c r="K16" i="42" s="1"/>
  <c r="K15" i="42"/>
  <c r="H15" i="42"/>
  <c r="B15" i="42"/>
  <c r="J14" i="42"/>
  <c r="H14" i="42"/>
  <c r="B14" i="42"/>
  <c r="K14" i="42" s="1"/>
  <c r="K13" i="42"/>
  <c r="H13" i="42"/>
  <c r="Q37" i="42" s="1"/>
  <c r="B13" i="42"/>
  <c r="J12" i="42"/>
  <c r="H12" i="42"/>
  <c r="B12" i="42"/>
  <c r="K12" i="42" s="1"/>
  <c r="I11" i="42"/>
  <c r="B6" i="42"/>
  <c r="F11" i="42" s="1"/>
  <c r="B4" i="41"/>
  <c r="B3" i="41"/>
  <c r="J21" i="41"/>
  <c r="P33" i="43" l="1"/>
  <c r="P34" i="43"/>
  <c r="Q33" i="43"/>
  <c r="P37" i="43"/>
  <c r="L5" i="44"/>
  <c r="M5" i="44" s="1"/>
  <c r="J38" i="44"/>
  <c r="J34" i="44"/>
  <c r="J81" i="44"/>
  <c r="J80" i="44"/>
  <c r="J79" i="44"/>
  <c r="J78" i="44"/>
  <c r="J76" i="44"/>
  <c r="J74" i="44"/>
  <c r="J73" i="44"/>
  <c r="J72" i="44"/>
  <c r="Q81" i="44"/>
  <c r="Q37" i="44"/>
  <c r="Q33" i="44"/>
  <c r="Q71" i="44"/>
  <c r="Q36" i="44"/>
  <c r="Q45" i="44"/>
  <c r="Q35" i="44"/>
  <c r="Q38" i="44"/>
  <c r="Q34" i="44"/>
  <c r="Q31" i="44"/>
  <c r="J33" i="44"/>
  <c r="J35" i="44"/>
  <c r="P36" i="44"/>
  <c r="P71" i="44"/>
  <c r="J75" i="44"/>
  <c r="J69" i="44"/>
  <c r="B6" i="44"/>
  <c r="P38" i="44"/>
  <c r="P45" i="44"/>
  <c r="J32" i="44"/>
  <c r="P33" i="44"/>
  <c r="J42" i="44"/>
  <c r="J46" i="44"/>
  <c r="J48" i="44"/>
  <c r="J50" i="44"/>
  <c r="J52" i="44"/>
  <c r="J54" i="44"/>
  <c r="J56" i="44"/>
  <c r="J58" i="44"/>
  <c r="J60" i="44"/>
  <c r="J62" i="44"/>
  <c r="J64" i="44"/>
  <c r="J66" i="44"/>
  <c r="J13" i="44"/>
  <c r="J15" i="44"/>
  <c r="J17" i="44"/>
  <c r="J19" i="44"/>
  <c r="J21" i="44"/>
  <c r="J23" i="44"/>
  <c r="J25" i="44"/>
  <c r="J27" i="44"/>
  <c r="J29" i="44"/>
  <c r="J31" i="44"/>
  <c r="P35" i="44"/>
  <c r="J41" i="44"/>
  <c r="J45" i="44"/>
  <c r="K11" i="44"/>
  <c r="P31" i="44"/>
  <c r="J37" i="44"/>
  <c r="J40" i="44"/>
  <c r="J44" i="44"/>
  <c r="J47" i="44"/>
  <c r="J49" i="44"/>
  <c r="J51" i="44"/>
  <c r="J53" i="44"/>
  <c r="J55" i="44"/>
  <c r="J57" i="44"/>
  <c r="J59" i="44"/>
  <c r="J61" i="44"/>
  <c r="J63" i="44"/>
  <c r="J65" i="44"/>
  <c r="J67" i="44"/>
  <c r="P81" i="44"/>
  <c r="J70" i="44"/>
  <c r="J12" i="44"/>
  <c r="J14" i="44"/>
  <c r="J16" i="44"/>
  <c r="J18" i="44"/>
  <c r="J20" i="44"/>
  <c r="J22" i="44"/>
  <c r="J24" i="44"/>
  <c r="J26" i="44"/>
  <c r="J28" i="44"/>
  <c r="J30" i="44"/>
  <c r="P34" i="44"/>
  <c r="P37" i="44"/>
  <c r="J39" i="44"/>
  <c r="J43" i="44"/>
  <c r="J9" i="44"/>
  <c r="I9" i="44" s="1"/>
  <c r="I1" i="44" s="1"/>
  <c r="J36" i="44"/>
  <c r="J68" i="44"/>
  <c r="J77" i="44"/>
  <c r="J63" i="43"/>
  <c r="J57" i="43"/>
  <c r="B7" i="43"/>
  <c r="J52" i="43"/>
  <c r="J60" i="43"/>
  <c r="Q37" i="43"/>
  <c r="J38" i="43"/>
  <c r="J34" i="43"/>
  <c r="J81" i="43"/>
  <c r="J80" i="43"/>
  <c r="J79" i="43"/>
  <c r="J78" i="43"/>
  <c r="J77" i="43"/>
  <c r="J76" i="43"/>
  <c r="J75" i="43"/>
  <c r="J74" i="43"/>
  <c r="J73" i="43"/>
  <c r="J72" i="43"/>
  <c r="J37" i="43"/>
  <c r="J33" i="43"/>
  <c r="J32" i="43"/>
  <c r="J13" i="43"/>
  <c r="J15" i="43"/>
  <c r="J17" i="43"/>
  <c r="J19" i="43"/>
  <c r="J21" i="43"/>
  <c r="J23" i="43"/>
  <c r="J25" i="43"/>
  <c r="J27" i="43"/>
  <c r="J29" i="43"/>
  <c r="J31" i="43"/>
  <c r="J36" i="43"/>
  <c r="J39" i="43"/>
  <c r="J42" i="43"/>
  <c r="J46" i="43"/>
  <c r="J48" i="43"/>
  <c r="J50" i="43"/>
  <c r="J58" i="43"/>
  <c r="J66" i="43"/>
  <c r="P71" i="43"/>
  <c r="K11" i="43"/>
  <c r="L58" i="43" s="1"/>
  <c r="P35" i="43"/>
  <c r="J56" i="43"/>
  <c r="J64" i="43"/>
  <c r="P81" i="43"/>
  <c r="P31" i="43"/>
  <c r="P36" i="43"/>
  <c r="P38" i="43"/>
  <c r="Q71" i="43"/>
  <c r="Q36" i="43"/>
  <c r="Q31" i="43"/>
  <c r="Q45" i="43"/>
  <c r="Q35" i="43"/>
  <c r="Q38" i="43"/>
  <c r="Q34" i="43"/>
  <c r="Q81" i="43"/>
  <c r="P45" i="43"/>
  <c r="L65" i="43"/>
  <c r="J67" i="43"/>
  <c r="J12" i="43"/>
  <c r="J14" i="43"/>
  <c r="J16" i="43"/>
  <c r="J18" i="43"/>
  <c r="J20" i="43"/>
  <c r="J22" i="43"/>
  <c r="J24" i="43"/>
  <c r="J26" i="43"/>
  <c r="J28" i="43"/>
  <c r="J30" i="43"/>
  <c r="J44" i="43"/>
  <c r="J47" i="43"/>
  <c r="J49" i="43"/>
  <c r="L52" i="43"/>
  <c r="J54" i="43"/>
  <c r="J62" i="43"/>
  <c r="J70" i="43"/>
  <c r="J34" i="42"/>
  <c r="J55" i="42"/>
  <c r="J32" i="42"/>
  <c r="J53" i="42"/>
  <c r="L16" i="42"/>
  <c r="L22" i="42"/>
  <c r="L64" i="42"/>
  <c r="L24" i="42"/>
  <c r="L60" i="42"/>
  <c r="L27" i="42"/>
  <c r="L54" i="42"/>
  <c r="P34" i="42"/>
  <c r="L34" i="42"/>
  <c r="L58" i="42"/>
  <c r="L14" i="42"/>
  <c r="L68" i="42"/>
  <c r="L26" i="42"/>
  <c r="K11" i="42"/>
  <c r="L50" i="42" s="1"/>
  <c r="L32" i="42"/>
  <c r="L56" i="42"/>
  <c r="L18" i="42"/>
  <c r="J81" i="42"/>
  <c r="J80" i="42"/>
  <c r="J79" i="42"/>
  <c r="J78" i="42"/>
  <c r="J77" i="42"/>
  <c r="J76" i="42"/>
  <c r="J75" i="42"/>
  <c r="J74" i="42"/>
  <c r="J73" i="42"/>
  <c r="J72" i="42"/>
  <c r="J18" i="42"/>
  <c r="J26" i="42"/>
  <c r="P31" i="42"/>
  <c r="P33" i="42"/>
  <c r="J40" i="42"/>
  <c r="J46" i="42"/>
  <c r="J16" i="42"/>
  <c r="J24" i="42"/>
  <c r="P35" i="42"/>
  <c r="J39" i="42"/>
  <c r="J44" i="42"/>
  <c r="P45" i="42"/>
  <c r="J48" i="42"/>
  <c r="J50" i="42"/>
  <c r="J52" i="42"/>
  <c r="J54" i="42"/>
  <c r="J56" i="42"/>
  <c r="J58" i="42"/>
  <c r="J60" i="42"/>
  <c r="J62" i="42"/>
  <c r="J64" i="42"/>
  <c r="J66" i="42"/>
  <c r="J68" i="42"/>
  <c r="L78" i="42"/>
  <c r="B7" i="42"/>
  <c r="J15" i="42"/>
  <c r="L17" i="42"/>
  <c r="J23" i="42"/>
  <c r="J31" i="42"/>
  <c r="J33" i="42"/>
  <c r="J38" i="42"/>
  <c r="L39" i="42"/>
  <c r="J43" i="42"/>
  <c r="L69" i="42"/>
  <c r="J71" i="42"/>
  <c r="L79" i="42"/>
  <c r="L75" i="42"/>
  <c r="J9" i="42"/>
  <c r="I9" i="42" s="1"/>
  <c r="I1" i="42" s="1"/>
  <c r="Q81" i="42"/>
  <c r="Q71" i="42"/>
  <c r="Q36" i="42"/>
  <c r="Q45" i="42"/>
  <c r="Q35" i="42"/>
  <c r="Q38" i="42"/>
  <c r="Q34" i="42"/>
  <c r="J13" i="42"/>
  <c r="J21" i="42"/>
  <c r="L23" i="42"/>
  <c r="J29" i="42"/>
  <c r="L31" i="42"/>
  <c r="J35" i="42"/>
  <c r="J36" i="42"/>
  <c r="L37" i="42"/>
  <c r="J47" i="42"/>
  <c r="P71" i="42"/>
  <c r="L76" i="42"/>
  <c r="L80" i="42"/>
  <c r="L13" i="42"/>
  <c r="J19" i="42"/>
  <c r="L21" i="42"/>
  <c r="J27" i="42"/>
  <c r="L35" i="42"/>
  <c r="L36" i="42"/>
  <c r="P37" i="42"/>
  <c r="L41" i="42"/>
  <c r="L47" i="42"/>
  <c r="L49" i="42"/>
  <c r="L51" i="42"/>
  <c r="L55" i="42"/>
  <c r="L57" i="42"/>
  <c r="L61" i="42"/>
  <c r="L63" i="42"/>
  <c r="L65" i="42"/>
  <c r="L67" i="42"/>
  <c r="L70" i="42"/>
  <c r="P81" i="42"/>
  <c r="L81" i="42"/>
  <c r="L73" i="42"/>
  <c r="L5" i="42"/>
  <c r="M5" i="42" s="1"/>
  <c r="J17" i="42"/>
  <c r="J25" i="42"/>
  <c r="Q31" i="42"/>
  <c r="Q33" i="42"/>
  <c r="P36" i="42"/>
  <c r="L40" i="42"/>
  <c r="J45" i="42"/>
  <c r="J70" i="42"/>
  <c r="L73" i="43" l="1"/>
  <c r="M73" i="43" s="1"/>
  <c r="O73" i="43" s="1"/>
  <c r="L25" i="43"/>
  <c r="M25" i="43" s="1"/>
  <c r="O25" i="43" s="1"/>
  <c r="L71" i="43"/>
  <c r="M71" i="43" s="1"/>
  <c r="O71" i="43" s="1"/>
  <c r="L68" i="43"/>
  <c r="N68" i="43" s="1"/>
  <c r="L35" i="43"/>
  <c r="M35" i="43" s="1"/>
  <c r="O35" i="43" s="1"/>
  <c r="L37" i="43"/>
  <c r="M37" i="43" s="1"/>
  <c r="O37" i="43" s="1"/>
  <c r="L59" i="43"/>
  <c r="M59" i="43" s="1"/>
  <c r="O59" i="43" s="1"/>
  <c r="L57" i="43"/>
  <c r="N57" i="43" s="1"/>
  <c r="L32" i="43"/>
  <c r="M32" i="43" s="1"/>
  <c r="O32" i="43" s="1"/>
  <c r="L60" i="43"/>
  <c r="N60" i="43" s="1"/>
  <c r="L51" i="43"/>
  <c r="N51" i="43" s="1"/>
  <c r="L77" i="43"/>
  <c r="N77" i="43" s="1"/>
  <c r="L80" i="43"/>
  <c r="N80" i="43" s="1"/>
  <c r="L27" i="43"/>
  <c r="M27" i="43" s="1"/>
  <c r="O27" i="43" s="1"/>
  <c r="L72" i="43"/>
  <c r="N72" i="43" s="1"/>
  <c r="L28" i="43"/>
  <c r="M28" i="43" s="1"/>
  <c r="O28" i="43" s="1"/>
  <c r="L26" i="43"/>
  <c r="N26" i="43" s="1"/>
  <c r="L46" i="43"/>
  <c r="M46" i="43" s="1"/>
  <c r="O46" i="43" s="1"/>
  <c r="L63" i="43"/>
  <c r="N63" i="43" s="1"/>
  <c r="L22" i="43"/>
  <c r="N22" i="43" s="1"/>
  <c r="L50" i="43"/>
  <c r="N50" i="43" s="1"/>
  <c r="L62" i="43"/>
  <c r="M62" i="43" s="1"/>
  <c r="O62" i="43" s="1"/>
  <c r="L36" i="43"/>
  <c r="N36" i="43" s="1"/>
  <c r="L55" i="43"/>
  <c r="M55" i="43" s="1"/>
  <c r="O55" i="43" s="1"/>
  <c r="L20" i="43"/>
  <c r="M20" i="43" s="1"/>
  <c r="O20" i="43" s="1"/>
  <c r="L78" i="43"/>
  <c r="N78" i="43" s="1"/>
  <c r="L49" i="43"/>
  <c r="M49" i="43" s="1"/>
  <c r="O49" i="43" s="1"/>
  <c r="L16" i="43"/>
  <c r="N16" i="43" s="1"/>
  <c r="L19" i="43"/>
  <c r="N19" i="43" s="1"/>
  <c r="L81" i="43"/>
  <c r="M81" i="43" s="1"/>
  <c r="O81" i="43" s="1"/>
  <c r="L54" i="43"/>
  <c r="N54" i="43" s="1"/>
  <c r="L31" i="43"/>
  <c r="N31" i="43" s="1"/>
  <c r="L47" i="43"/>
  <c r="M47" i="43" s="1"/>
  <c r="O47" i="43" s="1"/>
  <c r="L14" i="43"/>
  <c r="N14" i="43" s="1"/>
  <c r="L56" i="43"/>
  <c r="N56" i="43" s="1"/>
  <c r="L18" i="43"/>
  <c r="N18" i="43" s="1"/>
  <c r="L67" i="43"/>
  <c r="N67" i="43" s="1"/>
  <c r="L29" i="43"/>
  <c r="N29" i="43" s="1"/>
  <c r="L30" i="43"/>
  <c r="M30" i="43" s="1"/>
  <c r="O30" i="43" s="1"/>
  <c r="L12" i="43"/>
  <c r="N12" i="43" s="1"/>
  <c r="L69" i="43"/>
  <c r="N69" i="43" s="1"/>
  <c r="L66" i="43"/>
  <c r="N66" i="43" s="1"/>
  <c r="L70" i="43"/>
  <c r="N70" i="43" s="1"/>
  <c r="L48" i="43"/>
  <c r="M48" i="43" s="1"/>
  <c r="O48" i="43" s="1"/>
  <c r="L23" i="43"/>
  <c r="M23" i="43" s="1"/>
  <c r="O23" i="43" s="1"/>
  <c r="L24" i="43"/>
  <c r="N24" i="43" s="1"/>
  <c r="L76" i="43"/>
  <c r="N76" i="43" s="1"/>
  <c r="L33" i="43"/>
  <c r="M33" i="43" s="1"/>
  <c r="O33" i="43" s="1"/>
  <c r="L17" i="43"/>
  <c r="N17" i="43" s="1"/>
  <c r="L79" i="43"/>
  <c r="N79" i="43" s="1"/>
  <c r="L13" i="43"/>
  <c r="M13" i="43" s="1"/>
  <c r="O13" i="43" s="1"/>
  <c r="L21" i="43"/>
  <c r="N21" i="43" s="1"/>
  <c r="J11" i="44"/>
  <c r="B7" i="44"/>
  <c r="F11" i="44"/>
  <c r="L24" i="44" s="1"/>
  <c r="N58" i="43"/>
  <c r="M58" i="43"/>
  <c r="O58" i="43" s="1"/>
  <c r="J11" i="43"/>
  <c r="L75" i="43"/>
  <c r="N52" i="43"/>
  <c r="M52" i="43"/>
  <c r="O52" i="43" s="1"/>
  <c r="N73" i="43"/>
  <c r="M14" i="43"/>
  <c r="O14" i="43" s="1"/>
  <c r="L74" i="43"/>
  <c r="L15" i="43"/>
  <c r="L61" i="43"/>
  <c r="M68" i="43"/>
  <c r="O68" i="43" s="1"/>
  <c r="M22" i="43"/>
  <c r="O22" i="43" s="1"/>
  <c r="M18" i="43"/>
  <c r="O18" i="43" s="1"/>
  <c r="N65" i="43"/>
  <c r="M65" i="43"/>
  <c r="O65" i="43" s="1"/>
  <c r="L45" i="43"/>
  <c r="L41" i="43"/>
  <c r="L38" i="43"/>
  <c r="L42" i="43"/>
  <c r="L39" i="43"/>
  <c r="L43" i="43"/>
  <c r="L44" i="43"/>
  <c r="L40" i="43"/>
  <c r="L34" i="43"/>
  <c r="L64" i="43"/>
  <c r="L53" i="43"/>
  <c r="N32" i="43"/>
  <c r="M77" i="43"/>
  <c r="O77" i="43" s="1"/>
  <c r="N20" i="43"/>
  <c r="M69" i="43"/>
  <c r="O69" i="43" s="1"/>
  <c r="J11" i="42"/>
  <c r="N50" i="42"/>
  <c r="M50" i="42"/>
  <c r="O50" i="42" s="1"/>
  <c r="N81" i="42"/>
  <c r="M81" i="42"/>
  <c r="O81" i="42" s="1"/>
  <c r="N65" i="42"/>
  <c r="M65" i="42"/>
  <c r="O65" i="42" s="1"/>
  <c r="N49" i="42"/>
  <c r="M49" i="42"/>
  <c r="O49" i="42" s="1"/>
  <c r="M21" i="42"/>
  <c r="O21" i="42" s="1"/>
  <c r="N21" i="42"/>
  <c r="N56" i="42"/>
  <c r="M56" i="42"/>
  <c r="O56" i="42" s="1"/>
  <c r="N63" i="42"/>
  <c r="M63" i="42"/>
  <c r="O63" i="42" s="1"/>
  <c r="N47" i="42"/>
  <c r="M47" i="42"/>
  <c r="O47" i="42" s="1"/>
  <c r="M23" i="42"/>
  <c r="O23" i="42" s="1"/>
  <c r="N23" i="42"/>
  <c r="N39" i="42"/>
  <c r="M39" i="42"/>
  <c r="O39" i="42" s="1"/>
  <c r="N61" i="42"/>
  <c r="M61" i="42"/>
  <c r="O61" i="42" s="1"/>
  <c r="N41" i="42"/>
  <c r="M41" i="42"/>
  <c r="O41" i="42" s="1"/>
  <c r="M13" i="42"/>
  <c r="O13" i="42" s="1"/>
  <c r="N13" i="42"/>
  <c r="N68" i="42"/>
  <c r="M68" i="42"/>
  <c r="O68" i="42" s="1"/>
  <c r="M34" i="42"/>
  <c r="O34" i="42" s="1"/>
  <c r="N34" i="42"/>
  <c r="L66" i="42"/>
  <c r="L77" i="42"/>
  <c r="L59" i="42"/>
  <c r="L72" i="42"/>
  <c r="L15" i="42"/>
  <c r="L12" i="42"/>
  <c r="L52" i="42"/>
  <c r="N67" i="42"/>
  <c r="M67" i="42"/>
  <c r="O67" i="42" s="1"/>
  <c r="M37" i="42"/>
  <c r="O37" i="42" s="1"/>
  <c r="N37" i="42"/>
  <c r="N78" i="42"/>
  <c r="M78" i="42"/>
  <c r="O78" i="42" s="1"/>
  <c r="N55" i="42"/>
  <c r="M55" i="42"/>
  <c r="O55" i="42" s="1"/>
  <c r="N51" i="42"/>
  <c r="M51" i="42"/>
  <c r="O51" i="42" s="1"/>
  <c r="N73" i="42"/>
  <c r="M73" i="42"/>
  <c r="O73" i="42" s="1"/>
  <c r="N57" i="42"/>
  <c r="M57" i="42"/>
  <c r="O57" i="42" s="1"/>
  <c r="M36" i="42"/>
  <c r="O36" i="42" s="1"/>
  <c r="N36" i="42"/>
  <c r="N69" i="42"/>
  <c r="M69" i="42"/>
  <c r="O69" i="42" s="1"/>
  <c r="N60" i="42"/>
  <c r="M60" i="42"/>
  <c r="O60" i="42" s="1"/>
  <c r="N64" i="42"/>
  <c r="M64" i="42"/>
  <c r="O64" i="42" s="1"/>
  <c r="N40" i="42"/>
  <c r="M40" i="42"/>
  <c r="O40" i="42" s="1"/>
  <c r="N70" i="42"/>
  <c r="M70" i="42"/>
  <c r="O70" i="42" s="1"/>
  <c r="N35" i="42"/>
  <c r="M35" i="42"/>
  <c r="O35" i="42" s="1"/>
  <c r="N80" i="42"/>
  <c r="M80" i="42"/>
  <c r="O80" i="42" s="1"/>
  <c r="N75" i="42"/>
  <c r="M75" i="42"/>
  <c r="O75" i="42" s="1"/>
  <c r="M18" i="42"/>
  <c r="O18" i="42" s="1"/>
  <c r="N18" i="42"/>
  <c r="L71" i="42"/>
  <c r="L43" i="42"/>
  <c r="L45" i="42"/>
  <c r="L42" i="42"/>
  <c r="L44" i="42"/>
  <c r="L38" i="42"/>
  <c r="L33" i="42"/>
  <c r="L20" i="42"/>
  <c r="L19" i="42"/>
  <c r="L30" i="42"/>
  <c r="L28" i="42"/>
  <c r="L53" i="42"/>
  <c r="L29" i="42"/>
  <c r="L48" i="42"/>
  <c r="L25" i="42"/>
  <c r="L74" i="42"/>
  <c r="L46" i="42"/>
  <c r="L62" i="42"/>
  <c r="N76" i="42"/>
  <c r="M76" i="42"/>
  <c r="O76" i="42" s="1"/>
  <c r="M31" i="42"/>
  <c r="O31" i="42" s="1"/>
  <c r="N31" i="42"/>
  <c r="M14" i="42"/>
  <c r="O14" i="42" s="1"/>
  <c r="N14" i="42"/>
  <c r="N54" i="42"/>
  <c r="M54" i="42"/>
  <c r="O54" i="42" s="1"/>
  <c r="M24" i="42"/>
  <c r="O24" i="42" s="1"/>
  <c r="N24" i="42"/>
  <c r="M22" i="42"/>
  <c r="O22" i="42" s="1"/>
  <c r="N22" i="42"/>
  <c r="N79" i="42"/>
  <c r="M79" i="42"/>
  <c r="O79" i="42" s="1"/>
  <c r="M17" i="42"/>
  <c r="O17" i="42" s="1"/>
  <c r="N17" i="42"/>
  <c r="N32" i="42"/>
  <c r="M32" i="42"/>
  <c r="O32" i="42" s="1"/>
  <c r="M26" i="42"/>
  <c r="O26" i="42" s="1"/>
  <c r="N26" i="42"/>
  <c r="N58" i="42"/>
  <c r="M58" i="42"/>
  <c r="O58" i="42" s="1"/>
  <c r="M27" i="42"/>
  <c r="O27" i="42" s="1"/>
  <c r="N27" i="42"/>
  <c r="M16" i="42"/>
  <c r="O16" i="42" s="1"/>
  <c r="N16" i="42"/>
  <c r="M26" i="43" l="1"/>
  <c r="O26" i="43" s="1"/>
  <c r="N25" i="43"/>
  <c r="M60" i="43"/>
  <c r="O60" i="43" s="1"/>
  <c r="M78" i="43"/>
  <c r="O78" i="43" s="1"/>
  <c r="M72" i="43"/>
  <c r="O72" i="43" s="1"/>
  <c r="N59" i="43"/>
  <c r="N46" i="43"/>
  <c r="M79" i="43"/>
  <c r="O79" i="43" s="1"/>
  <c r="N47" i="43"/>
  <c r="M57" i="43"/>
  <c r="O57" i="43" s="1"/>
  <c r="N28" i="43"/>
  <c r="N55" i="43"/>
  <c r="N71" i="43"/>
  <c r="M50" i="43"/>
  <c r="O50" i="43" s="1"/>
  <c r="M51" i="43"/>
  <c r="O51" i="43" s="1"/>
  <c r="N13" i="43"/>
  <c r="N62" i="43"/>
  <c r="M80" i="43"/>
  <c r="O80" i="43" s="1"/>
  <c r="N35" i="43"/>
  <c r="M16" i="43"/>
  <c r="O16" i="43" s="1"/>
  <c r="N23" i="43"/>
  <c r="N49" i="43"/>
  <c r="N37" i="43"/>
  <c r="N27" i="43"/>
  <c r="M12" i="43"/>
  <c r="O12" i="43" s="1"/>
  <c r="M29" i="43"/>
  <c r="O29" i="43" s="1"/>
  <c r="N48" i="43"/>
  <c r="N30" i="43"/>
  <c r="N81" i="43"/>
  <c r="M76" i="43"/>
  <c r="O76" i="43" s="1"/>
  <c r="M19" i="43"/>
  <c r="O19" i="43" s="1"/>
  <c r="M31" i="43"/>
  <c r="O31" i="43" s="1"/>
  <c r="M67" i="43"/>
  <c r="O67" i="43" s="1"/>
  <c r="M54" i="43"/>
  <c r="O54" i="43" s="1"/>
  <c r="M36" i="43"/>
  <c r="O36" i="43" s="1"/>
  <c r="M70" i="43"/>
  <c r="O70" i="43" s="1"/>
  <c r="M63" i="43"/>
  <c r="O63" i="43" s="1"/>
  <c r="M56" i="43"/>
  <c r="O56" i="43" s="1"/>
  <c r="M24" i="43"/>
  <c r="O24" i="43" s="1"/>
  <c r="M66" i="43"/>
  <c r="O66" i="43" s="1"/>
  <c r="N33" i="43"/>
  <c r="M21" i="43"/>
  <c r="O21" i="43" s="1"/>
  <c r="M17" i="43"/>
  <c r="O17" i="43" s="1"/>
  <c r="L45" i="44"/>
  <c r="M45" i="44" s="1"/>
  <c r="O45" i="44" s="1"/>
  <c r="L56" i="44"/>
  <c r="N56" i="44" s="1"/>
  <c r="L61" i="44"/>
  <c r="L75" i="44"/>
  <c r="L63" i="44"/>
  <c r="M63" i="44" s="1"/>
  <c r="O63" i="44" s="1"/>
  <c r="L13" i="44"/>
  <c r="M13" i="44" s="1"/>
  <c r="O13" i="44" s="1"/>
  <c r="L19" i="44"/>
  <c r="N19" i="44" s="1"/>
  <c r="L52" i="44"/>
  <c r="N52" i="44" s="1"/>
  <c r="L60" i="44"/>
  <c r="N60" i="44" s="1"/>
  <c r="L66" i="44"/>
  <c r="N66" i="44" s="1"/>
  <c r="L78" i="44"/>
  <c r="L15" i="44"/>
  <c r="L69" i="44"/>
  <c r="M69" i="44" s="1"/>
  <c r="O69" i="44" s="1"/>
  <c r="L72" i="44"/>
  <c r="N72" i="44" s="1"/>
  <c r="L33" i="44"/>
  <c r="M33" i="44" s="1"/>
  <c r="O33" i="44" s="1"/>
  <c r="L32" i="44"/>
  <c r="N32" i="44" s="1"/>
  <c r="L17" i="44"/>
  <c r="M17" i="44" s="1"/>
  <c r="O17" i="44" s="1"/>
  <c r="L55" i="44"/>
  <c r="M55" i="44" s="1"/>
  <c r="O55" i="44" s="1"/>
  <c r="L79" i="44"/>
  <c r="L21" i="44"/>
  <c r="M21" i="44" s="1"/>
  <c r="O21" i="44" s="1"/>
  <c r="N24" i="44"/>
  <c r="M24" i="44"/>
  <c r="O24" i="44" s="1"/>
  <c r="M56" i="44"/>
  <c r="O56" i="44" s="1"/>
  <c r="N69" i="44"/>
  <c r="N63" i="44"/>
  <c r="L67" i="44"/>
  <c r="L29" i="44"/>
  <c r="L34" i="44"/>
  <c r="L26" i="44"/>
  <c r="L23" i="44"/>
  <c r="L76" i="44"/>
  <c r="L68" i="44"/>
  <c r="L39" i="44"/>
  <c r="L40" i="44"/>
  <c r="L53" i="44"/>
  <c r="L54" i="44"/>
  <c r="L37" i="44"/>
  <c r="L27" i="44"/>
  <c r="L77" i="44"/>
  <c r="L18" i="44"/>
  <c r="L43" i="44"/>
  <c r="L44" i="44"/>
  <c r="N78" i="44"/>
  <c r="M78" i="44"/>
  <c r="O78" i="44" s="1"/>
  <c r="N15" i="44"/>
  <c r="M15" i="44"/>
  <c r="O15" i="44" s="1"/>
  <c r="N61" i="44"/>
  <c r="M61" i="44"/>
  <c r="O61" i="44" s="1"/>
  <c r="L48" i="44"/>
  <c r="L14" i="44"/>
  <c r="L30" i="44"/>
  <c r="L20" i="44"/>
  <c r="L74" i="44"/>
  <c r="L49" i="44"/>
  <c r="L28" i="44"/>
  <c r="L51" i="44"/>
  <c r="L22" i="44"/>
  <c r="L12" i="44"/>
  <c r="L58" i="44"/>
  <c r="L25" i="44"/>
  <c r="L70" i="44"/>
  <c r="L80" i="44"/>
  <c r="L57" i="44"/>
  <c r="L47" i="44"/>
  <c r="L65" i="44"/>
  <c r="L73" i="44"/>
  <c r="L81" i="44"/>
  <c r="L59" i="44"/>
  <c r="L16" i="44"/>
  <c r="L50" i="44"/>
  <c r="L42" i="44"/>
  <c r="L71" i="44"/>
  <c r="L46" i="44"/>
  <c r="L62" i="44"/>
  <c r="L38" i="44"/>
  <c r="L31" i="44"/>
  <c r="L64" i="44"/>
  <c r="L41" i="44"/>
  <c r="L36" i="44"/>
  <c r="L35" i="44"/>
  <c r="N75" i="44"/>
  <c r="M75" i="44"/>
  <c r="O75" i="44" s="1"/>
  <c r="N79" i="44"/>
  <c r="M79" i="44"/>
  <c r="O79" i="44" s="1"/>
  <c r="N74" i="43"/>
  <c r="M74" i="43"/>
  <c r="O74" i="43" s="1"/>
  <c r="N44" i="43"/>
  <c r="M44" i="43"/>
  <c r="O44" i="43" s="1"/>
  <c r="N43" i="43"/>
  <c r="M43" i="43"/>
  <c r="O43" i="43" s="1"/>
  <c r="N39" i="43"/>
  <c r="M39" i="43"/>
  <c r="O39" i="43" s="1"/>
  <c r="N42" i="43"/>
  <c r="M42" i="43"/>
  <c r="O42" i="43" s="1"/>
  <c r="N40" i="43"/>
  <c r="M40" i="43"/>
  <c r="O40" i="43" s="1"/>
  <c r="N53" i="43"/>
  <c r="M53" i="43"/>
  <c r="O53" i="43" s="1"/>
  <c r="M38" i="43"/>
  <c r="O38" i="43" s="1"/>
  <c r="N38" i="43"/>
  <c r="M34" i="43"/>
  <c r="O34" i="43" s="1"/>
  <c r="N34" i="43"/>
  <c r="N61" i="43"/>
  <c r="M61" i="43"/>
  <c r="O61" i="43" s="1"/>
  <c r="N64" i="43"/>
  <c r="M64" i="43"/>
  <c r="O64" i="43" s="1"/>
  <c r="N41" i="43"/>
  <c r="M41" i="43"/>
  <c r="O41" i="43" s="1"/>
  <c r="N45" i="43"/>
  <c r="M45" i="43"/>
  <c r="O45" i="43" s="1"/>
  <c r="N15" i="43"/>
  <c r="M15" i="43"/>
  <c r="O15" i="43" s="1"/>
  <c r="N75" i="43"/>
  <c r="M75" i="43"/>
  <c r="O75" i="43" s="1"/>
  <c r="N48" i="42"/>
  <c r="M48" i="42"/>
  <c r="O48" i="42" s="1"/>
  <c r="N53" i="42"/>
  <c r="M53" i="42"/>
  <c r="O53" i="42" s="1"/>
  <c r="N59" i="42"/>
  <c r="M59" i="42"/>
  <c r="O59" i="42" s="1"/>
  <c r="N46" i="42"/>
  <c r="M46" i="42"/>
  <c r="O46" i="42" s="1"/>
  <c r="M19" i="42"/>
  <c r="O19" i="42" s="1"/>
  <c r="N19" i="42"/>
  <c r="N71" i="42"/>
  <c r="M71" i="42"/>
  <c r="O71" i="42" s="1"/>
  <c r="N77" i="42"/>
  <c r="M77" i="42"/>
  <c r="O77" i="42" s="1"/>
  <c r="M42" i="42"/>
  <c r="O42" i="42" s="1"/>
  <c r="N42" i="42"/>
  <c r="M15" i="42"/>
  <c r="O15" i="42" s="1"/>
  <c r="N15" i="42"/>
  <c r="M30" i="42"/>
  <c r="O30" i="42" s="1"/>
  <c r="N30" i="42"/>
  <c r="N74" i="42"/>
  <c r="M74" i="42"/>
  <c r="O74" i="42" s="1"/>
  <c r="M20" i="42"/>
  <c r="O20" i="42" s="1"/>
  <c r="N20" i="42"/>
  <c r="N66" i="42"/>
  <c r="M66" i="42"/>
  <c r="O66" i="42" s="1"/>
  <c r="M29" i="42"/>
  <c r="O29" i="42" s="1"/>
  <c r="N29" i="42"/>
  <c r="N62" i="42"/>
  <c r="M62" i="42"/>
  <c r="O62" i="42" s="1"/>
  <c r="M25" i="42"/>
  <c r="O25" i="42" s="1"/>
  <c r="N25" i="42"/>
  <c r="M33" i="42"/>
  <c r="O33" i="42" s="1"/>
  <c r="N33" i="42"/>
  <c r="M38" i="42"/>
  <c r="O38" i="42" s="1"/>
  <c r="N38" i="42"/>
  <c r="N52" i="42"/>
  <c r="M52" i="42"/>
  <c r="O52" i="42" s="1"/>
  <c r="M44" i="42"/>
  <c r="O44" i="42" s="1"/>
  <c r="N44" i="42"/>
  <c r="M28" i="42"/>
  <c r="O28" i="42" s="1"/>
  <c r="N28" i="42"/>
  <c r="N45" i="42"/>
  <c r="M45" i="42"/>
  <c r="O45" i="42" s="1"/>
  <c r="N72" i="42"/>
  <c r="M72" i="42"/>
  <c r="O72" i="42" s="1"/>
  <c r="M12" i="42"/>
  <c r="N12" i="42"/>
  <c r="N43" i="42"/>
  <c r="M43" i="42"/>
  <c r="O43" i="42" s="1"/>
  <c r="N13" i="44" l="1"/>
  <c r="M19" i="44"/>
  <c r="O19" i="44" s="1"/>
  <c r="M72" i="44"/>
  <c r="O72" i="44" s="1"/>
  <c r="N45" i="44"/>
  <c r="M66" i="44"/>
  <c r="O66" i="44" s="1"/>
  <c r="M32" i="44"/>
  <c r="O32" i="44" s="1"/>
  <c r="M60" i="44"/>
  <c r="O60" i="44" s="1"/>
  <c r="N17" i="44"/>
  <c r="N33" i="44"/>
  <c r="M52" i="44"/>
  <c r="O52" i="44" s="1"/>
  <c r="N55" i="44"/>
  <c r="N21" i="44"/>
  <c r="M41" i="44"/>
  <c r="O41" i="44" s="1"/>
  <c r="N41" i="44"/>
  <c r="N50" i="44"/>
  <c r="M50" i="44"/>
  <c r="O50" i="44" s="1"/>
  <c r="N80" i="44"/>
  <c r="M80" i="44"/>
  <c r="O80" i="44" s="1"/>
  <c r="N49" i="44"/>
  <c r="M49" i="44"/>
  <c r="O49" i="44" s="1"/>
  <c r="N27" i="44"/>
  <c r="M27" i="44"/>
  <c r="O27" i="44" s="1"/>
  <c r="N23" i="44"/>
  <c r="M23" i="44"/>
  <c r="O23" i="44" s="1"/>
  <c r="N64" i="44"/>
  <c r="M64" i="44"/>
  <c r="O64" i="44" s="1"/>
  <c r="N16" i="44"/>
  <c r="M16" i="44"/>
  <c r="O16" i="44" s="1"/>
  <c r="N70" i="44"/>
  <c r="M70" i="44"/>
  <c r="O70" i="44" s="1"/>
  <c r="N74" i="44"/>
  <c r="M74" i="44"/>
  <c r="O74" i="44" s="1"/>
  <c r="M37" i="44"/>
  <c r="O37" i="44" s="1"/>
  <c r="N37" i="44"/>
  <c r="N26" i="44"/>
  <c r="M26" i="44"/>
  <c r="O26" i="44" s="1"/>
  <c r="M35" i="44"/>
  <c r="O35" i="44" s="1"/>
  <c r="N35" i="44"/>
  <c r="N25" i="44"/>
  <c r="M25" i="44"/>
  <c r="O25" i="44" s="1"/>
  <c r="N31" i="44"/>
  <c r="M31" i="44"/>
  <c r="O31" i="44" s="1"/>
  <c r="N59" i="44"/>
  <c r="M59" i="44"/>
  <c r="O59" i="44" s="1"/>
  <c r="N20" i="44"/>
  <c r="M20" i="44"/>
  <c r="O20" i="44" s="1"/>
  <c r="N54" i="44"/>
  <c r="M54" i="44"/>
  <c r="O54" i="44" s="1"/>
  <c r="M38" i="44"/>
  <c r="O38" i="44" s="1"/>
  <c r="N38" i="44"/>
  <c r="N81" i="44"/>
  <c r="M81" i="44"/>
  <c r="O81" i="44" s="1"/>
  <c r="N58" i="44"/>
  <c r="M58" i="44"/>
  <c r="O58" i="44" s="1"/>
  <c r="N30" i="44"/>
  <c r="M30" i="44"/>
  <c r="O30" i="44" s="1"/>
  <c r="N53" i="44"/>
  <c r="M53" i="44"/>
  <c r="O53" i="44" s="1"/>
  <c r="N29" i="44"/>
  <c r="M29" i="44"/>
  <c r="O29" i="44" s="1"/>
  <c r="N51" i="44"/>
  <c r="M51" i="44"/>
  <c r="O51" i="44" s="1"/>
  <c r="M34" i="44"/>
  <c r="O34" i="44" s="1"/>
  <c r="N34" i="44"/>
  <c r="N62" i="44"/>
  <c r="M62" i="44"/>
  <c r="O62" i="44" s="1"/>
  <c r="N73" i="44"/>
  <c r="M73" i="44"/>
  <c r="O73" i="44" s="1"/>
  <c r="N12" i="44"/>
  <c r="M12" i="44"/>
  <c r="N14" i="44"/>
  <c r="M14" i="44"/>
  <c r="O14" i="44" s="1"/>
  <c r="M44" i="44"/>
  <c r="O44" i="44" s="1"/>
  <c r="N44" i="44"/>
  <c r="M40" i="44"/>
  <c r="O40" i="44" s="1"/>
  <c r="N40" i="44"/>
  <c r="N67" i="44"/>
  <c r="M67" i="44"/>
  <c r="O67" i="44" s="1"/>
  <c r="N46" i="44"/>
  <c r="M46" i="44"/>
  <c r="O46" i="44" s="1"/>
  <c r="N65" i="44"/>
  <c r="M65" i="44"/>
  <c r="O65" i="44" s="1"/>
  <c r="N22" i="44"/>
  <c r="M22" i="44"/>
  <c r="O22" i="44" s="1"/>
  <c r="N48" i="44"/>
  <c r="M48" i="44"/>
  <c r="O48" i="44" s="1"/>
  <c r="M43" i="44"/>
  <c r="O43" i="44" s="1"/>
  <c r="N43" i="44"/>
  <c r="M39" i="44"/>
  <c r="O39" i="44" s="1"/>
  <c r="N39" i="44"/>
  <c r="N47" i="44"/>
  <c r="M47" i="44"/>
  <c r="O47" i="44" s="1"/>
  <c r="N18" i="44"/>
  <c r="M18" i="44"/>
  <c r="O18" i="44" s="1"/>
  <c r="N68" i="44"/>
  <c r="M68" i="44"/>
  <c r="O68" i="44" s="1"/>
  <c r="N71" i="44"/>
  <c r="M71" i="44"/>
  <c r="O71" i="44" s="1"/>
  <c r="N36" i="44"/>
  <c r="M36" i="44"/>
  <c r="O36" i="44" s="1"/>
  <c r="M42" i="44"/>
  <c r="O42" i="44" s="1"/>
  <c r="N42" i="44"/>
  <c r="N57" i="44"/>
  <c r="M57" i="44"/>
  <c r="O57" i="44" s="1"/>
  <c r="N28" i="44"/>
  <c r="M28" i="44"/>
  <c r="O28" i="44" s="1"/>
  <c r="N77" i="44"/>
  <c r="M77" i="44"/>
  <c r="O77" i="44" s="1"/>
  <c r="N76" i="44"/>
  <c r="M76" i="44"/>
  <c r="O76" i="44" s="1"/>
  <c r="O11" i="43"/>
  <c r="M11" i="43"/>
  <c r="L9" i="43" s="1"/>
  <c r="M11" i="42"/>
  <c r="L9" i="42" s="1"/>
  <c r="O12" i="42"/>
  <c r="O11" i="42" s="1"/>
  <c r="M11" i="44" l="1"/>
  <c r="L9" i="44" s="1"/>
  <c r="O12" i="44"/>
  <c r="O11" i="44" s="1"/>
  <c r="J79" i="41" l="1"/>
  <c r="H79" i="41"/>
  <c r="K79" i="41"/>
  <c r="J78" i="41"/>
  <c r="H78" i="41"/>
  <c r="K78" i="41"/>
  <c r="J77" i="41"/>
  <c r="H77" i="41"/>
  <c r="K77" i="41"/>
  <c r="J76" i="41"/>
  <c r="H76" i="41"/>
  <c r="K76" i="41"/>
  <c r="J75" i="41"/>
  <c r="H75" i="41"/>
  <c r="K75" i="41"/>
  <c r="J74" i="41"/>
  <c r="H74" i="41"/>
  <c r="K74" i="41"/>
  <c r="J73" i="41"/>
  <c r="H73" i="41"/>
  <c r="K73" i="41"/>
  <c r="J72" i="41"/>
  <c r="H72" i="41"/>
  <c r="K72" i="41"/>
  <c r="J71" i="41"/>
  <c r="H71" i="41"/>
  <c r="K71" i="41"/>
  <c r="J70" i="41"/>
  <c r="H70" i="41"/>
  <c r="K70" i="41"/>
  <c r="J69" i="41"/>
  <c r="H69" i="41"/>
  <c r="K69" i="41"/>
  <c r="J68" i="41"/>
  <c r="H68" i="41"/>
  <c r="K68" i="41"/>
  <c r="J67" i="41"/>
  <c r="H67" i="41"/>
  <c r="K67" i="41"/>
  <c r="J66" i="41"/>
  <c r="H66" i="41"/>
  <c r="K66" i="41"/>
  <c r="J65" i="41"/>
  <c r="H65" i="41"/>
  <c r="K65" i="41"/>
  <c r="J64" i="41"/>
  <c r="H64" i="41"/>
  <c r="K64" i="41"/>
  <c r="J63" i="41"/>
  <c r="H63" i="41"/>
  <c r="K63" i="41"/>
  <c r="J62" i="41"/>
  <c r="H62" i="41"/>
  <c r="K62" i="41"/>
  <c r="J61" i="41"/>
  <c r="H61" i="41"/>
  <c r="K61" i="41"/>
  <c r="J60" i="41"/>
  <c r="H60" i="41"/>
  <c r="K60" i="41"/>
  <c r="J59" i="41"/>
  <c r="H59" i="41"/>
  <c r="K59" i="41"/>
  <c r="J58" i="41"/>
  <c r="H58" i="41"/>
  <c r="K58" i="41"/>
  <c r="J57" i="41"/>
  <c r="H57" i="41"/>
  <c r="K57" i="41"/>
  <c r="J56" i="41"/>
  <c r="H56" i="41"/>
  <c r="K56" i="41"/>
  <c r="J55" i="41"/>
  <c r="H55" i="41"/>
  <c r="K55" i="41"/>
  <c r="J54" i="41"/>
  <c r="H54" i="41"/>
  <c r="K54" i="41"/>
  <c r="J53" i="41"/>
  <c r="H53" i="41"/>
  <c r="K53" i="41"/>
  <c r="J52" i="41"/>
  <c r="H52" i="41"/>
  <c r="K52" i="41"/>
  <c r="J51" i="41"/>
  <c r="H51" i="41"/>
  <c r="K51" i="41"/>
  <c r="J50" i="41"/>
  <c r="H50" i="41"/>
  <c r="K50" i="41"/>
  <c r="J49" i="41"/>
  <c r="H49" i="41"/>
  <c r="K49" i="41"/>
  <c r="J48" i="41"/>
  <c r="H48" i="41"/>
  <c r="K48" i="41"/>
  <c r="J47" i="41"/>
  <c r="H47" i="41"/>
  <c r="K46" i="41"/>
  <c r="J46" i="41"/>
  <c r="H46" i="41"/>
  <c r="K45" i="41"/>
  <c r="J45" i="41"/>
  <c r="H45" i="41"/>
  <c r="K44" i="41"/>
  <c r="J44" i="41"/>
  <c r="H44" i="41"/>
  <c r="J43" i="41"/>
  <c r="H43" i="41"/>
  <c r="K43" i="41"/>
  <c r="J42" i="41"/>
  <c r="H42" i="41"/>
  <c r="K42" i="41"/>
  <c r="K41" i="41"/>
  <c r="J41" i="41"/>
  <c r="H41" i="41"/>
  <c r="J40" i="41"/>
  <c r="H40" i="41"/>
  <c r="K40" i="41"/>
  <c r="K39" i="41"/>
  <c r="J39" i="41"/>
  <c r="H39" i="41"/>
  <c r="J38" i="41"/>
  <c r="H38" i="41"/>
  <c r="K38" i="41"/>
  <c r="J37" i="41"/>
  <c r="H37" i="41"/>
  <c r="K37" i="41"/>
  <c r="J36" i="41"/>
  <c r="H36" i="41"/>
  <c r="K36" i="41"/>
  <c r="K35" i="41"/>
  <c r="J35" i="41"/>
  <c r="H35" i="41"/>
  <c r="J34" i="41"/>
  <c r="H34" i="41"/>
  <c r="K34" i="41"/>
  <c r="J33" i="41"/>
  <c r="H33" i="41"/>
  <c r="K33" i="41"/>
  <c r="J32" i="41"/>
  <c r="H32" i="41"/>
  <c r="K32" i="41"/>
  <c r="J31" i="41"/>
  <c r="H31" i="41"/>
  <c r="K31" i="41"/>
  <c r="J30" i="41"/>
  <c r="H30" i="41"/>
  <c r="K30" i="41"/>
  <c r="J29" i="41"/>
  <c r="H29" i="41"/>
  <c r="K29" i="41"/>
  <c r="J28" i="41"/>
  <c r="H28" i="41"/>
  <c r="K28" i="41"/>
  <c r="J27" i="41"/>
  <c r="H27" i="41"/>
  <c r="K27" i="41"/>
  <c r="J26" i="41"/>
  <c r="H26" i="41"/>
  <c r="K26" i="41"/>
  <c r="J25" i="41"/>
  <c r="H25" i="41"/>
  <c r="K25" i="41"/>
  <c r="J24" i="41"/>
  <c r="H24" i="41"/>
  <c r="K24" i="41"/>
  <c r="J23" i="41"/>
  <c r="H23" i="41"/>
  <c r="K23" i="41"/>
  <c r="J22" i="41"/>
  <c r="H22" i="41"/>
  <c r="K22" i="41"/>
  <c r="J20" i="41"/>
  <c r="H20" i="41"/>
  <c r="K20" i="41"/>
  <c r="J19" i="41"/>
  <c r="H19" i="41"/>
  <c r="K19" i="41"/>
  <c r="J18" i="41"/>
  <c r="H18" i="41"/>
  <c r="K18" i="41"/>
  <c r="J17" i="41"/>
  <c r="H17" i="41"/>
  <c r="K17" i="41"/>
  <c r="J16" i="41"/>
  <c r="H16" i="41"/>
  <c r="K16" i="41"/>
  <c r="J15" i="41"/>
  <c r="H15" i="41"/>
  <c r="K15" i="41"/>
  <c r="J14" i="41"/>
  <c r="H14" i="41"/>
  <c r="K14" i="41"/>
  <c r="J13" i="41"/>
  <c r="H13" i="41"/>
  <c r="K13" i="41"/>
  <c r="J12" i="41"/>
  <c r="H12" i="41"/>
  <c r="K12" i="41"/>
  <c r="I11" i="41"/>
  <c r="J9" i="41"/>
  <c r="I9" i="41" s="1"/>
  <c r="I1" i="41" s="1"/>
  <c r="L5" i="41"/>
  <c r="M5" i="41" s="1"/>
  <c r="B6" i="41"/>
  <c r="B7" i="41" s="1"/>
  <c r="P36" i="41" l="1"/>
  <c r="F11" i="41"/>
  <c r="Q79" i="41"/>
  <c r="Q38" i="41"/>
  <c r="Q34" i="41"/>
  <c r="Q69" i="41"/>
  <c r="Q46" i="41"/>
  <c r="Q39" i="41"/>
  <c r="Q35" i="41"/>
  <c r="Q32" i="41"/>
  <c r="P34" i="41"/>
  <c r="P32" i="41"/>
  <c r="Q36" i="41"/>
  <c r="P35" i="41"/>
  <c r="P38" i="41"/>
  <c r="P37" i="41"/>
  <c r="J11" i="41"/>
  <c r="Q37" i="41"/>
  <c r="P79" i="41"/>
  <c r="P46" i="41"/>
  <c r="P39" i="41"/>
  <c r="K11" i="41"/>
  <c r="L21" i="41" s="1"/>
  <c r="P69" i="41"/>
  <c r="M21" i="41" l="1"/>
  <c r="O21" i="41" s="1"/>
  <c r="N21" i="41"/>
  <c r="L18" i="41"/>
  <c r="L69" i="41"/>
  <c r="L27" i="41"/>
  <c r="L63" i="41"/>
  <c r="L31" i="41"/>
  <c r="L58" i="41"/>
  <c r="L14" i="41"/>
  <c r="L35" i="41"/>
  <c r="L23" i="41"/>
  <c r="L19" i="41"/>
  <c r="L40" i="41"/>
  <c r="L72" i="41"/>
  <c r="L60" i="41"/>
  <c r="L55" i="41"/>
  <c r="L59" i="41"/>
  <c r="L79" i="41"/>
  <c r="L76" i="41"/>
  <c r="L29" i="41"/>
  <c r="L57" i="41"/>
  <c r="L78" i="41"/>
  <c r="L74" i="41"/>
  <c r="L73" i="41"/>
  <c r="L22" i="41"/>
  <c r="L32" i="41"/>
  <c r="L61" i="41"/>
  <c r="L41" i="41"/>
  <c r="L15" i="41"/>
  <c r="L64" i="41"/>
  <c r="L62" i="41"/>
  <c r="L53" i="41"/>
  <c r="L52" i="41"/>
  <c r="L43" i="41"/>
  <c r="L77" i="41"/>
  <c r="L39" i="41"/>
  <c r="L37" i="41"/>
  <c r="L26" i="41"/>
  <c r="L50" i="41"/>
  <c r="L48" i="41"/>
  <c r="L66" i="41"/>
  <c r="L65" i="41"/>
  <c r="L28" i="41"/>
  <c r="L24" i="41"/>
  <c r="L30" i="41"/>
  <c r="L49" i="41"/>
  <c r="L71" i="41"/>
  <c r="L44" i="41"/>
  <c r="L54" i="41"/>
  <c r="L38" i="41"/>
  <c r="L75" i="41"/>
  <c r="L34" i="41"/>
  <c r="L12" i="41"/>
  <c r="L16" i="41"/>
  <c r="L33" i="41"/>
  <c r="L17" i="41"/>
  <c r="L36" i="41"/>
  <c r="L13" i="41"/>
  <c r="L56" i="41"/>
  <c r="L20" i="41"/>
  <c r="L45" i="41"/>
  <c r="L68" i="41"/>
  <c r="L25" i="41"/>
  <c r="L46" i="41"/>
  <c r="L70" i="41"/>
  <c r="L42" i="41"/>
  <c r="L67" i="41"/>
  <c r="L51" i="41"/>
  <c r="N79" i="41" l="1"/>
  <c r="M79" i="41"/>
  <c r="O79" i="41" s="1"/>
  <c r="N68" i="41"/>
  <c r="M68" i="41"/>
  <c r="O68" i="41" s="1"/>
  <c r="N33" i="41"/>
  <c r="M33" i="41"/>
  <c r="O33" i="41" s="1"/>
  <c r="N71" i="41"/>
  <c r="M71" i="41"/>
  <c r="O71" i="41" s="1"/>
  <c r="N48" i="41"/>
  <c r="M48" i="41"/>
  <c r="O48" i="41" s="1"/>
  <c r="M22" i="41"/>
  <c r="O22" i="41" s="1"/>
  <c r="N22" i="41"/>
  <c r="N59" i="41"/>
  <c r="M59" i="41"/>
  <c r="O59" i="41" s="1"/>
  <c r="M14" i="41"/>
  <c r="O14" i="41" s="1"/>
  <c r="N14" i="41"/>
  <c r="M45" i="41"/>
  <c r="O45" i="41" s="1"/>
  <c r="N45" i="41"/>
  <c r="M16" i="41"/>
  <c r="O16" i="41" s="1"/>
  <c r="N16" i="41"/>
  <c r="N49" i="41"/>
  <c r="M49" i="41"/>
  <c r="O49" i="41" s="1"/>
  <c r="N50" i="41"/>
  <c r="M50" i="41"/>
  <c r="O50" i="41" s="1"/>
  <c r="N53" i="41"/>
  <c r="M53" i="41"/>
  <c r="O53" i="41" s="1"/>
  <c r="N73" i="41"/>
  <c r="M73" i="41"/>
  <c r="O73" i="41" s="1"/>
  <c r="N55" i="41"/>
  <c r="M55" i="41"/>
  <c r="O55" i="41" s="1"/>
  <c r="N58" i="41"/>
  <c r="M58" i="41"/>
  <c r="O58" i="41" s="1"/>
  <c r="N51" i="41"/>
  <c r="M51" i="41"/>
  <c r="O51" i="41" s="1"/>
  <c r="M20" i="41"/>
  <c r="O20" i="41" s="1"/>
  <c r="N20" i="41"/>
  <c r="M12" i="41"/>
  <c r="N12" i="41"/>
  <c r="M30" i="41"/>
  <c r="O30" i="41" s="1"/>
  <c r="N30" i="41"/>
  <c r="M26" i="41"/>
  <c r="O26" i="41" s="1"/>
  <c r="N26" i="41"/>
  <c r="N62" i="41"/>
  <c r="M62" i="41"/>
  <c r="O62" i="41" s="1"/>
  <c r="N74" i="41"/>
  <c r="M74" i="41"/>
  <c r="O74" i="41" s="1"/>
  <c r="N60" i="41"/>
  <c r="M60" i="41"/>
  <c r="O60" i="41" s="1"/>
  <c r="M31" i="41"/>
  <c r="O31" i="41" s="1"/>
  <c r="N31" i="41"/>
  <c r="M37" i="41"/>
  <c r="O37" i="41" s="1"/>
  <c r="N37" i="41"/>
  <c r="N64" i="41"/>
  <c r="M64" i="41"/>
  <c r="O64" i="41" s="1"/>
  <c r="N78" i="41"/>
  <c r="M78" i="41"/>
  <c r="O78" i="41" s="1"/>
  <c r="N63" i="41"/>
  <c r="M63" i="41"/>
  <c r="O63" i="41" s="1"/>
  <c r="M46" i="41"/>
  <c r="O46" i="41" s="1"/>
  <c r="N46" i="41"/>
  <c r="M25" i="41"/>
  <c r="O25" i="41" s="1"/>
  <c r="N25" i="41"/>
  <c r="M44" i="41"/>
  <c r="O44" i="41" s="1"/>
  <c r="N44" i="41"/>
  <c r="N34" i="41"/>
  <c r="M34" i="41"/>
  <c r="O34" i="41" s="1"/>
  <c r="M24" i="41"/>
  <c r="O24" i="41" s="1"/>
  <c r="N24" i="41"/>
  <c r="N72" i="41"/>
  <c r="M72" i="41"/>
  <c r="O72" i="41" s="1"/>
  <c r="M42" i="41"/>
  <c r="O42" i="41" s="1"/>
  <c r="N42" i="41"/>
  <c r="N75" i="41"/>
  <c r="M75" i="41"/>
  <c r="O75" i="41" s="1"/>
  <c r="M28" i="41"/>
  <c r="O28" i="41" s="1"/>
  <c r="N28" i="41"/>
  <c r="M39" i="41"/>
  <c r="O39" i="41" s="1"/>
  <c r="N39" i="41"/>
  <c r="M15" i="41"/>
  <c r="O15" i="41" s="1"/>
  <c r="N15" i="41"/>
  <c r="N57" i="41"/>
  <c r="M57" i="41"/>
  <c r="O57" i="41" s="1"/>
  <c r="M40" i="41"/>
  <c r="O40" i="41" s="1"/>
  <c r="N40" i="41"/>
  <c r="M27" i="41"/>
  <c r="O27" i="41" s="1"/>
  <c r="N27" i="41"/>
  <c r="M32" i="41"/>
  <c r="O32" i="41" s="1"/>
  <c r="N32" i="41"/>
  <c r="N67" i="41"/>
  <c r="M67" i="41"/>
  <c r="O67" i="41" s="1"/>
  <c r="N56" i="41"/>
  <c r="M56" i="41"/>
  <c r="O56" i="41" s="1"/>
  <c r="N70" i="41"/>
  <c r="M70" i="41"/>
  <c r="O70" i="41" s="1"/>
  <c r="M13" i="41"/>
  <c r="O13" i="41" s="1"/>
  <c r="N13" i="41"/>
  <c r="N38" i="41"/>
  <c r="M38" i="41"/>
  <c r="O38" i="41" s="1"/>
  <c r="N65" i="41"/>
  <c r="M65" i="41"/>
  <c r="O65" i="41" s="1"/>
  <c r="N77" i="41"/>
  <c r="M77" i="41"/>
  <c r="O77" i="41" s="1"/>
  <c r="M41" i="41"/>
  <c r="O41" i="41" s="1"/>
  <c r="N41" i="41"/>
  <c r="M29" i="41"/>
  <c r="O29" i="41" s="1"/>
  <c r="N29" i="41"/>
  <c r="M19" i="41"/>
  <c r="O19" i="41" s="1"/>
  <c r="N19" i="41"/>
  <c r="N69" i="41"/>
  <c r="M69" i="41"/>
  <c r="O69" i="41" s="1"/>
  <c r="M36" i="41"/>
  <c r="O36" i="41" s="1"/>
  <c r="N36" i="41"/>
  <c r="N54" i="41"/>
  <c r="M54" i="41"/>
  <c r="O54" i="41" s="1"/>
  <c r="M43" i="41"/>
  <c r="O43" i="41" s="1"/>
  <c r="N43" i="41"/>
  <c r="N61" i="41"/>
  <c r="M61" i="41"/>
  <c r="O61" i="41" s="1"/>
  <c r="N76" i="41"/>
  <c r="M76" i="41"/>
  <c r="O76" i="41" s="1"/>
  <c r="M23" i="41"/>
  <c r="O23" i="41" s="1"/>
  <c r="N23" i="41"/>
  <c r="M18" i="41"/>
  <c r="O18" i="41" s="1"/>
  <c r="N18" i="41"/>
  <c r="M17" i="41"/>
  <c r="O17" i="41" s="1"/>
  <c r="N17" i="41"/>
  <c r="N66" i="41"/>
  <c r="M66" i="41"/>
  <c r="O66" i="41" s="1"/>
  <c r="N52" i="41"/>
  <c r="M52" i="41"/>
  <c r="O52" i="41" s="1"/>
  <c r="N35" i="41"/>
  <c r="M35" i="41"/>
  <c r="O35" i="41" s="1"/>
  <c r="N47" i="41"/>
  <c r="O47" i="41"/>
  <c r="M11" i="41" l="1"/>
  <c r="L9" i="41" s="1"/>
  <c r="O12" i="41"/>
  <c r="O11" i="41" s="1"/>
  <c r="C3" i="40" l="1"/>
  <c r="B3" i="40"/>
  <c r="I6" i="40"/>
  <c r="B3" i="39" l="1"/>
  <c r="J5" i="39"/>
  <c r="O5" i="40"/>
  <c r="N5" i="40"/>
  <c r="B4" i="40"/>
  <c r="B4" i="38"/>
  <c r="H84" i="40"/>
  <c r="B84" i="40"/>
  <c r="K84" i="40" s="1"/>
  <c r="H83" i="40"/>
  <c r="B83" i="40"/>
  <c r="K83" i="40" s="1"/>
  <c r="H82" i="40"/>
  <c r="B82" i="40"/>
  <c r="K82" i="40" s="1"/>
  <c r="H81" i="40"/>
  <c r="B81" i="40"/>
  <c r="K81" i="40" s="1"/>
  <c r="H80" i="40"/>
  <c r="B80" i="40"/>
  <c r="K80" i="40" s="1"/>
  <c r="H79" i="40"/>
  <c r="B79" i="40"/>
  <c r="K79" i="40" s="1"/>
  <c r="H78" i="40"/>
  <c r="B78" i="40"/>
  <c r="K78" i="40" s="1"/>
  <c r="H77" i="40"/>
  <c r="B77" i="40"/>
  <c r="K77" i="40" s="1"/>
  <c r="H76" i="40"/>
  <c r="B76" i="40"/>
  <c r="K76" i="40" s="1"/>
  <c r="H75" i="40"/>
  <c r="B75" i="40"/>
  <c r="K75" i="40" s="1"/>
  <c r="H74" i="40"/>
  <c r="B74" i="40"/>
  <c r="K74" i="40" s="1"/>
  <c r="H73" i="40"/>
  <c r="B73" i="40"/>
  <c r="K73" i="40" s="1"/>
  <c r="H72" i="40"/>
  <c r="B72" i="40"/>
  <c r="K72" i="40" s="1"/>
  <c r="H71" i="40"/>
  <c r="B71" i="40"/>
  <c r="K71" i="40" s="1"/>
  <c r="H70" i="40"/>
  <c r="B70" i="40"/>
  <c r="K70" i="40" s="1"/>
  <c r="H69" i="40"/>
  <c r="B69" i="40"/>
  <c r="K69" i="40" s="1"/>
  <c r="H68" i="40"/>
  <c r="B68" i="40"/>
  <c r="K68" i="40" s="1"/>
  <c r="H67" i="40"/>
  <c r="B67" i="40"/>
  <c r="K67" i="40" s="1"/>
  <c r="H66" i="40"/>
  <c r="B66" i="40"/>
  <c r="K66" i="40" s="1"/>
  <c r="H65" i="40"/>
  <c r="B65" i="40"/>
  <c r="K65" i="40" s="1"/>
  <c r="H64" i="40"/>
  <c r="B64" i="40"/>
  <c r="K64" i="40" s="1"/>
  <c r="H63" i="40"/>
  <c r="B63" i="40"/>
  <c r="K63" i="40" s="1"/>
  <c r="H62" i="40"/>
  <c r="B62" i="40"/>
  <c r="K62" i="40" s="1"/>
  <c r="H61" i="40"/>
  <c r="B61" i="40"/>
  <c r="K61" i="40" s="1"/>
  <c r="H60" i="40"/>
  <c r="B60" i="40"/>
  <c r="K60" i="40" s="1"/>
  <c r="H59" i="40"/>
  <c r="B59" i="40"/>
  <c r="K59" i="40" s="1"/>
  <c r="H58" i="40"/>
  <c r="B58" i="40"/>
  <c r="K58" i="40" s="1"/>
  <c r="H57" i="40"/>
  <c r="B57" i="40"/>
  <c r="K57" i="40" s="1"/>
  <c r="H56" i="40"/>
  <c r="B56" i="40"/>
  <c r="K56" i="40" s="1"/>
  <c r="H55" i="40"/>
  <c r="B55" i="40"/>
  <c r="K55" i="40" s="1"/>
  <c r="H54" i="40"/>
  <c r="B54" i="40"/>
  <c r="K54" i="40" s="1"/>
  <c r="H53" i="40"/>
  <c r="B53" i="40"/>
  <c r="K53" i="40" s="1"/>
  <c r="H52" i="40"/>
  <c r="B52" i="40"/>
  <c r="K52" i="40" s="1"/>
  <c r="H51" i="40"/>
  <c r="B51" i="40"/>
  <c r="K51" i="40" s="1"/>
  <c r="H50" i="40"/>
  <c r="B50" i="40"/>
  <c r="K50" i="40" s="1"/>
  <c r="H49" i="40"/>
  <c r="B49" i="40"/>
  <c r="K49" i="40" s="1"/>
  <c r="H48" i="40"/>
  <c r="B48" i="40"/>
  <c r="K48" i="40" s="1"/>
  <c r="H47" i="40"/>
  <c r="B47" i="40"/>
  <c r="K47" i="40" s="1"/>
  <c r="K46" i="40"/>
  <c r="H46" i="40"/>
  <c r="B46" i="40"/>
  <c r="H45" i="40"/>
  <c r="B45" i="40"/>
  <c r="K45" i="40" s="1"/>
  <c r="H44" i="40"/>
  <c r="B44" i="40"/>
  <c r="K44" i="40" s="1"/>
  <c r="H43" i="40"/>
  <c r="B43" i="40"/>
  <c r="K43" i="40" s="1"/>
  <c r="H42" i="40"/>
  <c r="B42" i="40"/>
  <c r="K42" i="40" s="1"/>
  <c r="H41" i="40"/>
  <c r="B41" i="40"/>
  <c r="K41" i="40" s="1"/>
  <c r="H40" i="40"/>
  <c r="B40" i="40"/>
  <c r="K40" i="40" s="1"/>
  <c r="H39" i="40"/>
  <c r="B39" i="40"/>
  <c r="K39" i="40" s="1"/>
  <c r="H38" i="40"/>
  <c r="B38" i="40"/>
  <c r="K38" i="40" s="1"/>
  <c r="H37" i="40"/>
  <c r="B37" i="40"/>
  <c r="K37" i="40" s="1"/>
  <c r="H36" i="40"/>
  <c r="B36" i="40"/>
  <c r="K36" i="40" s="1"/>
  <c r="H35" i="40"/>
  <c r="B35" i="40"/>
  <c r="K35" i="40" s="1"/>
  <c r="H34" i="40"/>
  <c r="B34" i="40"/>
  <c r="K34" i="40" s="1"/>
  <c r="H33" i="40"/>
  <c r="B33" i="40"/>
  <c r="K33" i="40" s="1"/>
  <c r="H32" i="40"/>
  <c r="B32" i="40"/>
  <c r="K32" i="40" s="1"/>
  <c r="H31" i="40"/>
  <c r="B31" i="40"/>
  <c r="K31" i="40" s="1"/>
  <c r="H30" i="40"/>
  <c r="B30" i="40"/>
  <c r="K30" i="40" s="1"/>
  <c r="H29" i="40"/>
  <c r="B29" i="40"/>
  <c r="K29" i="40" s="1"/>
  <c r="H28" i="40"/>
  <c r="B28" i="40"/>
  <c r="K28" i="40" s="1"/>
  <c r="H27" i="40"/>
  <c r="B27" i="40"/>
  <c r="K27" i="40" s="1"/>
  <c r="H26" i="40"/>
  <c r="B26" i="40"/>
  <c r="K26" i="40" s="1"/>
  <c r="H25" i="40"/>
  <c r="B25" i="40"/>
  <c r="K25" i="40" s="1"/>
  <c r="H24" i="40"/>
  <c r="B24" i="40"/>
  <c r="K24" i="40" s="1"/>
  <c r="H23" i="40"/>
  <c r="B23" i="40"/>
  <c r="K23" i="40" s="1"/>
  <c r="H22" i="40"/>
  <c r="B22" i="40"/>
  <c r="K22" i="40" s="1"/>
  <c r="H21" i="40"/>
  <c r="B21" i="40"/>
  <c r="K21" i="40" s="1"/>
  <c r="H20" i="40"/>
  <c r="B20" i="40"/>
  <c r="K20" i="40" s="1"/>
  <c r="H19" i="40"/>
  <c r="B19" i="40"/>
  <c r="K19" i="40" s="1"/>
  <c r="H18" i="40"/>
  <c r="B18" i="40"/>
  <c r="K18" i="40" s="1"/>
  <c r="H17" i="40"/>
  <c r="B17" i="40"/>
  <c r="K17" i="40" s="1"/>
  <c r="H16" i="40"/>
  <c r="B16" i="40"/>
  <c r="K16" i="40" s="1"/>
  <c r="H15" i="40"/>
  <c r="B15" i="40"/>
  <c r="K15" i="40" s="1"/>
  <c r="H14" i="40"/>
  <c r="B14" i="40"/>
  <c r="K14" i="40" s="1"/>
  <c r="H13" i="40"/>
  <c r="B13" i="40"/>
  <c r="K13" i="40" s="1"/>
  <c r="H12" i="40"/>
  <c r="B12" i="40"/>
  <c r="K12" i="40" s="1"/>
  <c r="I11" i="40"/>
  <c r="B6" i="40"/>
  <c r="B7" i="40" s="1"/>
  <c r="I6" i="39"/>
  <c r="B65" i="39"/>
  <c r="K65" i="39" s="1"/>
  <c r="H65" i="39"/>
  <c r="J65" i="39"/>
  <c r="B63" i="39"/>
  <c r="K63" i="39" s="1"/>
  <c r="H63" i="39"/>
  <c r="J63" i="39"/>
  <c r="B59" i="39"/>
  <c r="K59" i="39" s="1"/>
  <c r="H59" i="39"/>
  <c r="B23" i="39"/>
  <c r="K23" i="39" s="1"/>
  <c r="H23" i="39"/>
  <c r="B20" i="39"/>
  <c r="K20" i="39" s="1"/>
  <c r="H20" i="39"/>
  <c r="B18" i="39"/>
  <c r="K18" i="39" s="1"/>
  <c r="H18" i="39"/>
  <c r="O5" i="39"/>
  <c r="N5" i="39"/>
  <c r="J18" i="39"/>
  <c r="B4" i="39"/>
  <c r="H87" i="39"/>
  <c r="B87" i="39"/>
  <c r="K87" i="39" s="1"/>
  <c r="H86" i="39"/>
  <c r="B86" i="39"/>
  <c r="K86" i="39" s="1"/>
  <c r="H85" i="39"/>
  <c r="B85" i="39"/>
  <c r="K85" i="39" s="1"/>
  <c r="H84" i="39"/>
  <c r="B84" i="39"/>
  <c r="K84" i="39" s="1"/>
  <c r="H83" i="39"/>
  <c r="B83" i="39"/>
  <c r="K83" i="39" s="1"/>
  <c r="H82" i="39"/>
  <c r="B82" i="39"/>
  <c r="K82" i="39" s="1"/>
  <c r="H81" i="39"/>
  <c r="B81" i="39"/>
  <c r="K81" i="39" s="1"/>
  <c r="H80" i="39"/>
  <c r="B80" i="39"/>
  <c r="K80" i="39" s="1"/>
  <c r="H79" i="39"/>
  <c r="B79" i="39"/>
  <c r="K79" i="39" s="1"/>
  <c r="H78" i="39"/>
  <c r="B78" i="39"/>
  <c r="K78" i="39" s="1"/>
  <c r="H77" i="39"/>
  <c r="B77" i="39"/>
  <c r="K77" i="39" s="1"/>
  <c r="H76" i="39"/>
  <c r="B76" i="39"/>
  <c r="K76" i="39" s="1"/>
  <c r="H75" i="39"/>
  <c r="B75" i="39"/>
  <c r="K75" i="39" s="1"/>
  <c r="H74" i="39"/>
  <c r="B74" i="39"/>
  <c r="K74" i="39" s="1"/>
  <c r="H73" i="39"/>
  <c r="B73" i="39"/>
  <c r="K73" i="39" s="1"/>
  <c r="H72" i="39"/>
  <c r="B72" i="39"/>
  <c r="K72" i="39" s="1"/>
  <c r="H71" i="39"/>
  <c r="B71" i="39"/>
  <c r="K71" i="39" s="1"/>
  <c r="H70" i="39"/>
  <c r="B70" i="39"/>
  <c r="K70" i="39" s="1"/>
  <c r="H69" i="39"/>
  <c r="B69" i="39"/>
  <c r="K69" i="39" s="1"/>
  <c r="H68" i="39"/>
  <c r="B68" i="39"/>
  <c r="K68" i="39" s="1"/>
  <c r="H67" i="39"/>
  <c r="B67" i="39"/>
  <c r="K67" i="39" s="1"/>
  <c r="H66" i="39"/>
  <c r="B66" i="39"/>
  <c r="K66" i="39" s="1"/>
  <c r="H64" i="39"/>
  <c r="B64" i="39"/>
  <c r="K64" i="39" s="1"/>
  <c r="H62" i="39"/>
  <c r="B62" i="39"/>
  <c r="K62" i="39" s="1"/>
  <c r="H61" i="39"/>
  <c r="B61" i="39"/>
  <c r="K61" i="39" s="1"/>
  <c r="H60" i="39"/>
  <c r="B60" i="39"/>
  <c r="K60" i="39" s="1"/>
  <c r="H58" i="39"/>
  <c r="B58" i="39"/>
  <c r="K58" i="39" s="1"/>
  <c r="H57" i="39"/>
  <c r="B57" i="39"/>
  <c r="K57" i="39" s="1"/>
  <c r="H56" i="39"/>
  <c r="B56" i="39"/>
  <c r="K56" i="39" s="1"/>
  <c r="H55" i="39"/>
  <c r="B55" i="39"/>
  <c r="K55" i="39" s="1"/>
  <c r="H54" i="39"/>
  <c r="B54" i="39"/>
  <c r="K54" i="39" s="1"/>
  <c r="H53" i="39"/>
  <c r="B53" i="39"/>
  <c r="K53" i="39" s="1"/>
  <c r="H52" i="39"/>
  <c r="B52" i="39"/>
  <c r="K52" i="39" s="1"/>
  <c r="H51" i="39"/>
  <c r="B51" i="39"/>
  <c r="K51" i="39" s="1"/>
  <c r="H50" i="39"/>
  <c r="B50" i="39"/>
  <c r="K50" i="39" s="1"/>
  <c r="H49" i="39"/>
  <c r="B49" i="39"/>
  <c r="K49" i="39" s="1"/>
  <c r="H48" i="39"/>
  <c r="B48" i="39"/>
  <c r="K48" i="39" s="1"/>
  <c r="H47" i="39"/>
  <c r="B47" i="39"/>
  <c r="K47" i="39" s="1"/>
  <c r="H46" i="39"/>
  <c r="B46" i="39"/>
  <c r="K46" i="39" s="1"/>
  <c r="H45" i="39"/>
  <c r="B45" i="39"/>
  <c r="K45" i="39" s="1"/>
  <c r="H44" i="39"/>
  <c r="B44" i="39"/>
  <c r="K44" i="39" s="1"/>
  <c r="H43" i="39"/>
  <c r="B43" i="39"/>
  <c r="K43" i="39" s="1"/>
  <c r="H42" i="39"/>
  <c r="B42" i="39"/>
  <c r="K42" i="39" s="1"/>
  <c r="H41" i="39"/>
  <c r="B41" i="39"/>
  <c r="K41" i="39" s="1"/>
  <c r="H40" i="39"/>
  <c r="B40" i="39"/>
  <c r="K40" i="39" s="1"/>
  <c r="H39" i="39"/>
  <c r="B39" i="39"/>
  <c r="K39" i="39" s="1"/>
  <c r="H38" i="39"/>
  <c r="B38" i="39"/>
  <c r="K38" i="39" s="1"/>
  <c r="H37" i="39"/>
  <c r="B37" i="39"/>
  <c r="K37" i="39" s="1"/>
  <c r="H36" i="39"/>
  <c r="B36" i="39"/>
  <c r="K36" i="39" s="1"/>
  <c r="H35" i="39"/>
  <c r="B35" i="39"/>
  <c r="K35" i="39" s="1"/>
  <c r="H34" i="39"/>
  <c r="B34" i="39"/>
  <c r="K34" i="39" s="1"/>
  <c r="H33" i="39"/>
  <c r="B33" i="39"/>
  <c r="K33" i="39" s="1"/>
  <c r="H32" i="39"/>
  <c r="B32" i="39"/>
  <c r="K32" i="39" s="1"/>
  <c r="H31" i="39"/>
  <c r="B31" i="39"/>
  <c r="K31" i="39" s="1"/>
  <c r="H30" i="39"/>
  <c r="B30" i="39"/>
  <c r="K30" i="39" s="1"/>
  <c r="H29" i="39"/>
  <c r="B29" i="39"/>
  <c r="K29" i="39" s="1"/>
  <c r="H28" i="39"/>
  <c r="B28" i="39"/>
  <c r="K28" i="39" s="1"/>
  <c r="H27" i="39"/>
  <c r="B27" i="39"/>
  <c r="K27" i="39" s="1"/>
  <c r="H26" i="39"/>
  <c r="B26" i="39"/>
  <c r="K26" i="39" s="1"/>
  <c r="H25" i="39"/>
  <c r="B25" i="39"/>
  <c r="K25" i="39" s="1"/>
  <c r="H24" i="39"/>
  <c r="B24" i="39"/>
  <c r="K24" i="39" s="1"/>
  <c r="H22" i="39"/>
  <c r="B22" i="39"/>
  <c r="K22" i="39" s="1"/>
  <c r="H21" i="39"/>
  <c r="B21" i="39"/>
  <c r="K21" i="39" s="1"/>
  <c r="H19" i="39"/>
  <c r="B19" i="39"/>
  <c r="K19" i="39" s="1"/>
  <c r="H17" i="39"/>
  <c r="B17" i="39"/>
  <c r="K17" i="39" s="1"/>
  <c r="H16" i="39"/>
  <c r="B16" i="39"/>
  <c r="K16" i="39" s="1"/>
  <c r="H15" i="39"/>
  <c r="B15" i="39"/>
  <c r="K15" i="39" s="1"/>
  <c r="H14" i="39"/>
  <c r="B14" i="39"/>
  <c r="K14" i="39" s="1"/>
  <c r="H13" i="39"/>
  <c r="B13" i="39"/>
  <c r="K13" i="39" s="1"/>
  <c r="H12" i="39"/>
  <c r="B12" i="39"/>
  <c r="K12" i="39" s="1"/>
  <c r="I11" i="39"/>
  <c r="J6" i="38"/>
  <c r="Q38" i="40" l="1"/>
  <c r="P41" i="40"/>
  <c r="Q34" i="40"/>
  <c r="J68" i="40"/>
  <c r="J65" i="40"/>
  <c r="J60" i="40"/>
  <c r="J53" i="40"/>
  <c r="J48" i="40"/>
  <c r="J46" i="40"/>
  <c r="J44" i="40"/>
  <c r="J42" i="40"/>
  <c r="J21" i="40"/>
  <c r="J58" i="40"/>
  <c r="J50" i="40"/>
  <c r="J27" i="40"/>
  <c r="J71" i="40"/>
  <c r="J55" i="40"/>
  <c r="J36" i="40"/>
  <c r="J33" i="40"/>
  <c r="J17" i="40"/>
  <c r="J31" i="40"/>
  <c r="J67" i="40"/>
  <c r="J59" i="40"/>
  <c r="J52" i="40"/>
  <c r="J23" i="40"/>
  <c r="J57" i="40"/>
  <c r="J49" i="40"/>
  <c r="J47" i="40"/>
  <c r="J45" i="40"/>
  <c r="J43" i="40"/>
  <c r="J38" i="40"/>
  <c r="J29" i="40"/>
  <c r="J13" i="40"/>
  <c r="J73" i="40"/>
  <c r="J63" i="40"/>
  <c r="J54" i="40"/>
  <c r="J35" i="40"/>
  <c r="J19" i="40"/>
  <c r="L5" i="40"/>
  <c r="M5" i="40" s="1"/>
  <c r="J51" i="40"/>
  <c r="J40" i="40"/>
  <c r="J25" i="40"/>
  <c r="J56" i="40"/>
  <c r="J15" i="40"/>
  <c r="P34" i="40"/>
  <c r="J62" i="40"/>
  <c r="J69" i="40"/>
  <c r="J74" i="40"/>
  <c r="F11" i="40"/>
  <c r="J14" i="40"/>
  <c r="J22" i="40"/>
  <c r="J30" i="40"/>
  <c r="P38" i="40"/>
  <c r="P48" i="40"/>
  <c r="J61" i="40"/>
  <c r="J64" i="40"/>
  <c r="J72" i="40"/>
  <c r="Q84" i="40"/>
  <c r="Q40" i="40"/>
  <c r="Q36" i="40"/>
  <c r="P84" i="40"/>
  <c r="Q74" i="40"/>
  <c r="P74" i="40"/>
  <c r="Q48" i="40"/>
  <c r="Q41" i="40"/>
  <c r="Q37" i="40"/>
  <c r="P39" i="40"/>
  <c r="P40" i="40"/>
  <c r="J16" i="40"/>
  <c r="J24" i="40"/>
  <c r="J32" i="40"/>
  <c r="Q39" i="40"/>
  <c r="J70" i="40"/>
  <c r="K11" i="40"/>
  <c r="L54" i="40" s="1"/>
  <c r="J18" i="40"/>
  <c r="J26" i="40"/>
  <c r="J34" i="40"/>
  <c r="P37" i="40"/>
  <c r="P36" i="40"/>
  <c r="J41" i="40"/>
  <c r="J37" i="40"/>
  <c r="J84" i="40"/>
  <c r="J82" i="40"/>
  <c r="J80" i="40"/>
  <c r="J78" i="40"/>
  <c r="J77" i="40"/>
  <c r="J75" i="40"/>
  <c r="J83" i="40"/>
  <c r="J81" i="40"/>
  <c r="J79" i="40"/>
  <c r="J76" i="40"/>
  <c r="J9" i="40"/>
  <c r="I9" i="40" s="1"/>
  <c r="I1" i="40" s="1"/>
  <c r="J12" i="40"/>
  <c r="J20" i="40"/>
  <c r="J28" i="40"/>
  <c r="J39" i="40"/>
  <c r="J66" i="40"/>
  <c r="J59" i="39"/>
  <c r="J23" i="39"/>
  <c r="J20" i="39"/>
  <c r="J47" i="39"/>
  <c r="J60" i="39"/>
  <c r="P40" i="39"/>
  <c r="J33" i="39"/>
  <c r="J72" i="39"/>
  <c r="J25" i="39"/>
  <c r="J43" i="39"/>
  <c r="J29" i="39"/>
  <c r="J51" i="39"/>
  <c r="P39" i="39"/>
  <c r="J70" i="39"/>
  <c r="P36" i="39"/>
  <c r="J38" i="39"/>
  <c r="J49" i="39"/>
  <c r="J57" i="39"/>
  <c r="J68" i="39"/>
  <c r="J76" i="39"/>
  <c r="J24" i="39"/>
  <c r="J32" i="39"/>
  <c r="Q34" i="39"/>
  <c r="Q39" i="39"/>
  <c r="J44" i="39"/>
  <c r="J13" i="39"/>
  <c r="J15" i="39"/>
  <c r="J17" i="39"/>
  <c r="J21" i="39"/>
  <c r="J27" i="39"/>
  <c r="B6" i="39"/>
  <c r="J30" i="39"/>
  <c r="P37" i="39"/>
  <c r="P38" i="39"/>
  <c r="J46" i="39"/>
  <c r="J52" i="39"/>
  <c r="J61" i="39"/>
  <c r="J71" i="39"/>
  <c r="P77" i="39"/>
  <c r="J55" i="39"/>
  <c r="J66" i="39"/>
  <c r="J74" i="39"/>
  <c r="P34" i="39"/>
  <c r="J77" i="39"/>
  <c r="J28" i="39"/>
  <c r="J48" i="39"/>
  <c r="J50" i="39"/>
  <c r="J58" i="39"/>
  <c r="J69" i="39"/>
  <c r="J12" i="39"/>
  <c r="J14" i="39"/>
  <c r="J16" i="39"/>
  <c r="J19" i="39"/>
  <c r="J22" i="39"/>
  <c r="J31" i="39"/>
  <c r="J45" i="39"/>
  <c r="P48" i="39"/>
  <c r="J53" i="39"/>
  <c r="J62" i="39"/>
  <c r="K11" i="39"/>
  <c r="L5" i="39"/>
  <c r="M5" i="39" s="1"/>
  <c r="J41" i="39"/>
  <c r="J37" i="39"/>
  <c r="J40" i="39"/>
  <c r="J87" i="39"/>
  <c r="J86" i="39"/>
  <c r="J85" i="39"/>
  <c r="J84" i="39"/>
  <c r="J83" i="39"/>
  <c r="J82" i="39"/>
  <c r="J81" i="39"/>
  <c r="J80" i="39"/>
  <c r="J79" i="39"/>
  <c r="J78" i="39"/>
  <c r="J36" i="39"/>
  <c r="J35" i="39"/>
  <c r="Q87" i="39"/>
  <c r="Q40" i="39"/>
  <c r="Q36" i="39"/>
  <c r="Q77" i="39"/>
  <c r="Q48" i="39"/>
  <c r="Q38" i="39"/>
  <c r="Q41" i="39"/>
  <c r="Q37" i="39"/>
  <c r="J9" i="39"/>
  <c r="I9" i="39" s="1"/>
  <c r="I1" i="39" s="1"/>
  <c r="J26" i="39"/>
  <c r="J34" i="39"/>
  <c r="J39" i="39"/>
  <c r="J42" i="39"/>
  <c r="J56" i="39"/>
  <c r="J67" i="39"/>
  <c r="J75" i="39"/>
  <c r="P87" i="39"/>
  <c r="J54" i="39"/>
  <c r="J64" i="39"/>
  <c r="J73" i="39"/>
  <c r="P41" i="39"/>
  <c r="B5" i="38"/>
  <c r="B3" i="38"/>
  <c r="H81" i="38"/>
  <c r="B81" i="38"/>
  <c r="K81" i="38" s="1"/>
  <c r="H80" i="38"/>
  <c r="B80" i="38"/>
  <c r="K80" i="38" s="1"/>
  <c r="H79" i="38"/>
  <c r="B79" i="38"/>
  <c r="K79" i="38" s="1"/>
  <c r="H78" i="38"/>
  <c r="B78" i="38"/>
  <c r="K78" i="38" s="1"/>
  <c r="H77" i="38"/>
  <c r="B77" i="38"/>
  <c r="K77" i="38" s="1"/>
  <c r="H76" i="38"/>
  <c r="B76" i="38"/>
  <c r="K76" i="38" s="1"/>
  <c r="H75" i="38"/>
  <c r="B75" i="38"/>
  <c r="K75" i="38" s="1"/>
  <c r="H74" i="38"/>
  <c r="B74" i="38"/>
  <c r="K74" i="38" s="1"/>
  <c r="H73" i="38"/>
  <c r="B73" i="38"/>
  <c r="K73" i="38" s="1"/>
  <c r="H72" i="38"/>
  <c r="B72" i="38"/>
  <c r="K72" i="38" s="1"/>
  <c r="K71" i="38"/>
  <c r="H71" i="38"/>
  <c r="B71" i="38"/>
  <c r="H70" i="38"/>
  <c r="B70" i="38"/>
  <c r="K70" i="38" s="1"/>
  <c r="J69" i="38"/>
  <c r="H69" i="38"/>
  <c r="B69" i="38"/>
  <c r="K69" i="38" s="1"/>
  <c r="H68" i="38"/>
  <c r="B68" i="38"/>
  <c r="K68" i="38" s="1"/>
  <c r="H67" i="38"/>
  <c r="B67" i="38"/>
  <c r="K67" i="38" s="1"/>
  <c r="H66" i="38"/>
  <c r="B66" i="38"/>
  <c r="K66" i="38" s="1"/>
  <c r="J65" i="38"/>
  <c r="H65" i="38"/>
  <c r="B65" i="38"/>
  <c r="K65" i="38" s="1"/>
  <c r="H64" i="38"/>
  <c r="B64" i="38"/>
  <c r="K64" i="38" s="1"/>
  <c r="J63" i="38"/>
  <c r="H63" i="38"/>
  <c r="B63" i="38"/>
  <c r="K63" i="38" s="1"/>
  <c r="H62" i="38"/>
  <c r="B62" i="38"/>
  <c r="K62" i="38" s="1"/>
  <c r="J61" i="38"/>
  <c r="H61" i="38"/>
  <c r="B61" i="38"/>
  <c r="K61" i="38" s="1"/>
  <c r="H60" i="38"/>
  <c r="B60" i="38"/>
  <c r="K60" i="38" s="1"/>
  <c r="H59" i="38"/>
  <c r="B59" i="38"/>
  <c r="K59" i="38" s="1"/>
  <c r="H58" i="38"/>
  <c r="B58" i="38"/>
  <c r="K58" i="38" s="1"/>
  <c r="J57" i="38"/>
  <c r="H57" i="38"/>
  <c r="B57" i="38"/>
  <c r="K57" i="38" s="1"/>
  <c r="H56" i="38"/>
  <c r="B56" i="38"/>
  <c r="K56" i="38" s="1"/>
  <c r="J55" i="38"/>
  <c r="H55" i="38"/>
  <c r="B55" i="38"/>
  <c r="K55" i="38" s="1"/>
  <c r="H54" i="38"/>
  <c r="B54" i="38"/>
  <c r="K54" i="38" s="1"/>
  <c r="K53" i="38"/>
  <c r="H53" i="38"/>
  <c r="B53" i="38"/>
  <c r="H52" i="38"/>
  <c r="B52" i="38"/>
  <c r="K52" i="38" s="1"/>
  <c r="H51" i="38"/>
  <c r="B51" i="38"/>
  <c r="K51" i="38" s="1"/>
  <c r="H50" i="38"/>
  <c r="B50" i="38"/>
  <c r="K50" i="38" s="1"/>
  <c r="H49" i="38"/>
  <c r="B49" i="38"/>
  <c r="K49" i="38" s="1"/>
  <c r="H48" i="38"/>
  <c r="B48" i="38"/>
  <c r="K48" i="38" s="1"/>
  <c r="H47" i="38"/>
  <c r="B47" i="38"/>
  <c r="K47" i="38" s="1"/>
  <c r="H46" i="38"/>
  <c r="B46" i="38"/>
  <c r="K46" i="38" s="1"/>
  <c r="K45" i="38"/>
  <c r="J45" i="38"/>
  <c r="H45" i="38"/>
  <c r="B45" i="38"/>
  <c r="H44" i="38"/>
  <c r="B44" i="38"/>
  <c r="K44" i="38" s="1"/>
  <c r="H43" i="38"/>
  <c r="B43" i="38"/>
  <c r="K43" i="38" s="1"/>
  <c r="H42" i="38"/>
  <c r="B42" i="38"/>
  <c r="K42" i="38" s="1"/>
  <c r="J41" i="38"/>
  <c r="H41" i="38"/>
  <c r="B41" i="38"/>
  <c r="K41" i="38" s="1"/>
  <c r="H40" i="38"/>
  <c r="B40" i="38"/>
  <c r="K40" i="38" s="1"/>
  <c r="K39" i="38"/>
  <c r="H39" i="38"/>
  <c r="B39" i="38"/>
  <c r="H38" i="38"/>
  <c r="B38" i="38"/>
  <c r="K38" i="38" s="1"/>
  <c r="H37" i="38"/>
  <c r="B37" i="38"/>
  <c r="K37" i="38" s="1"/>
  <c r="K36" i="38"/>
  <c r="H36" i="38"/>
  <c r="B36" i="38"/>
  <c r="H35" i="38"/>
  <c r="B35" i="38"/>
  <c r="K35" i="38" s="1"/>
  <c r="H34" i="38"/>
  <c r="B34" i="38"/>
  <c r="K34" i="38" s="1"/>
  <c r="H33" i="38"/>
  <c r="B33" i="38"/>
  <c r="K33" i="38" s="1"/>
  <c r="H32" i="38"/>
  <c r="B32" i="38"/>
  <c r="K32" i="38" s="1"/>
  <c r="H31" i="38"/>
  <c r="B31" i="38"/>
  <c r="K31" i="38" s="1"/>
  <c r="J30" i="38"/>
  <c r="H30" i="38"/>
  <c r="B30" i="38"/>
  <c r="K30" i="38" s="1"/>
  <c r="H29" i="38"/>
  <c r="B29" i="38"/>
  <c r="K29" i="38" s="1"/>
  <c r="K28" i="38"/>
  <c r="H28" i="38"/>
  <c r="B28" i="38"/>
  <c r="K27" i="38"/>
  <c r="H27" i="38"/>
  <c r="B27" i="38"/>
  <c r="J26" i="38"/>
  <c r="H26" i="38"/>
  <c r="B26" i="38"/>
  <c r="K26" i="38" s="1"/>
  <c r="H25" i="38"/>
  <c r="B25" i="38"/>
  <c r="K25" i="38" s="1"/>
  <c r="H24" i="38"/>
  <c r="B24" i="38"/>
  <c r="K24" i="38" s="1"/>
  <c r="H23" i="38"/>
  <c r="B23" i="38"/>
  <c r="K23" i="38" s="1"/>
  <c r="J22" i="38"/>
  <c r="H22" i="38"/>
  <c r="B22" i="38"/>
  <c r="K22" i="38" s="1"/>
  <c r="J21" i="38"/>
  <c r="H21" i="38"/>
  <c r="B21" i="38"/>
  <c r="K21" i="38" s="1"/>
  <c r="H20" i="38"/>
  <c r="B20" i="38"/>
  <c r="K20" i="38" s="1"/>
  <c r="J19" i="38"/>
  <c r="H19" i="38"/>
  <c r="B19" i="38"/>
  <c r="K19" i="38" s="1"/>
  <c r="H18" i="38"/>
  <c r="B18" i="38"/>
  <c r="K18" i="38" s="1"/>
  <c r="H17" i="38"/>
  <c r="B17" i="38"/>
  <c r="K17" i="38" s="1"/>
  <c r="K16" i="38"/>
  <c r="H16" i="38"/>
  <c r="B16" i="38"/>
  <c r="J15" i="38"/>
  <c r="H15" i="38"/>
  <c r="B15" i="38"/>
  <c r="K15" i="38" s="1"/>
  <c r="J14" i="38"/>
  <c r="H14" i="38"/>
  <c r="B14" i="38"/>
  <c r="K14" i="38" s="1"/>
  <c r="J13" i="38"/>
  <c r="H13" i="38"/>
  <c r="B13" i="38"/>
  <c r="K13" i="38" s="1"/>
  <c r="H12" i="38"/>
  <c r="B12" i="38"/>
  <c r="K12" i="38" s="1"/>
  <c r="I11" i="38"/>
  <c r="J9" i="38"/>
  <c r="I9" i="38"/>
  <c r="I1" i="38" s="1"/>
  <c r="J66" i="38"/>
  <c r="L49" i="40" l="1"/>
  <c r="L65" i="40"/>
  <c r="N65" i="40" s="1"/>
  <c r="L64" i="40"/>
  <c r="M64" i="40" s="1"/>
  <c r="O64" i="40" s="1"/>
  <c r="L53" i="40"/>
  <c r="N53" i="40" s="1"/>
  <c r="L59" i="40"/>
  <c r="N59" i="40" s="1"/>
  <c r="L23" i="40"/>
  <c r="N23" i="40" s="1"/>
  <c r="L69" i="40"/>
  <c r="L60" i="40"/>
  <c r="N60" i="40" s="1"/>
  <c r="L68" i="40"/>
  <c r="M68" i="40" s="1"/>
  <c r="O68" i="40" s="1"/>
  <c r="L71" i="40"/>
  <c r="L52" i="40"/>
  <c r="L75" i="40"/>
  <c r="L35" i="40"/>
  <c r="L82" i="40"/>
  <c r="L15" i="40"/>
  <c r="L13" i="40"/>
  <c r="L57" i="40"/>
  <c r="L77" i="40"/>
  <c r="L72" i="40"/>
  <c r="L55" i="40"/>
  <c r="L50" i="40"/>
  <c r="L33" i="40"/>
  <c r="L19" i="40"/>
  <c r="J11" i="40"/>
  <c r="L81" i="40"/>
  <c r="L66" i="40"/>
  <c r="L63" i="40"/>
  <c r="L79" i="40"/>
  <c r="N54" i="40"/>
  <c r="M54" i="40"/>
  <c r="O54" i="40" s="1"/>
  <c r="L67" i="40"/>
  <c r="L78" i="40"/>
  <c r="L27" i="40"/>
  <c r="L51" i="40"/>
  <c r="L80" i="40"/>
  <c r="L40" i="40"/>
  <c r="L25" i="40"/>
  <c r="L36" i="40"/>
  <c r="L84" i="40"/>
  <c r="L83" i="40"/>
  <c r="L73" i="40"/>
  <c r="L74" i="40"/>
  <c r="L46" i="40"/>
  <c r="L42" i="40"/>
  <c r="L41" i="40"/>
  <c r="L34" i="40"/>
  <c r="L24" i="40"/>
  <c r="L61" i="40"/>
  <c r="L48" i="40"/>
  <c r="L44" i="40"/>
  <c r="L38" i="40"/>
  <c r="L37" i="40"/>
  <c r="L30" i="40"/>
  <c r="L22" i="40"/>
  <c r="L14" i="40"/>
  <c r="L26" i="40"/>
  <c r="L47" i="40"/>
  <c r="L43" i="40"/>
  <c r="L32" i="40"/>
  <c r="L16" i="40"/>
  <c r="L45" i="40"/>
  <c r="L39" i="40"/>
  <c r="L28" i="40"/>
  <c r="L20" i="40"/>
  <c r="L12" i="40"/>
  <c r="L18" i="40"/>
  <c r="L58" i="40"/>
  <c r="L70" i="40"/>
  <c r="N49" i="40"/>
  <c r="M49" i="40"/>
  <c r="O49" i="40" s="1"/>
  <c r="N69" i="40"/>
  <c r="M69" i="40"/>
  <c r="O69" i="40" s="1"/>
  <c r="L17" i="40"/>
  <c r="L62" i="40"/>
  <c r="L76" i="40"/>
  <c r="L56" i="40"/>
  <c r="L31" i="40"/>
  <c r="L29" i="40"/>
  <c r="L21" i="40"/>
  <c r="J11" i="39"/>
  <c r="F11" i="39"/>
  <c r="L38" i="39" s="1"/>
  <c r="B7" i="39"/>
  <c r="P37" i="38"/>
  <c r="K11" i="38"/>
  <c r="P31" i="38"/>
  <c r="J60" i="38"/>
  <c r="J68" i="38"/>
  <c r="J71" i="38"/>
  <c r="B6" i="38"/>
  <c r="J12" i="38"/>
  <c r="J20" i="38"/>
  <c r="J25" i="38"/>
  <c r="J29" i="38"/>
  <c r="J40" i="38"/>
  <c r="J44" i="38"/>
  <c r="J47" i="38"/>
  <c r="J49" i="38"/>
  <c r="J51" i="38"/>
  <c r="J53" i="38"/>
  <c r="J58" i="38"/>
  <c r="P71" i="38"/>
  <c r="P33" i="38"/>
  <c r="P35" i="38"/>
  <c r="P36" i="38"/>
  <c r="Q81" i="38"/>
  <c r="Q71" i="38"/>
  <c r="Q45" i="38"/>
  <c r="Q38" i="38"/>
  <c r="Q34" i="38"/>
  <c r="Q33" i="38"/>
  <c r="Q35" i="38"/>
  <c r="Q36" i="38"/>
  <c r="Q37" i="38"/>
  <c r="P45" i="38"/>
  <c r="Q31" i="38"/>
  <c r="J37" i="38"/>
  <c r="J33" i="38"/>
  <c r="J32" i="38"/>
  <c r="J81" i="38"/>
  <c r="J80" i="38"/>
  <c r="J79" i="38"/>
  <c r="J78" i="38"/>
  <c r="J77" i="38"/>
  <c r="J76" i="38"/>
  <c r="J75" i="38"/>
  <c r="J74" i="38"/>
  <c r="J73" i="38"/>
  <c r="J72" i="38"/>
  <c r="J18" i="38"/>
  <c r="J24" i="38"/>
  <c r="J28" i="38"/>
  <c r="J56" i="38"/>
  <c r="J64" i="38"/>
  <c r="P81" i="38"/>
  <c r="J34" i="38"/>
  <c r="J35" i="38"/>
  <c r="J36" i="38"/>
  <c r="J38" i="38"/>
  <c r="J39" i="38"/>
  <c r="J43" i="38"/>
  <c r="L5" i="38"/>
  <c r="M5" i="38" s="1"/>
  <c r="J17" i="38"/>
  <c r="P34" i="38"/>
  <c r="P38" i="38"/>
  <c r="J59" i="38"/>
  <c r="J67" i="38"/>
  <c r="J16" i="38"/>
  <c r="J23" i="38"/>
  <c r="J27" i="38"/>
  <c r="J31" i="38"/>
  <c r="J42" i="38"/>
  <c r="J46" i="38"/>
  <c r="J48" i="38"/>
  <c r="J50" i="38"/>
  <c r="J52" i="38"/>
  <c r="J54" i="38"/>
  <c r="J62" i="38"/>
  <c r="J70" i="38"/>
  <c r="M65" i="40" l="1"/>
  <c r="O65" i="40" s="1"/>
  <c r="M59" i="40"/>
  <c r="O59" i="40" s="1"/>
  <c r="N64" i="40"/>
  <c r="L70" i="39"/>
  <c r="L63" i="39"/>
  <c r="M63" i="39" s="1"/>
  <c r="O63" i="39" s="1"/>
  <c r="L65" i="39"/>
  <c r="M53" i="40"/>
  <c r="O53" i="40" s="1"/>
  <c r="N68" i="40"/>
  <c r="M23" i="40"/>
  <c r="O23" i="40" s="1"/>
  <c r="M60" i="40"/>
  <c r="O60" i="40" s="1"/>
  <c r="M38" i="40"/>
  <c r="O38" i="40" s="1"/>
  <c r="N38" i="40"/>
  <c r="N80" i="40"/>
  <c r="M80" i="40"/>
  <c r="O80" i="40" s="1"/>
  <c r="N13" i="40"/>
  <c r="M13" i="40"/>
  <c r="O13" i="40" s="1"/>
  <c r="N21" i="40"/>
  <c r="M21" i="40"/>
  <c r="O21" i="40" s="1"/>
  <c r="N12" i="40"/>
  <c r="M12" i="40"/>
  <c r="M47" i="40"/>
  <c r="O47" i="40" s="1"/>
  <c r="N47" i="40"/>
  <c r="M48" i="40"/>
  <c r="O48" i="40" s="1"/>
  <c r="N48" i="40"/>
  <c r="N73" i="40"/>
  <c r="M73" i="40"/>
  <c r="O73" i="40" s="1"/>
  <c r="N27" i="40"/>
  <c r="M27" i="40"/>
  <c r="O27" i="40" s="1"/>
  <c r="N66" i="40"/>
  <c r="M66" i="40"/>
  <c r="O66" i="40" s="1"/>
  <c r="N77" i="40"/>
  <c r="M77" i="40"/>
  <c r="O77" i="40" s="1"/>
  <c r="N82" i="40"/>
  <c r="M82" i="40"/>
  <c r="O82" i="40" s="1"/>
  <c r="N39" i="40"/>
  <c r="M39" i="40"/>
  <c r="O39" i="40" s="1"/>
  <c r="N22" i="40"/>
  <c r="M22" i="40"/>
  <c r="O22" i="40" s="1"/>
  <c r="N76" i="40"/>
  <c r="M76" i="40"/>
  <c r="O76" i="40" s="1"/>
  <c r="M45" i="40"/>
  <c r="O45" i="40" s="1"/>
  <c r="N45" i="40"/>
  <c r="N30" i="40"/>
  <c r="M30" i="40"/>
  <c r="O30" i="40" s="1"/>
  <c r="N62" i="40"/>
  <c r="M62" i="40"/>
  <c r="O62" i="40" s="1"/>
  <c r="N70" i="40"/>
  <c r="M70" i="40"/>
  <c r="O70" i="40" s="1"/>
  <c r="N16" i="40"/>
  <c r="M16" i="40"/>
  <c r="O16" i="40" s="1"/>
  <c r="N29" i="40"/>
  <c r="M29" i="40"/>
  <c r="O29" i="40" s="1"/>
  <c r="N20" i="40"/>
  <c r="M20" i="40"/>
  <c r="O20" i="40" s="1"/>
  <c r="N26" i="40"/>
  <c r="M26" i="40"/>
  <c r="O26" i="40" s="1"/>
  <c r="N61" i="40"/>
  <c r="M61" i="40"/>
  <c r="O61" i="40" s="1"/>
  <c r="N83" i="40"/>
  <c r="M83" i="40"/>
  <c r="O83" i="40" s="1"/>
  <c r="N78" i="40"/>
  <c r="M78" i="40"/>
  <c r="O78" i="40" s="1"/>
  <c r="N81" i="40"/>
  <c r="M81" i="40"/>
  <c r="O81" i="40" s="1"/>
  <c r="N57" i="40"/>
  <c r="M57" i="40"/>
  <c r="O57" i="40" s="1"/>
  <c r="N31" i="40"/>
  <c r="M31" i="40"/>
  <c r="O31" i="40" s="1"/>
  <c r="N28" i="40"/>
  <c r="M28" i="40"/>
  <c r="O28" i="40" s="1"/>
  <c r="N14" i="40"/>
  <c r="M14" i="40"/>
  <c r="O14" i="40" s="1"/>
  <c r="N24" i="40"/>
  <c r="M24" i="40"/>
  <c r="O24" i="40" s="1"/>
  <c r="N84" i="40"/>
  <c r="M84" i="40"/>
  <c r="O84" i="40" s="1"/>
  <c r="N67" i="40"/>
  <c r="M67" i="40"/>
  <c r="O67" i="40" s="1"/>
  <c r="N35" i="40"/>
  <c r="M35" i="40"/>
  <c r="O35" i="40" s="1"/>
  <c r="N56" i="40"/>
  <c r="M56" i="40"/>
  <c r="O56" i="40" s="1"/>
  <c r="N34" i="40"/>
  <c r="M34" i="40"/>
  <c r="O34" i="40" s="1"/>
  <c r="N36" i="40"/>
  <c r="M36" i="40"/>
  <c r="O36" i="40" s="1"/>
  <c r="N19" i="40"/>
  <c r="M19" i="40"/>
  <c r="O19" i="40" s="1"/>
  <c r="N75" i="40"/>
  <c r="M75" i="40"/>
  <c r="O75" i="40" s="1"/>
  <c r="M41" i="40"/>
  <c r="O41" i="40" s="1"/>
  <c r="N41" i="40"/>
  <c r="N25" i="40"/>
  <c r="M25" i="40"/>
  <c r="O25" i="40" s="1"/>
  <c r="N33" i="40"/>
  <c r="M33" i="40"/>
  <c r="O33" i="40" s="1"/>
  <c r="N52" i="40"/>
  <c r="M52" i="40"/>
  <c r="O52" i="40" s="1"/>
  <c r="M40" i="40"/>
  <c r="O40" i="40" s="1"/>
  <c r="N40" i="40"/>
  <c r="N79" i="40"/>
  <c r="M79" i="40"/>
  <c r="O79" i="40" s="1"/>
  <c r="N50" i="40"/>
  <c r="M50" i="40"/>
  <c r="O50" i="40" s="1"/>
  <c r="N71" i="40"/>
  <c r="M71" i="40"/>
  <c r="O71" i="40" s="1"/>
  <c r="N37" i="40"/>
  <c r="M37" i="40"/>
  <c r="O37" i="40" s="1"/>
  <c r="M42" i="40"/>
  <c r="O42" i="40" s="1"/>
  <c r="N42" i="40"/>
  <c r="N17" i="40"/>
  <c r="M17" i="40"/>
  <c r="O17" i="40" s="1"/>
  <c r="N58" i="40"/>
  <c r="M58" i="40"/>
  <c r="O58" i="40" s="1"/>
  <c r="N32" i="40"/>
  <c r="M32" i="40"/>
  <c r="O32" i="40" s="1"/>
  <c r="M46" i="40"/>
  <c r="O46" i="40" s="1"/>
  <c r="N46" i="40"/>
  <c r="N55" i="40"/>
  <c r="M55" i="40"/>
  <c r="O55" i="40" s="1"/>
  <c r="N18" i="40"/>
  <c r="M18" i="40"/>
  <c r="O18" i="40" s="1"/>
  <c r="M43" i="40"/>
  <c r="O43" i="40" s="1"/>
  <c r="N43" i="40"/>
  <c r="M44" i="40"/>
  <c r="O44" i="40" s="1"/>
  <c r="N44" i="40"/>
  <c r="N74" i="40"/>
  <c r="M74" i="40"/>
  <c r="O74" i="40" s="1"/>
  <c r="N51" i="40"/>
  <c r="M51" i="40"/>
  <c r="O51" i="40" s="1"/>
  <c r="N63" i="40"/>
  <c r="M63" i="40"/>
  <c r="O63" i="40" s="1"/>
  <c r="N72" i="40"/>
  <c r="M72" i="40"/>
  <c r="O72" i="40" s="1"/>
  <c r="N15" i="40"/>
  <c r="M15" i="40"/>
  <c r="O15" i="40" s="1"/>
  <c r="L23" i="39"/>
  <c r="M23" i="39" s="1"/>
  <c r="O23" i="39" s="1"/>
  <c r="L59" i="39"/>
  <c r="L18" i="39"/>
  <c r="N18" i="39" s="1"/>
  <c r="L34" i="39"/>
  <c r="N34" i="39" s="1"/>
  <c r="L20" i="39"/>
  <c r="L55" i="39"/>
  <c r="N55" i="39" s="1"/>
  <c r="L64" i="39"/>
  <c r="N64" i="39" s="1"/>
  <c r="L13" i="39"/>
  <c r="N13" i="39" s="1"/>
  <c r="L74" i="39"/>
  <c r="M74" i="39" s="1"/>
  <c r="O74" i="39" s="1"/>
  <c r="L33" i="39"/>
  <c r="N33" i="39" s="1"/>
  <c r="L42" i="39"/>
  <c r="M42" i="39" s="1"/>
  <c r="O42" i="39" s="1"/>
  <c r="L25" i="39"/>
  <c r="N25" i="39" s="1"/>
  <c r="L66" i="39"/>
  <c r="N66" i="39" s="1"/>
  <c r="L21" i="39"/>
  <c r="M21" i="39" s="1"/>
  <c r="O21" i="39" s="1"/>
  <c r="L44" i="39"/>
  <c r="M44" i="39" s="1"/>
  <c r="O44" i="39" s="1"/>
  <c r="L28" i="39"/>
  <c r="N28" i="39" s="1"/>
  <c r="L15" i="39"/>
  <c r="M15" i="39" s="1"/>
  <c r="O15" i="39" s="1"/>
  <c r="L17" i="39"/>
  <c r="M17" i="39" s="1"/>
  <c r="O17" i="39" s="1"/>
  <c r="L84" i="39"/>
  <c r="N84" i="39" s="1"/>
  <c r="L67" i="39"/>
  <c r="N67" i="39" s="1"/>
  <c r="L49" i="39"/>
  <c r="N49" i="39" s="1"/>
  <c r="L35" i="39"/>
  <c r="M35" i="39" s="1"/>
  <c r="O35" i="39" s="1"/>
  <c r="L80" i="39"/>
  <c r="M80" i="39" s="1"/>
  <c r="O80" i="39" s="1"/>
  <c r="L53" i="39"/>
  <c r="M53" i="39" s="1"/>
  <c r="O53" i="39" s="1"/>
  <c r="L29" i="39"/>
  <c r="M29" i="39" s="1"/>
  <c r="O29" i="39" s="1"/>
  <c r="L86" i="39"/>
  <c r="N86" i="39" s="1"/>
  <c r="L45" i="39"/>
  <c r="M45" i="39" s="1"/>
  <c r="O45" i="39" s="1"/>
  <c r="L68" i="39"/>
  <c r="M68" i="39" s="1"/>
  <c r="O68" i="39" s="1"/>
  <c r="L46" i="39"/>
  <c r="M46" i="39" s="1"/>
  <c r="O46" i="39" s="1"/>
  <c r="L31" i="39"/>
  <c r="M31" i="39" s="1"/>
  <c r="O31" i="39" s="1"/>
  <c r="L51" i="39"/>
  <c r="M51" i="39" s="1"/>
  <c r="O51" i="39" s="1"/>
  <c r="L79" i="39"/>
  <c r="N79" i="39" s="1"/>
  <c r="L37" i="39"/>
  <c r="N37" i="39" s="1"/>
  <c r="L40" i="39"/>
  <c r="M40" i="39" s="1"/>
  <c r="O40" i="39" s="1"/>
  <c r="L47" i="39"/>
  <c r="M47" i="39" s="1"/>
  <c r="O47" i="39" s="1"/>
  <c r="L82" i="39"/>
  <c r="N82" i="39" s="1"/>
  <c r="L78" i="39"/>
  <c r="N78" i="39" s="1"/>
  <c r="M38" i="39"/>
  <c r="O38" i="39" s="1"/>
  <c r="N38" i="39"/>
  <c r="L24" i="39"/>
  <c r="L48" i="39"/>
  <c r="L73" i="39"/>
  <c r="L52" i="39"/>
  <c r="L32" i="39"/>
  <c r="L83" i="39"/>
  <c r="L61" i="39"/>
  <c r="L54" i="39"/>
  <c r="L77" i="39"/>
  <c r="L12" i="39"/>
  <c r="L22" i="39"/>
  <c r="L72" i="39"/>
  <c r="L57" i="39"/>
  <c r="L56" i="39"/>
  <c r="L76" i="39"/>
  <c r="L62" i="39"/>
  <c r="L26" i="39"/>
  <c r="L50" i="39"/>
  <c r="N74" i="39"/>
  <c r="L87" i="39"/>
  <c r="L30" i="39"/>
  <c r="L75" i="39"/>
  <c r="L81" i="39"/>
  <c r="L69" i="39"/>
  <c r="L60" i="39"/>
  <c r="L71" i="39"/>
  <c r="N70" i="39"/>
  <c r="M70" i="39"/>
  <c r="O70" i="39" s="1"/>
  <c r="L27" i="39"/>
  <c r="L85" i="39"/>
  <c r="L43" i="39"/>
  <c r="L58" i="39"/>
  <c r="L14" i="39"/>
  <c r="L39" i="39"/>
  <c r="L16" i="39"/>
  <c r="L36" i="39"/>
  <c r="L19" i="39"/>
  <c r="L41" i="39"/>
  <c r="F11" i="38"/>
  <c r="L33" i="38" s="1"/>
  <c r="B7" i="38"/>
  <c r="J11" i="38"/>
  <c r="N63" i="39" l="1"/>
  <c r="N65" i="39"/>
  <c r="M65" i="39"/>
  <c r="O65" i="39" s="1"/>
  <c r="M11" i="40"/>
  <c r="L9" i="40" s="1"/>
  <c r="O12" i="40"/>
  <c r="O11" i="40" s="1"/>
  <c r="N23" i="39"/>
  <c r="M59" i="39"/>
  <c r="O59" i="39" s="1"/>
  <c r="N59" i="39"/>
  <c r="M34" i="39"/>
  <c r="O34" i="39" s="1"/>
  <c r="M20" i="39"/>
  <c r="O20" i="39" s="1"/>
  <c r="N20" i="39"/>
  <c r="M18" i="39"/>
  <c r="O18" i="39" s="1"/>
  <c r="N29" i="39"/>
  <c r="M64" i="39"/>
  <c r="O64" i="39" s="1"/>
  <c r="N44" i="39"/>
  <c r="N51" i="39"/>
  <c r="N31" i="39"/>
  <c r="N35" i="39"/>
  <c r="M13" i="39"/>
  <c r="O13" i="39" s="1"/>
  <c r="M33" i="39"/>
  <c r="O33" i="39" s="1"/>
  <c r="N45" i="39"/>
  <c r="M55" i="39"/>
  <c r="O55" i="39" s="1"/>
  <c r="N15" i="39"/>
  <c r="N21" i="39"/>
  <c r="M49" i="39"/>
  <c r="O49" i="39" s="1"/>
  <c r="M66" i="39"/>
  <c r="O66" i="39" s="1"/>
  <c r="N80" i="39"/>
  <c r="N46" i="39"/>
  <c r="M78" i="39"/>
  <c r="O78" i="39" s="1"/>
  <c r="N53" i="39"/>
  <c r="M28" i="39"/>
  <c r="O28" i="39" s="1"/>
  <c r="M84" i="39"/>
  <c r="O84" i="39" s="1"/>
  <c r="N47" i="39"/>
  <c r="M79" i="39"/>
  <c r="O79" i="39" s="1"/>
  <c r="N40" i="39"/>
  <c r="M86" i="39"/>
  <c r="O86" i="39" s="1"/>
  <c r="N68" i="39"/>
  <c r="M82" i="39"/>
  <c r="O82" i="39" s="1"/>
  <c r="M25" i="39"/>
  <c r="O25" i="39" s="1"/>
  <c r="N17" i="39"/>
  <c r="N42" i="39"/>
  <c r="M67" i="39"/>
  <c r="O67" i="39" s="1"/>
  <c r="M37" i="39"/>
  <c r="O37" i="39" s="1"/>
  <c r="M36" i="39"/>
  <c r="O36" i="39" s="1"/>
  <c r="N36" i="39"/>
  <c r="N87" i="39"/>
  <c r="M87" i="39"/>
  <c r="O87" i="39" s="1"/>
  <c r="N22" i="39"/>
  <c r="M22" i="39"/>
  <c r="O22" i="39" s="1"/>
  <c r="N73" i="39"/>
  <c r="M73" i="39"/>
  <c r="O73" i="39" s="1"/>
  <c r="N58" i="39"/>
  <c r="M58" i="39"/>
  <c r="O58" i="39" s="1"/>
  <c r="N61" i="39"/>
  <c r="M61" i="39"/>
  <c r="O61" i="39" s="1"/>
  <c r="N56" i="39"/>
  <c r="M56" i="39"/>
  <c r="O56" i="39" s="1"/>
  <c r="M48" i="39"/>
  <c r="O48" i="39" s="1"/>
  <c r="N48" i="39"/>
  <c r="N69" i="39"/>
  <c r="M69" i="39"/>
  <c r="O69" i="39" s="1"/>
  <c r="N81" i="39"/>
  <c r="M81" i="39"/>
  <c r="O81" i="39" s="1"/>
  <c r="M19" i="39"/>
  <c r="O19" i="39" s="1"/>
  <c r="N19" i="39"/>
  <c r="N30" i="39"/>
  <c r="M30" i="39"/>
  <c r="O30" i="39" s="1"/>
  <c r="N72" i="39"/>
  <c r="M72" i="39"/>
  <c r="O72" i="39" s="1"/>
  <c r="M16" i="39"/>
  <c r="O16" i="39" s="1"/>
  <c r="N16" i="39"/>
  <c r="N50" i="39"/>
  <c r="M50" i="39"/>
  <c r="O50" i="39" s="1"/>
  <c r="M12" i="39"/>
  <c r="N12" i="39"/>
  <c r="N77" i="39"/>
  <c r="M77" i="39"/>
  <c r="O77" i="39" s="1"/>
  <c r="N24" i="39"/>
  <c r="M24" i="39"/>
  <c r="O24" i="39" s="1"/>
  <c r="N27" i="39"/>
  <c r="M27" i="39"/>
  <c r="O27" i="39" s="1"/>
  <c r="N52" i="39"/>
  <c r="M52" i="39"/>
  <c r="O52" i="39" s="1"/>
  <c r="N39" i="39"/>
  <c r="M39" i="39"/>
  <c r="O39" i="39" s="1"/>
  <c r="N71" i="39"/>
  <c r="M71" i="39"/>
  <c r="O71" i="39" s="1"/>
  <c r="N26" i="39"/>
  <c r="M26" i="39"/>
  <c r="O26" i="39" s="1"/>
  <c r="M14" i="39"/>
  <c r="O14" i="39" s="1"/>
  <c r="N14" i="39"/>
  <c r="N60" i="39"/>
  <c r="M60" i="39"/>
  <c r="O60" i="39" s="1"/>
  <c r="N62" i="39"/>
  <c r="M62" i="39"/>
  <c r="O62" i="39" s="1"/>
  <c r="N54" i="39"/>
  <c r="M54" i="39"/>
  <c r="O54" i="39" s="1"/>
  <c r="N76" i="39"/>
  <c r="M76" i="39"/>
  <c r="O76" i="39" s="1"/>
  <c r="M43" i="39"/>
  <c r="O43" i="39" s="1"/>
  <c r="N43" i="39"/>
  <c r="N83" i="39"/>
  <c r="M83" i="39"/>
  <c r="O83" i="39" s="1"/>
  <c r="N41" i="39"/>
  <c r="M41" i="39"/>
  <c r="O41" i="39" s="1"/>
  <c r="N85" i="39"/>
  <c r="M85" i="39"/>
  <c r="O85" i="39" s="1"/>
  <c r="N75" i="39"/>
  <c r="M75" i="39"/>
  <c r="O75" i="39" s="1"/>
  <c r="N57" i="39"/>
  <c r="M57" i="39"/>
  <c r="O57" i="39" s="1"/>
  <c r="N32" i="39"/>
  <c r="M32" i="39"/>
  <c r="O32" i="39" s="1"/>
  <c r="L37" i="38"/>
  <c r="N37" i="38" s="1"/>
  <c r="N33" i="38"/>
  <c r="M33" i="38"/>
  <c r="O33" i="38" s="1"/>
  <c r="L32" i="38"/>
  <c r="L25" i="38"/>
  <c r="L40" i="38"/>
  <c r="L21" i="38"/>
  <c r="L23" i="38"/>
  <c r="L50" i="38"/>
  <c r="L75" i="38"/>
  <c r="L61" i="38"/>
  <c r="L53" i="38"/>
  <c r="L77" i="38"/>
  <c r="L36" i="38"/>
  <c r="L65" i="38"/>
  <c r="L34" i="38"/>
  <c r="L19" i="38"/>
  <c r="L29" i="38"/>
  <c r="L49" i="38"/>
  <c r="L52" i="38"/>
  <c r="L64" i="38"/>
  <c r="L71" i="38"/>
  <c r="L18" i="38"/>
  <c r="L12" i="38"/>
  <c r="L31" i="38"/>
  <c r="L66" i="38"/>
  <c r="L27" i="38"/>
  <c r="L80" i="38"/>
  <c r="L62" i="38"/>
  <c r="L14" i="38"/>
  <c r="L15" i="38"/>
  <c r="L59" i="38"/>
  <c r="L38" i="38"/>
  <c r="L57" i="38"/>
  <c r="L43" i="38"/>
  <c r="L35" i="38"/>
  <c r="L41" i="38"/>
  <c r="L17" i="38"/>
  <c r="L45" i="38"/>
  <c r="L78" i="38"/>
  <c r="L69" i="38"/>
  <c r="L46" i="38"/>
  <c r="L55" i="38"/>
  <c r="L22" i="38"/>
  <c r="L81" i="38"/>
  <c r="L73" i="38"/>
  <c r="L39" i="38"/>
  <c r="L24" i="38"/>
  <c r="L60" i="38"/>
  <c r="L26" i="38"/>
  <c r="L28" i="38"/>
  <c r="L72" i="38"/>
  <c r="L42" i="38"/>
  <c r="L67" i="38"/>
  <c r="L70" i="38"/>
  <c r="L47" i="38"/>
  <c r="L44" i="38"/>
  <c r="L20" i="38"/>
  <c r="L13" i="38"/>
  <c r="L58" i="38"/>
  <c r="L48" i="38"/>
  <c r="L63" i="38"/>
  <c r="L79" i="38"/>
  <c r="L56" i="38"/>
  <c r="L76" i="38"/>
  <c r="L51" i="38"/>
  <c r="L54" i="38"/>
  <c r="L74" i="38"/>
  <c r="L30" i="38"/>
  <c r="L68" i="38"/>
  <c r="L16" i="38"/>
  <c r="M11" i="39" l="1"/>
  <c r="L9" i="39" s="1"/>
  <c r="O12" i="39"/>
  <c r="O11" i="39" s="1"/>
  <c r="M37" i="38"/>
  <c r="O37" i="38" s="1"/>
  <c r="N71" i="38"/>
  <c r="M71" i="38"/>
  <c r="O71" i="38" s="1"/>
  <c r="N48" i="38"/>
  <c r="M48" i="38"/>
  <c r="O48" i="38" s="1"/>
  <c r="N72" i="38"/>
  <c r="M72" i="38"/>
  <c r="O72" i="38" s="1"/>
  <c r="N38" i="38"/>
  <c r="M38" i="38"/>
  <c r="O38" i="38" s="1"/>
  <c r="M31" i="38"/>
  <c r="O31" i="38" s="1"/>
  <c r="N31" i="38"/>
  <c r="M19" i="38"/>
  <c r="O19" i="38" s="1"/>
  <c r="N19" i="38"/>
  <c r="N50" i="38"/>
  <c r="M50" i="38"/>
  <c r="O50" i="38" s="1"/>
  <c r="N70" i="38"/>
  <c r="M70" i="38"/>
  <c r="O70" i="38" s="1"/>
  <c r="M18" i="38"/>
  <c r="O18" i="38" s="1"/>
  <c r="N18" i="38"/>
  <c r="N63" i="38"/>
  <c r="M63" i="38"/>
  <c r="O63" i="38" s="1"/>
  <c r="M17" i="38"/>
  <c r="O17" i="38" s="1"/>
  <c r="N17" i="38"/>
  <c r="M30" i="38"/>
  <c r="O30" i="38" s="1"/>
  <c r="N30" i="38"/>
  <c r="N74" i="38"/>
  <c r="M74" i="38"/>
  <c r="O74" i="38" s="1"/>
  <c r="M22" i="38"/>
  <c r="O22" i="38" s="1"/>
  <c r="N22" i="38"/>
  <c r="M13" i="38"/>
  <c r="O13" i="38" s="1"/>
  <c r="N13" i="38"/>
  <c r="N55" i="38"/>
  <c r="M55" i="38"/>
  <c r="O55" i="38" s="1"/>
  <c r="N43" i="38"/>
  <c r="M43" i="38"/>
  <c r="O43" i="38" s="1"/>
  <c r="M27" i="38"/>
  <c r="O27" i="38" s="1"/>
  <c r="N27" i="38"/>
  <c r="N61" i="38"/>
  <c r="M61" i="38"/>
  <c r="O61" i="38" s="1"/>
  <c r="N51" i="38"/>
  <c r="M51" i="38"/>
  <c r="O51" i="38" s="1"/>
  <c r="M26" i="38"/>
  <c r="O26" i="38" s="1"/>
  <c r="N26" i="38"/>
  <c r="N46" i="38"/>
  <c r="M46" i="38"/>
  <c r="O46" i="38" s="1"/>
  <c r="N57" i="38"/>
  <c r="M57" i="38"/>
  <c r="O57" i="38" s="1"/>
  <c r="N66" i="38"/>
  <c r="M66" i="38"/>
  <c r="O66" i="38" s="1"/>
  <c r="M29" i="38"/>
  <c r="O29" i="38" s="1"/>
  <c r="N29" i="38"/>
  <c r="M16" i="38"/>
  <c r="O16" i="38" s="1"/>
  <c r="N16" i="38"/>
  <c r="N76" i="38"/>
  <c r="M76" i="38"/>
  <c r="O76" i="38" s="1"/>
  <c r="N44" i="38"/>
  <c r="M44" i="38"/>
  <c r="O44" i="38" s="1"/>
  <c r="N60" i="38"/>
  <c r="M60" i="38"/>
  <c r="O60" i="38" s="1"/>
  <c r="N69" i="38"/>
  <c r="M69" i="38"/>
  <c r="O69" i="38" s="1"/>
  <c r="N56" i="38"/>
  <c r="M56" i="38"/>
  <c r="O56" i="38" s="1"/>
  <c r="N47" i="38"/>
  <c r="M47" i="38"/>
  <c r="O47" i="38" s="1"/>
  <c r="M24" i="38"/>
  <c r="O24" i="38" s="1"/>
  <c r="N24" i="38"/>
  <c r="N78" i="38"/>
  <c r="M78" i="38"/>
  <c r="O78" i="38" s="1"/>
  <c r="N59" i="38"/>
  <c r="M59" i="38"/>
  <c r="O59" i="38" s="1"/>
  <c r="M12" i="38"/>
  <c r="N12" i="38"/>
  <c r="N34" i="38"/>
  <c r="M34" i="38"/>
  <c r="O34" i="38" s="1"/>
  <c r="M23" i="38"/>
  <c r="O23" i="38" s="1"/>
  <c r="N23" i="38"/>
  <c r="M36" i="38"/>
  <c r="O36" i="38" s="1"/>
  <c r="N36" i="38"/>
  <c r="N40" i="38"/>
  <c r="M40" i="38"/>
  <c r="O40" i="38" s="1"/>
  <c r="N79" i="38"/>
  <c r="M79" i="38"/>
  <c r="O79" i="38" s="1"/>
  <c r="M21" i="38"/>
  <c r="O21" i="38" s="1"/>
  <c r="N21" i="38"/>
  <c r="N67" i="38"/>
  <c r="M67" i="38"/>
  <c r="O67" i="38" s="1"/>
  <c r="N81" i="38"/>
  <c r="M81" i="38"/>
  <c r="O81" i="38" s="1"/>
  <c r="N41" i="38"/>
  <c r="M41" i="38"/>
  <c r="O41" i="38" s="1"/>
  <c r="N62" i="38"/>
  <c r="M62" i="38"/>
  <c r="O62" i="38" s="1"/>
  <c r="N64" i="38"/>
  <c r="M64" i="38"/>
  <c r="O64" i="38" s="1"/>
  <c r="N77" i="38"/>
  <c r="M77" i="38"/>
  <c r="O77" i="38" s="1"/>
  <c r="M25" i="38"/>
  <c r="O25" i="38" s="1"/>
  <c r="N25" i="38"/>
  <c r="N45" i="38"/>
  <c r="M45" i="38"/>
  <c r="O45" i="38" s="1"/>
  <c r="N65" i="38"/>
  <c r="M65" i="38"/>
  <c r="O65" i="38" s="1"/>
  <c r="N73" i="38"/>
  <c r="M73" i="38"/>
  <c r="O73" i="38" s="1"/>
  <c r="N35" i="38"/>
  <c r="M35" i="38"/>
  <c r="O35" i="38" s="1"/>
  <c r="N80" i="38"/>
  <c r="M80" i="38"/>
  <c r="O80" i="38" s="1"/>
  <c r="N52" i="38"/>
  <c r="M52" i="38"/>
  <c r="O52" i="38" s="1"/>
  <c r="N53" i="38"/>
  <c r="M53" i="38"/>
  <c r="O53" i="38" s="1"/>
  <c r="N32" i="38"/>
  <c r="M32" i="38"/>
  <c r="O32" i="38" s="1"/>
  <c r="N39" i="38"/>
  <c r="M39" i="38"/>
  <c r="O39" i="38" s="1"/>
  <c r="M15" i="38"/>
  <c r="O15" i="38" s="1"/>
  <c r="N15" i="38"/>
  <c r="N68" i="38"/>
  <c r="M68" i="38"/>
  <c r="O68" i="38" s="1"/>
  <c r="M14" i="38"/>
  <c r="O14" i="38" s="1"/>
  <c r="N14" i="38"/>
  <c r="N42" i="38"/>
  <c r="M42" i="38"/>
  <c r="O42" i="38" s="1"/>
  <c r="N58" i="38"/>
  <c r="M58" i="38"/>
  <c r="O58" i="38" s="1"/>
  <c r="N54" i="38"/>
  <c r="M54" i="38"/>
  <c r="O54" i="38" s="1"/>
  <c r="M28" i="38"/>
  <c r="O28" i="38" s="1"/>
  <c r="N28" i="38"/>
  <c r="N49" i="38"/>
  <c r="M49" i="38"/>
  <c r="O49" i="38" s="1"/>
  <c r="M20" i="38"/>
  <c r="O20" i="38" s="1"/>
  <c r="N20" i="38"/>
  <c r="N75" i="38"/>
  <c r="M75" i="38"/>
  <c r="O75" i="38" s="1"/>
  <c r="M11" i="38" l="1"/>
  <c r="L9" i="38" s="1"/>
  <c r="O12" i="38"/>
  <c r="O11" i="38" s="1"/>
  <c r="B4" i="37" l="1"/>
  <c r="J5" i="37"/>
  <c r="J66" i="37" s="1"/>
  <c r="B3" i="37"/>
  <c r="H81" i="37"/>
  <c r="B81" i="37"/>
  <c r="K81" i="37" s="1"/>
  <c r="H80" i="37"/>
  <c r="B80" i="37"/>
  <c r="K80" i="37" s="1"/>
  <c r="H79" i="37"/>
  <c r="B79" i="37"/>
  <c r="K79" i="37" s="1"/>
  <c r="H78" i="37"/>
  <c r="B78" i="37"/>
  <c r="K78" i="37" s="1"/>
  <c r="H77" i="37"/>
  <c r="B77" i="37"/>
  <c r="K77" i="37" s="1"/>
  <c r="H76" i="37"/>
  <c r="B76" i="37"/>
  <c r="K76" i="37" s="1"/>
  <c r="H75" i="37"/>
  <c r="B75" i="37"/>
  <c r="K75" i="37" s="1"/>
  <c r="H74" i="37"/>
  <c r="B74" i="37"/>
  <c r="K74" i="37" s="1"/>
  <c r="H73" i="37"/>
  <c r="B73" i="37"/>
  <c r="K73" i="37" s="1"/>
  <c r="H72" i="37"/>
  <c r="B72" i="37"/>
  <c r="K72" i="37" s="1"/>
  <c r="H71" i="37"/>
  <c r="B71" i="37"/>
  <c r="K71" i="37" s="1"/>
  <c r="H70" i="37"/>
  <c r="B70" i="37"/>
  <c r="K70" i="37" s="1"/>
  <c r="H69" i="37"/>
  <c r="B69" i="37"/>
  <c r="K69" i="37" s="1"/>
  <c r="H68" i="37"/>
  <c r="B68" i="37"/>
  <c r="K68" i="37" s="1"/>
  <c r="H67" i="37"/>
  <c r="B67" i="37"/>
  <c r="K67" i="37" s="1"/>
  <c r="H66" i="37"/>
  <c r="B66" i="37"/>
  <c r="K66" i="37" s="1"/>
  <c r="H65" i="37"/>
  <c r="B65" i="37"/>
  <c r="K65" i="37" s="1"/>
  <c r="H64" i="37"/>
  <c r="B64" i="37"/>
  <c r="K64" i="37" s="1"/>
  <c r="H63" i="37"/>
  <c r="B63" i="37"/>
  <c r="K63" i="37" s="1"/>
  <c r="H62" i="37"/>
  <c r="B62" i="37"/>
  <c r="K62" i="37" s="1"/>
  <c r="H61" i="37"/>
  <c r="B61" i="37"/>
  <c r="K61" i="37" s="1"/>
  <c r="H60" i="37"/>
  <c r="B60" i="37"/>
  <c r="K60" i="37" s="1"/>
  <c r="H59" i="37"/>
  <c r="B59" i="37"/>
  <c r="K59" i="37" s="1"/>
  <c r="H58" i="37"/>
  <c r="B58" i="37"/>
  <c r="K58" i="37" s="1"/>
  <c r="H57" i="37"/>
  <c r="B57" i="37"/>
  <c r="K57" i="37" s="1"/>
  <c r="H56" i="37"/>
  <c r="B56" i="37"/>
  <c r="K56" i="37" s="1"/>
  <c r="H55" i="37"/>
  <c r="B55" i="37"/>
  <c r="K55" i="37" s="1"/>
  <c r="H54" i="37"/>
  <c r="B54" i="37"/>
  <c r="K54" i="37" s="1"/>
  <c r="H53" i="37"/>
  <c r="B53" i="37"/>
  <c r="K53" i="37" s="1"/>
  <c r="H52" i="37"/>
  <c r="B52" i="37"/>
  <c r="K52" i="37" s="1"/>
  <c r="H51" i="37"/>
  <c r="B51" i="37"/>
  <c r="K51" i="37" s="1"/>
  <c r="H50" i="37"/>
  <c r="B50" i="37"/>
  <c r="K50" i="37" s="1"/>
  <c r="H49" i="37"/>
  <c r="B49" i="37"/>
  <c r="K49" i="37" s="1"/>
  <c r="H48" i="37"/>
  <c r="B48" i="37"/>
  <c r="K48" i="37" s="1"/>
  <c r="H47" i="37"/>
  <c r="B47" i="37"/>
  <c r="K47" i="37" s="1"/>
  <c r="H46" i="37"/>
  <c r="B46" i="37"/>
  <c r="K46" i="37" s="1"/>
  <c r="K45" i="37"/>
  <c r="H45" i="37"/>
  <c r="B45" i="37"/>
  <c r="H44" i="37"/>
  <c r="B44" i="37"/>
  <c r="K44" i="37" s="1"/>
  <c r="H43" i="37"/>
  <c r="B43" i="37"/>
  <c r="K43" i="37" s="1"/>
  <c r="H42" i="37"/>
  <c r="B42" i="37"/>
  <c r="K42" i="37" s="1"/>
  <c r="H41" i="37"/>
  <c r="B41" i="37"/>
  <c r="K41" i="37" s="1"/>
  <c r="H40" i="37"/>
  <c r="B40" i="37"/>
  <c r="K40" i="37" s="1"/>
  <c r="H39" i="37"/>
  <c r="B39" i="37"/>
  <c r="K39" i="37" s="1"/>
  <c r="H38" i="37"/>
  <c r="B38" i="37"/>
  <c r="K38" i="37" s="1"/>
  <c r="H37" i="37"/>
  <c r="B37" i="37"/>
  <c r="K37" i="37" s="1"/>
  <c r="H36" i="37"/>
  <c r="B36" i="37"/>
  <c r="K36" i="37" s="1"/>
  <c r="H35" i="37"/>
  <c r="B35" i="37"/>
  <c r="K35" i="37" s="1"/>
  <c r="H34" i="37"/>
  <c r="B34" i="37"/>
  <c r="K34" i="37" s="1"/>
  <c r="H33" i="37"/>
  <c r="B33" i="37"/>
  <c r="K33" i="37" s="1"/>
  <c r="H32" i="37"/>
  <c r="B32" i="37"/>
  <c r="K32" i="37" s="1"/>
  <c r="H31" i="37"/>
  <c r="B31" i="37"/>
  <c r="K31" i="37" s="1"/>
  <c r="H30" i="37"/>
  <c r="B30" i="37"/>
  <c r="K30" i="37" s="1"/>
  <c r="H29" i="37"/>
  <c r="B29" i="37"/>
  <c r="K29" i="37" s="1"/>
  <c r="H28" i="37"/>
  <c r="B28" i="37"/>
  <c r="K28" i="37" s="1"/>
  <c r="H27" i="37"/>
  <c r="B27" i="37"/>
  <c r="K27" i="37" s="1"/>
  <c r="H26" i="37"/>
  <c r="B26" i="37"/>
  <c r="K26" i="37" s="1"/>
  <c r="H25" i="37"/>
  <c r="B25" i="37"/>
  <c r="K25" i="37" s="1"/>
  <c r="H24" i="37"/>
  <c r="B24" i="37"/>
  <c r="K24" i="37" s="1"/>
  <c r="H23" i="37"/>
  <c r="B23" i="37"/>
  <c r="K23" i="37" s="1"/>
  <c r="H22" i="37"/>
  <c r="B22" i="37"/>
  <c r="K22" i="37" s="1"/>
  <c r="H21" i="37"/>
  <c r="B21" i="37"/>
  <c r="K21" i="37" s="1"/>
  <c r="H20" i="37"/>
  <c r="B20" i="37"/>
  <c r="K20" i="37" s="1"/>
  <c r="H19" i="37"/>
  <c r="B19" i="37"/>
  <c r="K19" i="37" s="1"/>
  <c r="H18" i="37"/>
  <c r="B18" i="37"/>
  <c r="K18" i="37" s="1"/>
  <c r="H17" i="37"/>
  <c r="B17" i="37"/>
  <c r="K17" i="37" s="1"/>
  <c r="K16" i="37"/>
  <c r="H16" i="37"/>
  <c r="B16" i="37"/>
  <c r="H15" i="37"/>
  <c r="B15" i="37"/>
  <c r="K15" i="37" s="1"/>
  <c r="H14" i="37"/>
  <c r="B14" i="37"/>
  <c r="K14" i="37" s="1"/>
  <c r="H13" i="37"/>
  <c r="B13" i="37"/>
  <c r="K13" i="37" s="1"/>
  <c r="K12" i="37"/>
  <c r="H12" i="37"/>
  <c r="B12" i="37"/>
  <c r="I11" i="37"/>
  <c r="Q36" i="37" l="1"/>
  <c r="P33" i="37"/>
  <c r="P36" i="37"/>
  <c r="P31" i="37"/>
  <c r="J69" i="37"/>
  <c r="J20" i="37"/>
  <c r="J17" i="37"/>
  <c r="J25" i="37"/>
  <c r="J36" i="37"/>
  <c r="J42" i="37"/>
  <c r="J46" i="37"/>
  <c r="B6" i="37"/>
  <c r="J19" i="37"/>
  <c r="J27" i="37"/>
  <c r="Q31" i="37"/>
  <c r="P34" i="37"/>
  <c r="P37" i="37"/>
  <c r="J41" i="37"/>
  <c r="J45" i="37"/>
  <c r="J49" i="37"/>
  <c r="J57" i="37"/>
  <c r="J65" i="37"/>
  <c r="J16" i="37"/>
  <c r="J24" i="37"/>
  <c r="Q37" i="37"/>
  <c r="P45" i="37"/>
  <c r="J52" i="37"/>
  <c r="J60" i="37"/>
  <c r="J68" i="37"/>
  <c r="J71" i="37"/>
  <c r="J21" i="37"/>
  <c r="J29" i="37"/>
  <c r="J40" i="37"/>
  <c r="J44" i="37"/>
  <c r="J47" i="37"/>
  <c r="J55" i="37"/>
  <c r="J63" i="37"/>
  <c r="L5" i="37"/>
  <c r="M5" i="37" s="1"/>
  <c r="J18" i="37"/>
  <c r="J26" i="37"/>
  <c r="P35" i="37"/>
  <c r="J50" i="37"/>
  <c r="J58" i="37"/>
  <c r="P71" i="37"/>
  <c r="J81" i="37"/>
  <c r="J80" i="37"/>
  <c r="J79" i="37"/>
  <c r="J78" i="37"/>
  <c r="J77" i="37"/>
  <c r="J76" i="37"/>
  <c r="J75" i="37"/>
  <c r="J74" i="37"/>
  <c r="J73" i="37"/>
  <c r="J72" i="37"/>
  <c r="J37" i="37"/>
  <c r="J33" i="37"/>
  <c r="J32" i="37"/>
  <c r="J13" i="37"/>
  <c r="Q71" i="37"/>
  <c r="Q45" i="37"/>
  <c r="Q35" i="37"/>
  <c r="Q38" i="37"/>
  <c r="Q34" i="37"/>
  <c r="Q81" i="37"/>
  <c r="J15" i="37"/>
  <c r="J23" i="37"/>
  <c r="J31" i="37"/>
  <c r="Q33" i="37"/>
  <c r="J38" i="37"/>
  <c r="J39" i="37"/>
  <c r="J43" i="37"/>
  <c r="J53" i="37"/>
  <c r="J61" i="37"/>
  <c r="P38" i="37"/>
  <c r="J48" i="37"/>
  <c r="J56" i="37"/>
  <c r="J64" i="37"/>
  <c r="P81" i="37"/>
  <c r="J12" i="37"/>
  <c r="J28" i="37"/>
  <c r="J9" i="37"/>
  <c r="I9" i="37" s="1"/>
  <c r="I1" i="37" s="1"/>
  <c r="K11" i="37"/>
  <c r="J51" i="37"/>
  <c r="J59" i="37"/>
  <c r="J67" i="37"/>
  <c r="J14" i="37"/>
  <c r="J22" i="37"/>
  <c r="J30" i="37"/>
  <c r="J34" i="37"/>
  <c r="J35" i="37"/>
  <c r="J54" i="37"/>
  <c r="J62" i="37"/>
  <c r="J70" i="37"/>
  <c r="B7" i="37" l="1"/>
  <c r="F11" i="37"/>
  <c r="L44" i="37" s="1"/>
  <c r="J11" i="37"/>
  <c r="L71" i="37"/>
  <c r="L72" i="37"/>
  <c r="L68" i="37"/>
  <c r="L76" i="37" l="1"/>
  <c r="M76" i="37" s="1"/>
  <c r="O76" i="37" s="1"/>
  <c r="L39" i="37"/>
  <c r="N39" i="37" s="1"/>
  <c r="L37" i="37"/>
  <c r="N37" i="37" s="1"/>
  <c r="L25" i="37"/>
  <c r="M25" i="37" s="1"/>
  <c r="O25" i="37" s="1"/>
  <c r="N44" i="37"/>
  <c r="M44" i="37"/>
  <c r="O44" i="37" s="1"/>
  <c r="N68" i="37"/>
  <c r="M68" i="37"/>
  <c r="O68" i="37" s="1"/>
  <c r="L18" i="37"/>
  <c r="L33" i="37"/>
  <c r="L81" i="37"/>
  <c r="L15" i="37"/>
  <c r="L69" i="37"/>
  <c r="L40" i="37"/>
  <c r="L58" i="37"/>
  <c r="L38" i="37"/>
  <c r="N76" i="37"/>
  <c r="L29" i="37"/>
  <c r="L78" i="37"/>
  <c r="L12" i="37"/>
  <c r="L55" i="37"/>
  <c r="L24" i="37"/>
  <c r="L46" i="37"/>
  <c r="L32" i="37"/>
  <c r="L61" i="37"/>
  <c r="L43" i="37"/>
  <c r="N72" i="37"/>
  <c r="M72" i="37"/>
  <c r="O72" i="37" s="1"/>
  <c r="L63" i="37"/>
  <c r="L36" i="37"/>
  <c r="L49" i="37"/>
  <c r="L64" i="37"/>
  <c r="L66" i="37"/>
  <c r="L56" i="37"/>
  <c r="L51" i="37"/>
  <c r="L26" i="37"/>
  <c r="L42" i="37"/>
  <c r="L28" i="37"/>
  <c r="L16" i="37"/>
  <c r="L13" i="37"/>
  <c r="L50" i="37"/>
  <c r="L70" i="37"/>
  <c r="L27" i="37"/>
  <c r="L30" i="37"/>
  <c r="L54" i="37"/>
  <c r="L34" i="37"/>
  <c r="N71" i="37"/>
  <c r="M71" i="37"/>
  <c r="O71" i="37" s="1"/>
  <c r="L79" i="37"/>
  <c r="L62" i="37"/>
  <c r="L17" i="37"/>
  <c r="L60" i="37"/>
  <c r="L74" i="37"/>
  <c r="L47" i="37"/>
  <c r="L75" i="37"/>
  <c r="L19" i="37"/>
  <c r="L53" i="37"/>
  <c r="L73" i="37"/>
  <c r="L22" i="37"/>
  <c r="L21" i="37"/>
  <c r="L77" i="37"/>
  <c r="L45" i="37"/>
  <c r="L14" i="37"/>
  <c r="L35" i="37"/>
  <c r="L31" i="37"/>
  <c r="L65" i="37"/>
  <c r="L41" i="37"/>
  <c r="L59" i="37"/>
  <c r="L48" i="37"/>
  <c r="L23" i="37"/>
  <c r="L80" i="37"/>
  <c r="L52" i="37"/>
  <c r="L20" i="37"/>
  <c r="L67" i="37"/>
  <c r="L57" i="37"/>
  <c r="M37" i="37" l="1"/>
  <c r="O37" i="37" s="1"/>
  <c r="M39" i="37"/>
  <c r="O39" i="37" s="1"/>
  <c r="N25" i="37"/>
  <c r="M33" i="37"/>
  <c r="O33" i="37" s="1"/>
  <c r="N33" i="37"/>
  <c r="N59" i="37"/>
  <c r="M59" i="37"/>
  <c r="O59" i="37" s="1"/>
  <c r="N47" i="37"/>
  <c r="M47" i="37"/>
  <c r="O47" i="37" s="1"/>
  <c r="M36" i="37"/>
  <c r="O36" i="37" s="1"/>
  <c r="N36" i="37"/>
  <c r="M32" i="37"/>
  <c r="O32" i="37" s="1"/>
  <c r="N32" i="37"/>
  <c r="M18" i="37"/>
  <c r="O18" i="37" s="1"/>
  <c r="N18" i="37"/>
  <c r="N48" i="37"/>
  <c r="M48" i="37"/>
  <c r="O48" i="37" s="1"/>
  <c r="N75" i="37"/>
  <c r="M75" i="37"/>
  <c r="O75" i="37" s="1"/>
  <c r="M16" i="37"/>
  <c r="O16" i="37" s="1"/>
  <c r="N16" i="37"/>
  <c r="N49" i="37"/>
  <c r="M49" i="37"/>
  <c r="O49" i="37" s="1"/>
  <c r="N61" i="37"/>
  <c r="M61" i="37"/>
  <c r="O61" i="37" s="1"/>
  <c r="M38" i="37"/>
  <c r="O38" i="37" s="1"/>
  <c r="N38" i="37"/>
  <c r="N34" i="37"/>
  <c r="M34" i="37"/>
  <c r="O34" i="37" s="1"/>
  <c r="M28" i="37"/>
  <c r="O28" i="37" s="1"/>
  <c r="N28" i="37"/>
  <c r="N57" i="37"/>
  <c r="M57" i="37"/>
  <c r="O57" i="37" s="1"/>
  <c r="N41" i="37"/>
  <c r="M41" i="37"/>
  <c r="O41" i="37" s="1"/>
  <c r="N77" i="37"/>
  <c r="M77" i="37"/>
  <c r="O77" i="37" s="1"/>
  <c r="N74" i="37"/>
  <c r="M74" i="37"/>
  <c r="O74" i="37" s="1"/>
  <c r="N54" i="37"/>
  <c r="M54" i="37"/>
  <c r="O54" i="37" s="1"/>
  <c r="N42" i="37"/>
  <c r="M42" i="37"/>
  <c r="O42" i="37" s="1"/>
  <c r="N63" i="37"/>
  <c r="M63" i="37"/>
  <c r="O63" i="37" s="1"/>
  <c r="N46" i="37"/>
  <c r="M46" i="37"/>
  <c r="O46" i="37" s="1"/>
  <c r="N67" i="37"/>
  <c r="M67" i="37"/>
  <c r="O67" i="37" s="1"/>
  <c r="N65" i="37"/>
  <c r="M65" i="37"/>
  <c r="O65" i="37" s="1"/>
  <c r="M21" i="37"/>
  <c r="O21" i="37" s="1"/>
  <c r="N21" i="37"/>
  <c r="N60" i="37"/>
  <c r="M60" i="37"/>
  <c r="O60" i="37" s="1"/>
  <c r="M30" i="37"/>
  <c r="O30" i="37" s="1"/>
  <c r="N30" i="37"/>
  <c r="M26" i="37"/>
  <c r="O26" i="37" s="1"/>
  <c r="N26" i="37"/>
  <c r="M24" i="37"/>
  <c r="O24" i="37" s="1"/>
  <c r="N24" i="37"/>
  <c r="N58" i="37"/>
  <c r="M58" i="37"/>
  <c r="O58" i="37" s="1"/>
  <c r="N45" i="37"/>
  <c r="M45" i="37"/>
  <c r="O45" i="37" s="1"/>
  <c r="M20" i="37"/>
  <c r="O20" i="37" s="1"/>
  <c r="N20" i="37"/>
  <c r="M31" i="37"/>
  <c r="O31" i="37" s="1"/>
  <c r="N31" i="37"/>
  <c r="M22" i="37"/>
  <c r="O22" i="37" s="1"/>
  <c r="N22" i="37"/>
  <c r="M17" i="37"/>
  <c r="O17" i="37" s="1"/>
  <c r="N17" i="37"/>
  <c r="M27" i="37"/>
  <c r="O27" i="37" s="1"/>
  <c r="N27" i="37"/>
  <c r="N51" i="37"/>
  <c r="M51" i="37"/>
  <c r="O51" i="37" s="1"/>
  <c r="N55" i="37"/>
  <c r="M55" i="37"/>
  <c r="O55" i="37" s="1"/>
  <c r="N40" i="37"/>
  <c r="M40" i="37"/>
  <c r="O40" i="37" s="1"/>
  <c r="N35" i="37"/>
  <c r="M35" i="37"/>
  <c r="O35" i="37" s="1"/>
  <c r="N56" i="37"/>
  <c r="M56" i="37"/>
  <c r="O56" i="37" s="1"/>
  <c r="M12" i="37"/>
  <c r="N12" i="37"/>
  <c r="N69" i="37"/>
  <c r="M69" i="37"/>
  <c r="O69" i="37" s="1"/>
  <c r="N52" i="37"/>
  <c r="M52" i="37"/>
  <c r="O52" i="37" s="1"/>
  <c r="N62" i="37"/>
  <c r="M62" i="37"/>
  <c r="O62" i="37" s="1"/>
  <c r="M14" i="37"/>
  <c r="O14" i="37" s="1"/>
  <c r="N14" i="37"/>
  <c r="N50" i="37"/>
  <c r="M50" i="37"/>
  <c r="O50" i="37" s="1"/>
  <c r="M15" i="37"/>
  <c r="O15" i="37" s="1"/>
  <c r="N15" i="37"/>
  <c r="N73" i="37"/>
  <c r="M73" i="37"/>
  <c r="O73" i="37" s="1"/>
  <c r="N70" i="37"/>
  <c r="M70" i="37"/>
  <c r="O70" i="37" s="1"/>
  <c r="N80" i="37"/>
  <c r="M80" i="37"/>
  <c r="O80" i="37" s="1"/>
  <c r="N53" i="37"/>
  <c r="M53" i="37"/>
  <c r="O53" i="37" s="1"/>
  <c r="N79" i="37"/>
  <c r="M79" i="37"/>
  <c r="O79" i="37" s="1"/>
  <c r="N66" i="37"/>
  <c r="M66" i="37"/>
  <c r="O66" i="37" s="1"/>
  <c r="N78" i="37"/>
  <c r="M78" i="37"/>
  <c r="O78" i="37" s="1"/>
  <c r="M23" i="37"/>
  <c r="O23" i="37" s="1"/>
  <c r="N23" i="37"/>
  <c r="M19" i="37"/>
  <c r="O19" i="37" s="1"/>
  <c r="N19" i="37"/>
  <c r="M13" i="37"/>
  <c r="O13" i="37" s="1"/>
  <c r="N13" i="37"/>
  <c r="N64" i="37"/>
  <c r="M64" i="37"/>
  <c r="O64" i="37" s="1"/>
  <c r="N43" i="37"/>
  <c r="M43" i="37"/>
  <c r="O43" i="37" s="1"/>
  <c r="M29" i="37"/>
  <c r="O29" i="37" s="1"/>
  <c r="N29" i="37"/>
  <c r="N81" i="37"/>
  <c r="M81" i="37"/>
  <c r="O81" i="37" s="1"/>
  <c r="M11" i="37" l="1"/>
  <c r="L9" i="37" s="1"/>
  <c r="O12" i="37"/>
  <c r="O11" i="37" s="1"/>
  <c r="B7" i="36" l="1"/>
  <c r="B6" i="36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11" i="35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12" i="36"/>
  <c r="I6" i="35" l="1"/>
  <c r="J5" i="35"/>
  <c r="B4" i="36" l="1"/>
  <c r="B4" i="35"/>
  <c r="J5" i="36" l="1"/>
  <c r="J81" i="36" s="1"/>
  <c r="I11" i="36"/>
  <c r="H81" i="36"/>
  <c r="K81" i="36"/>
  <c r="K71" i="36"/>
  <c r="H71" i="36"/>
  <c r="B3" i="36" l="1"/>
  <c r="H80" i="36"/>
  <c r="K80" i="36"/>
  <c r="H79" i="36"/>
  <c r="K79" i="36"/>
  <c r="H78" i="36"/>
  <c r="K78" i="36"/>
  <c r="H77" i="36"/>
  <c r="K77" i="36"/>
  <c r="H76" i="36"/>
  <c r="K76" i="36"/>
  <c r="H75" i="36"/>
  <c r="K75" i="36"/>
  <c r="H74" i="36"/>
  <c r="K74" i="36"/>
  <c r="H73" i="36"/>
  <c r="K73" i="36"/>
  <c r="H72" i="36"/>
  <c r="K72" i="36"/>
  <c r="H70" i="36"/>
  <c r="K70" i="36"/>
  <c r="H69" i="36"/>
  <c r="K69" i="36"/>
  <c r="H68" i="36"/>
  <c r="K68" i="36"/>
  <c r="H67" i="36"/>
  <c r="K67" i="36"/>
  <c r="H66" i="36"/>
  <c r="K66" i="36"/>
  <c r="H65" i="36"/>
  <c r="K65" i="36"/>
  <c r="H64" i="36"/>
  <c r="K64" i="36"/>
  <c r="H63" i="36"/>
  <c r="K63" i="36"/>
  <c r="H62" i="36"/>
  <c r="K62" i="36"/>
  <c r="H61" i="36"/>
  <c r="K61" i="36"/>
  <c r="H60" i="36"/>
  <c r="K60" i="36"/>
  <c r="H59" i="36"/>
  <c r="K59" i="36"/>
  <c r="H58" i="36"/>
  <c r="K58" i="36"/>
  <c r="H57" i="36"/>
  <c r="K57" i="36"/>
  <c r="H56" i="36"/>
  <c r="K56" i="36"/>
  <c r="H55" i="36"/>
  <c r="K55" i="36"/>
  <c r="H54" i="36"/>
  <c r="K54" i="36"/>
  <c r="H53" i="36"/>
  <c r="K53" i="36"/>
  <c r="H52" i="36"/>
  <c r="K52" i="36"/>
  <c r="H51" i="36"/>
  <c r="K51" i="36"/>
  <c r="H50" i="36"/>
  <c r="K50" i="36"/>
  <c r="H49" i="36"/>
  <c r="K49" i="36"/>
  <c r="H48" i="36"/>
  <c r="K48" i="36"/>
  <c r="H47" i="36"/>
  <c r="K47" i="36"/>
  <c r="H46" i="36"/>
  <c r="K46" i="36"/>
  <c r="H45" i="36"/>
  <c r="K45" i="36"/>
  <c r="H44" i="36"/>
  <c r="K44" i="36"/>
  <c r="H43" i="36"/>
  <c r="K43" i="36"/>
  <c r="H42" i="36"/>
  <c r="K42" i="36"/>
  <c r="H41" i="36"/>
  <c r="K41" i="36"/>
  <c r="H40" i="36"/>
  <c r="K40" i="36"/>
  <c r="H39" i="36"/>
  <c r="K39" i="36"/>
  <c r="H38" i="36"/>
  <c r="K38" i="36"/>
  <c r="H37" i="36"/>
  <c r="K37" i="36"/>
  <c r="H36" i="36"/>
  <c r="K36" i="36"/>
  <c r="H35" i="36"/>
  <c r="K35" i="36"/>
  <c r="H34" i="36"/>
  <c r="K34" i="36"/>
  <c r="H33" i="36"/>
  <c r="K33" i="36"/>
  <c r="H32" i="36"/>
  <c r="K32" i="36"/>
  <c r="H31" i="36"/>
  <c r="K31" i="36"/>
  <c r="H30" i="36"/>
  <c r="K30" i="36"/>
  <c r="H29" i="36"/>
  <c r="K29" i="36"/>
  <c r="H28" i="36"/>
  <c r="K28" i="36"/>
  <c r="H27" i="36"/>
  <c r="K27" i="36"/>
  <c r="H26" i="36"/>
  <c r="K26" i="36"/>
  <c r="H25" i="36"/>
  <c r="K25" i="36"/>
  <c r="H24" i="36"/>
  <c r="K24" i="36"/>
  <c r="H23" i="36"/>
  <c r="K23" i="36"/>
  <c r="H22" i="36"/>
  <c r="K22" i="36"/>
  <c r="H21" i="36"/>
  <c r="K21" i="36"/>
  <c r="H20" i="36"/>
  <c r="K20" i="36"/>
  <c r="H19" i="36"/>
  <c r="K19" i="36"/>
  <c r="H18" i="36"/>
  <c r="K18" i="36"/>
  <c r="H17" i="36"/>
  <c r="K17" i="36"/>
  <c r="H16" i="36"/>
  <c r="K16" i="36"/>
  <c r="H15" i="36"/>
  <c r="K15" i="36"/>
  <c r="H14" i="36"/>
  <c r="K14" i="36"/>
  <c r="H13" i="36"/>
  <c r="K13" i="36"/>
  <c r="H12" i="36"/>
  <c r="K12" i="36"/>
  <c r="H63" i="35"/>
  <c r="K20" i="35"/>
  <c r="H20" i="35"/>
  <c r="O5" i="35"/>
  <c r="N5" i="35"/>
  <c r="K5" i="35"/>
  <c r="J6" i="35"/>
  <c r="J17" i="35"/>
  <c r="B3" i="35"/>
  <c r="H82" i="35"/>
  <c r="K82" i="35"/>
  <c r="H81" i="35"/>
  <c r="K81" i="35"/>
  <c r="H80" i="35"/>
  <c r="K80" i="35"/>
  <c r="H79" i="35"/>
  <c r="K79" i="35"/>
  <c r="H78" i="35"/>
  <c r="K78" i="35"/>
  <c r="H77" i="35"/>
  <c r="K77" i="35"/>
  <c r="H76" i="35"/>
  <c r="K76" i="35"/>
  <c r="H75" i="35"/>
  <c r="K75" i="35"/>
  <c r="H74" i="35"/>
  <c r="K74" i="35"/>
  <c r="H73" i="35"/>
  <c r="K73" i="35"/>
  <c r="H72" i="35"/>
  <c r="K72" i="35"/>
  <c r="H71" i="35"/>
  <c r="K71" i="35"/>
  <c r="H70" i="35"/>
  <c r="K70" i="35"/>
  <c r="H69" i="35"/>
  <c r="K69" i="35"/>
  <c r="H68" i="35"/>
  <c r="K68" i="35"/>
  <c r="H67" i="35"/>
  <c r="K67" i="35"/>
  <c r="H66" i="35"/>
  <c r="K66" i="35"/>
  <c r="H65" i="35"/>
  <c r="K65" i="35"/>
  <c r="H64" i="35"/>
  <c r="K64" i="35"/>
  <c r="K63" i="35"/>
  <c r="H62" i="35"/>
  <c r="K62" i="35"/>
  <c r="H61" i="35"/>
  <c r="K61" i="35"/>
  <c r="K60" i="35"/>
  <c r="H60" i="35"/>
  <c r="H59" i="35"/>
  <c r="K59" i="35"/>
  <c r="H58" i="35"/>
  <c r="K58" i="35"/>
  <c r="H57" i="35"/>
  <c r="K57" i="35"/>
  <c r="H56" i="35"/>
  <c r="K56" i="35"/>
  <c r="H55" i="35"/>
  <c r="K55" i="35"/>
  <c r="H54" i="35"/>
  <c r="K54" i="35"/>
  <c r="H53" i="35"/>
  <c r="K53" i="35"/>
  <c r="H52" i="35"/>
  <c r="K52" i="35"/>
  <c r="H51" i="35"/>
  <c r="K51" i="35"/>
  <c r="H50" i="35"/>
  <c r="K50" i="35"/>
  <c r="H49" i="35"/>
  <c r="K49" i="35"/>
  <c r="H48" i="35"/>
  <c r="K48" i="35"/>
  <c r="H47" i="35"/>
  <c r="K47" i="35"/>
  <c r="H46" i="35"/>
  <c r="K46" i="35"/>
  <c r="H45" i="35"/>
  <c r="K45" i="35"/>
  <c r="H44" i="35"/>
  <c r="K44" i="35"/>
  <c r="H43" i="35"/>
  <c r="K43" i="35"/>
  <c r="H42" i="35"/>
  <c r="K42" i="35"/>
  <c r="H41" i="35"/>
  <c r="K41" i="35"/>
  <c r="H40" i="35"/>
  <c r="K40" i="35"/>
  <c r="H39" i="35"/>
  <c r="K39" i="35"/>
  <c r="H38" i="35"/>
  <c r="K38" i="35"/>
  <c r="H37" i="35"/>
  <c r="K37" i="35"/>
  <c r="H36" i="35"/>
  <c r="K36" i="35"/>
  <c r="H35" i="35"/>
  <c r="K35" i="35"/>
  <c r="H34" i="35"/>
  <c r="K34" i="35"/>
  <c r="H33" i="35"/>
  <c r="K33" i="35"/>
  <c r="H32" i="35"/>
  <c r="K32" i="35"/>
  <c r="H31" i="35"/>
  <c r="K31" i="35"/>
  <c r="H30" i="35"/>
  <c r="K30" i="35"/>
  <c r="H29" i="35"/>
  <c r="K29" i="35"/>
  <c r="H28" i="35"/>
  <c r="K28" i="35"/>
  <c r="H27" i="35"/>
  <c r="K27" i="35"/>
  <c r="H26" i="35"/>
  <c r="K26" i="35"/>
  <c r="H25" i="35"/>
  <c r="K25" i="35"/>
  <c r="H24" i="35"/>
  <c r="K24" i="35"/>
  <c r="H23" i="35"/>
  <c r="K23" i="35"/>
  <c r="H22" i="35"/>
  <c r="K22" i="35"/>
  <c r="H21" i="35"/>
  <c r="K21" i="35"/>
  <c r="H19" i="35"/>
  <c r="K19" i="35"/>
  <c r="H18" i="35"/>
  <c r="K18" i="35"/>
  <c r="H17" i="35"/>
  <c r="K17" i="35"/>
  <c r="H16" i="35"/>
  <c r="K16" i="35"/>
  <c r="J15" i="35"/>
  <c r="H15" i="35"/>
  <c r="K15" i="35"/>
  <c r="H14" i="35"/>
  <c r="K14" i="35"/>
  <c r="H13" i="35"/>
  <c r="K13" i="35"/>
  <c r="H12" i="35"/>
  <c r="K12" i="35"/>
  <c r="H11" i="35"/>
  <c r="K11" i="35"/>
  <c r="I10" i="35"/>
  <c r="I1" i="35"/>
  <c r="J8" i="34"/>
  <c r="J6" i="34"/>
  <c r="J5" i="34"/>
  <c r="B4" i="34"/>
  <c r="O5" i="34"/>
  <c r="N5" i="34"/>
  <c r="K5" i="34"/>
  <c r="L5" i="34" s="1"/>
  <c r="M5" i="34" s="1"/>
  <c r="B3" i="34"/>
  <c r="H82" i="34"/>
  <c r="B82" i="34"/>
  <c r="K82" i="34" s="1"/>
  <c r="H81" i="34"/>
  <c r="B81" i="34"/>
  <c r="K81" i="34" s="1"/>
  <c r="H80" i="34"/>
  <c r="B80" i="34"/>
  <c r="K80" i="34" s="1"/>
  <c r="H79" i="34"/>
  <c r="B79" i="34"/>
  <c r="K79" i="34" s="1"/>
  <c r="H78" i="34"/>
  <c r="B78" i="34"/>
  <c r="K78" i="34" s="1"/>
  <c r="H77" i="34"/>
  <c r="B77" i="34"/>
  <c r="K77" i="34" s="1"/>
  <c r="H76" i="34"/>
  <c r="B76" i="34"/>
  <c r="K76" i="34" s="1"/>
  <c r="H75" i="34"/>
  <c r="B75" i="34"/>
  <c r="K75" i="34" s="1"/>
  <c r="H74" i="34"/>
  <c r="B74" i="34"/>
  <c r="K74" i="34" s="1"/>
  <c r="H73" i="34"/>
  <c r="B73" i="34"/>
  <c r="K73" i="34" s="1"/>
  <c r="H72" i="34"/>
  <c r="B72" i="34"/>
  <c r="K72" i="34" s="1"/>
  <c r="H71" i="34"/>
  <c r="B71" i="34"/>
  <c r="K71" i="34" s="1"/>
  <c r="H70" i="34"/>
  <c r="B70" i="34"/>
  <c r="K70" i="34" s="1"/>
  <c r="H69" i="34"/>
  <c r="B69" i="34"/>
  <c r="K69" i="34" s="1"/>
  <c r="H68" i="34"/>
  <c r="B68" i="34"/>
  <c r="K68" i="34" s="1"/>
  <c r="H67" i="34"/>
  <c r="B67" i="34"/>
  <c r="K67" i="34" s="1"/>
  <c r="H66" i="34"/>
  <c r="B66" i="34"/>
  <c r="K66" i="34" s="1"/>
  <c r="H65" i="34"/>
  <c r="B65" i="34"/>
  <c r="K65" i="34" s="1"/>
  <c r="H64" i="34"/>
  <c r="B64" i="34"/>
  <c r="K64" i="34" s="1"/>
  <c r="H63" i="34"/>
  <c r="B63" i="34"/>
  <c r="K63" i="34" s="1"/>
  <c r="H62" i="34"/>
  <c r="B62" i="34"/>
  <c r="K62" i="34" s="1"/>
  <c r="H61" i="34"/>
  <c r="B61" i="34"/>
  <c r="K61" i="34" s="1"/>
  <c r="H60" i="34"/>
  <c r="B60" i="34"/>
  <c r="K60" i="34" s="1"/>
  <c r="H59" i="34"/>
  <c r="B59" i="34"/>
  <c r="K59" i="34" s="1"/>
  <c r="H58" i="34"/>
  <c r="B58" i="34"/>
  <c r="K58" i="34" s="1"/>
  <c r="H57" i="34"/>
  <c r="B57" i="34"/>
  <c r="K57" i="34" s="1"/>
  <c r="H56" i="34"/>
  <c r="B56" i="34"/>
  <c r="K56" i="34" s="1"/>
  <c r="H55" i="34"/>
  <c r="B55" i="34"/>
  <c r="K55" i="34" s="1"/>
  <c r="H54" i="34"/>
  <c r="B54" i="34"/>
  <c r="K54" i="34" s="1"/>
  <c r="H53" i="34"/>
  <c r="B53" i="34"/>
  <c r="K53" i="34" s="1"/>
  <c r="H52" i="34"/>
  <c r="B52" i="34"/>
  <c r="K52" i="34" s="1"/>
  <c r="H51" i="34"/>
  <c r="B51" i="34"/>
  <c r="K51" i="34" s="1"/>
  <c r="H50" i="34"/>
  <c r="B50" i="34"/>
  <c r="K50" i="34" s="1"/>
  <c r="H49" i="34"/>
  <c r="B49" i="34"/>
  <c r="K49" i="34" s="1"/>
  <c r="H48" i="34"/>
  <c r="B48" i="34"/>
  <c r="K48" i="34" s="1"/>
  <c r="H47" i="34"/>
  <c r="B47" i="34"/>
  <c r="K47" i="34" s="1"/>
  <c r="H46" i="34"/>
  <c r="B46" i="34"/>
  <c r="K46" i="34" s="1"/>
  <c r="H45" i="34"/>
  <c r="B45" i="34"/>
  <c r="K45" i="34" s="1"/>
  <c r="H44" i="34"/>
  <c r="B44" i="34"/>
  <c r="K44" i="34" s="1"/>
  <c r="H43" i="34"/>
  <c r="B43" i="34"/>
  <c r="K43" i="34" s="1"/>
  <c r="H42" i="34"/>
  <c r="B42" i="34"/>
  <c r="K42" i="34" s="1"/>
  <c r="H41" i="34"/>
  <c r="B41" i="34"/>
  <c r="K41" i="34" s="1"/>
  <c r="H40" i="34"/>
  <c r="B40" i="34"/>
  <c r="K40" i="34" s="1"/>
  <c r="H39" i="34"/>
  <c r="B39" i="34"/>
  <c r="K39" i="34" s="1"/>
  <c r="H38" i="34"/>
  <c r="B38" i="34"/>
  <c r="K38" i="34" s="1"/>
  <c r="H37" i="34"/>
  <c r="B37" i="34"/>
  <c r="K37" i="34" s="1"/>
  <c r="H36" i="34"/>
  <c r="B36" i="34"/>
  <c r="K36" i="34" s="1"/>
  <c r="H35" i="34"/>
  <c r="B35" i="34"/>
  <c r="K35" i="34" s="1"/>
  <c r="H34" i="34"/>
  <c r="B34" i="34"/>
  <c r="K34" i="34" s="1"/>
  <c r="H33" i="34"/>
  <c r="B33" i="34"/>
  <c r="K33" i="34" s="1"/>
  <c r="H32" i="34"/>
  <c r="B32" i="34"/>
  <c r="K32" i="34" s="1"/>
  <c r="H31" i="34"/>
  <c r="B31" i="34"/>
  <c r="K31" i="34" s="1"/>
  <c r="H30" i="34"/>
  <c r="B30" i="34"/>
  <c r="K30" i="34" s="1"/>
  <c r="H29" i="34"/>
  <c r="B29" i="34"/>
  <c r="K29" i="34" s="1"/>
  <c r="H28" i="34"/>
  <c r="B28" i="34"/>
  <c r="K28" i="34" s="1"/>
  <c r="H27" i="34"/>
  <c r="B27" i="34"/>
  <c r="K27" i="34" s="1"/>
  <c r="H26" i="34"/>
  <c r="B26" i="34"/>
  <c r="K26" i="34" s="1"/>
  <c r="H25" i="34"/>
  <c r="B25" i="34"/>
  <c r="K25" i="34" s="1"/>
  <c r="H24" i="34"/>
  <c r="B24" i="34"/>
  <c r="K24" i="34" s="1"/>
  <c r="H23" i="34"/>
  <c r="B23" i="34"/>
  <c r="K23" i="34" s="1"/>
  <c r="H22" i="34"/>
  <c r="B22" i="34"/>
  <c r="K22" i="34" s="1"/>
  <c r="H21" i="34"/>
  <c r="B21" i="34"/>
  <c r="K21" i="34" s="1"/>
  <c r="H20" i="34"/>
  <c r="B20" i="34"/>
  <c r="K20" i="34" s="1"/>
  <c r="H19" i="34"/>
  <c r="B19" i="34"/>
  <c r="K19" i="34" s="1"/>
  <c r="H18" i="34"/>
  <c r="B18" i="34"/>
  <c r="K18" i="34" s="1"/>
  <c r="H17" i="34"/>
  <c r="B17" i="34"/>
  <c r="K17" i="34" s="1"/>
  <c r="H16" i="34"/>
  <c r="B16" i="34"/>
  <c r="K16" i="34" s="1"/>
  <c r="H15" i="34"/>
  <c r="B15" i="34"/>
  <c r="K15" i="34" s="1"/>
  <c r="H14" i="34"/>
  <c r="B14" i="34"/>
  <c r="K14" i="34" s="1"/>
  <c r="H13" i="34"/>
  <c r="B13" i="34"/>
  <c r="K13" i="34" s="1"/>
  <c r="H12" i="34"/>
  <c r="B12" i="34"/>
  <c r="K12" i="34" s="1"/>
  <c r="H11" i="34"/>
  <c r="B11" i="34"/>
  <c r="K11" i="34" s="1"/>
  <c r="I10" i="34"/>
  <c r="J82" i="34"/>
  <c r="I1" i="34"/>
  <c r="I8" i="24"/>
  <c r="B22" i="24"/>
  <c r="K22" i="24" s="1"/>
  <c r="H22" i="24"/>
  <c r="J22" i="24"/>
  <c r="B20" i="24"/>
  <c r="K20" i="24" s="1"/>
  <c r="H20" i="24"/>
  <c r="J20" i="24"/>
  <c r="B18" i="24"/>
  <c r="K18" i="24" s="1"/>
  <c r="H18" i="24"/>
  <c r="J18" i="24"/>
  <c r="C4" i="4"/>
  <c r="J21" i="4"/>
  <c r="H21" i="4"/>
  <c r="B21" i="4"/>
  <c r="K21" i="4" s="1"/>
  <c r="H19" i="4"/>
  <c r="B19" i="4"/>
  <c r="K19" i="4" s="1"/>
  <c r="H17" i="4"/>
  <c r="B17" i="4"/>
  <c r="K17" i="4" s="1"/>
  <c r="O5" i="4"/>
  <c r="N5" i="4"/>
  <c r="B18" i="27"/>
  <c r="K18" i="27" s="1"/>
  <c r="H18" i="27"/>
  <c r="J18" i="27"/>
  <c r="B20" i="27"/>
  <c r="K20" i="27" s="1"/>
  <c r="H20" i="27"/>
  <c r="O5" i="27"/>
  <c r="N5" i="27"/>
  <c r="C4" i="25"/>
  <c r="C4" i="26"/>
  <c r="P31" i="36" l="1"/>
  <c r="Q31" i="36"/>
  <c r="P34" i="36"/>
  <c r="P38" i="36"/>
  <c r="P35" i="36"/>
  <c r="P36" i="36"/>
  <c r="Q36" i="36"/>
  <c r="Q71" i="36"/>
  <c r="P81" i="36"/>
  <c r="Q33" i="36"/>
  <c r="Q37" i="36"/>
  <c r="Q81" i="36"/>
  <c r="Q34" i="36"/>
  <c r="Q38" i="36"/>
  <c r="Q35" i="36"/>
  <c r="Q45" i="36"/>
  <c r="P71" i="36"/>
  <c r="P33" i="36"/>
  <c r="P37" i="36"/>
  <c r="P45" i="36"/>
  <c r="C3" i="36"/>
  <c r="K11" i="36"/>
  <c r="J80" i="36"/>
  <c r="J71" i="36"/>
  <c r="J9" i="36"/>
  <c r="I9" i="36" s="1"/>
  <c r="I1" i="36" s="1"/>
  <c r="L5" i="36"/>
  <c r="M5" i="36" s="1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J33" i="36"/>
  <c r="J34" i="36"/>
  <c r="J35" i="36"/>
  <c r="J36" i="36"/>
  <c r="J37" i="36"/>
  <c r="J38" i="36"/>
  <c r="J39" i="36"/>
  <c r="J40" i="36"/>
  <c r="J41" i="36"/>
  <c r="J42" i="36"/>
  <c r="J43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J57" i="36"/>
  <c r="J58" i="36"/>
  <c r="J59" i="36"/>
  <c r="J60" i="36"/>
  <c r="J61" i="36"/>
  <c r="J62" i="36"/>
  <c r="J63" i="36"/>
  <c r="J64" i="36"/>
  <c r="J65" i="36"/>
  <c r="J66" i="36"/>
  <c r="J67" i="36"/>
  <c r="J68" i="36"/>
  <c r="J69" i="36"/>
  <c r="J70" i="36"/>
  <c r="J72" i="36"/>
  <c r="J73" i="36"/>
  <c r="J74" i="36"/>
  <c r="J75" i="36"/>
  <c r="J76" i="36"/>
  <c r="J77" i="36"/>
  <c r="J78" i="36"/>
  <c r="J79" i="36"/>
  <c r="L5" i="35"/>
  <c r="M5" i="35" s="1"/>
  <c r="J13" i="35"/>
  <c r="J20" i="35"/>
  <c r="J12" i="35"/>
  <c r="B6" i="35"/>
  <c r="K10" i="35"/>
  <c r="J8" i="35"/>
  <c r="J82" i="35"/>
  <c r="J81" i="35"/>
  <c r="J80" i="35"/>
  <c r="J79" i="35"/>
  <c r="J78" i="35"/>
  <c r="J77" i="35"/>
  <c r="J76" i="35"/>
  <c r="J75" i="35"/>
  <c r="J74" i="35"/>
  <c r="J73" i="35"/>
  <c r="J72" i="35"/>
  <c r="J71" i="35"/>
  <c r="J70" i="35"/>
  <c r="J69" i="35"/>
  <c r="J68" i="35"/>
  <c r="J67" i="35"/>
  <c r="J66" i="35"/>
  <c r="J65" i="35"/>
  <c r="J64" i="35"/>
  <c r="J63" i="35"/>
  <c r="J62" i="35"/>
  <c r="J61" i="35"/>
  <c r="J60" i="35"/>
  <c r="J59" i="35"/>
  <c r="J58" i="35"/>
  <c r="J57" i="35"/>
  <c r="J56" i="35"/>
  <c r="J55" i="35"/>
  <c r="J54" i="35"/>
  <c r="J53" i="35"/>
  <c r="J52" i="35"/>
  <c r="J51" i="35"/>
  <c r="J50" i="35"/>
  <c r="J49" i="35"/>
  <c r="J48" i="35"/>
  <c r="J47" i="35"/>
  <c r="J46" i="35"/>
  <c r="J45" i="35"/>
  <c r="J44" i="35"/>
  <c r="J43" i="35"/>
  <c r="J42" i="35"/>
  <c r="J41" i="35"/>
  <c r="J40" i="35"/>
  <c r="J39" i="35"/>
  <c r="J38" i="35"/>
  <c r="J37" i="35"/>
  <c r="J36" i="35"/>
  <c r="J35" i="35"/>
  <c r="J34" i="35"/>
  <c r="J33" i="35"/>
  <c r="J32" i="35"/>
  <c r="J31" i="35"/>
  <c r="J30" i="35"/>
  <c r="J29" i="35"/>
  <c r="J28" i="35"/>
  <c r="J27" i="35"/>
  <c r="J26" i="35"/>
  <c r="J25" i="35"/>
  <c r="J24" i="35"/>
  <c r="J23" i="35"/>
  <c r="J22" i="35"/>
  <c r="J21" i="35"/>
  <c r="J19" i="35"/>
  <c r="J18" i="35"/>
  <c r="J11" i="35"/>
  <c r="J16" i="35"/>
  <c r="J14" i="35"/>
  <c r="B6" i="34"/>
  <c r="F10" i="34" s="1"/>
  <c r="L24" i="34" s="1"/>
  <c r="K10" i="34"/>
  <c r="J11" i="34"/>
  <c r="J12" i="34"/>
  <c r="J13" i="34"/>
  <c r="J14" i="34"/>
  <c r="J15" i="34"/>
  <c r="J16" i="34"/>
  <c r="J17" i="34"/>
  <c r="J18" i="34"/>
  <c r="J19" i="34"/>
  <c r="J20" i="34"/>
  <c r="J21" i="34"/>
  <c r="J22" i="34"/>
  <c r="J23" i="34"/>
  <c r="J24" i="34"/>
  <c r="J25" i="34"/>
  <c r="J26" i="34"/>
  <c r="J27" i="34"/>
  <c r="J28" i="34"/>
  <c r="J29" i="34"/>
  <c r="J30" i="34"/>
  <c r="J31" i="34"/>
  <c r="J32" i="34"/>
  <c r="J33" i="34"/>
  <c r="J34" i="34"/>
  <c r="J35" i="34"/>
  <c r="J36" i="34"/>
  <c r="J37" i="34"/>
  <c r="J38" i="34"/>
  <c r="J39" i="34"/>
  <c r="J40" i="34"/>
  <c r="J41" i="34"/>
  <c r="J42" i="34"/>
  <c r="J43" i="34"/>
  <c r="J44" i="34"/>
  <c r="J45" i="34"/>
  <c r="J46" i="34"/>
  <c r="J47" i="34"/>
  <c r="J48" i="34"/>
  <c r="J49" i="34"/>
  <c r="J50" i="34"/>
  <c r="J51" i="34"/>
  <c r="J52" i="34"/>
  <c r="J53" i="34"/>
  <c r="J54" i="34"/>
  <c r="J55" i="34"/>
  <c r="J56" i="34"/>
  <c r="J57" i="34"/>
  <c r="J58" i="34"/>
  <c r="J59" i="34"/>
  <c r="J60" i="34"/>
  <c r="J61" i="34"/>
  <c r="J62" i="34"/>
  <c r="J63" i="34"/>
  <c r="J64" i="34"/>
  <c r="J65" i="34"/>
  <c r="J66" i="34"/>
  <c r="J67" i="34"/>
  <c r="J68" i="34"/>
  <c r="J69" i="34"/>
  <c r="J70" i="34"/>
  <c r="J71" i="34"/>
  <c r="J72" i="34"/>
  <c r="J73" i="34"/>
  <c r="J74" i="34"/>
  <c r="J75" i="34"/>
  <c r="J76" i="34"/>
  <c r="J77" i="34"/>
  <c r="J78" i="34"/>
  <c r="J79" i="34"/>
  <c r="J80" i="34"/>
  <c r="J81" i="34"/>
  <c r="F10" i="35" l="1"/>
  <c r="K6" i="35"/>
  <c r="J11" i="36"/>
  <c r="L20" i="35"/>
  <c r="N20" i="35" s="1"/>
  <c r="L40" i="35"/>
  <c r="N40" i="35" s="1"/>
  <c r="L57" i="35"/>
  <c r="N57" i="35" s="1"/>
  <c r="L31" i="35"/>
  <c r="M31" i="35" s="1"/>
  <c r="O31" i="35" s="1"/>
  <c r="L80" i="35"/>
  <c r="N80" i="35" s="1"/>
  <c r="L16" i="35"/>
  <c r="N16" i="35" s="1"/>
  <c r="L19" i="35"/>
  <c r="N19" i="35" s="1"/>
  <c r="L77" i="35"/>
  <c r="N77" i="35" s="1"/>
  <c r="L65" i="35"/>
  <c r="N65" i="35" s="1"/>
  <c r="L73" i="35"/>
  <c r="N73" i="35" s="1"/>
  <c r="L44" i="35"/>
  <c r="N44" i="35" s="1"/>
  <c r="L71" i="35"/>
  <c r="N71" i="35" s="1"/>
  <c r="L38" i="35"/>
  <c r="N38" i="35" s="1"/>
  <c r="L67" i="35"/>
  <c r="N67" i="35" s="1"/>
  <c r="L17" i="35"/>
  <c r="N17" i="35" s="1"/>
  <c r="L42" i="35"/>
  <c r="N42" i="35" s="1"/>
  <c r="L14" i="35"/>
  <c r="M14" i="35" s="1"/>
  <c r="O14" i="35" s="1"/>
  <c r="L78" i="35"/>
  <c r="N78" i="35" s="1"/>
  <c r="L55" i="35"/>
  <c r="N55" i="35" s="1"/>
  <c r="L74" i="35"/>
  <c r="N74" i="35" s="1"/>
  <c r="L63" i="35"/>
  <c r="N63" i="35" s="1"/>
  <c r="L41" i="35"/>
  <c r="M41" i="35" s="1"/>
  <c r="O41" i="35" s="1"/>
  <c r="L79" i="35"/>
  <c r="N79" i="35" s="1"/>
  <c r="L11" i="35"/>
  <c r="N11" i="35" s="1"/>
  <c r="L56" i="35"/>
  <c r="M56" i="35" s="1"/>
  <c r="O56" i="35" s="1"/>
  <c r="L48" i="35"/>
  <c r="N48" i="35" s="1"/>
  <c r="L46" i="35"/>
  <c r="N46" i="35" s="1"/>
  <c r="L64" i="35"/>
  <c r="N64" i="35" s="1"/>
  <c r="L69" i="35"/>
  <c r="N69" i="35" s="1"/>
  <c r="L82" i="35"/>
  <c r="N82" i="35" s="1"/>
  <c r="L25" i="35"/>
  <c r="M25" i="35" s="1"/>
  <c r="O25" i="35" s="1"/>
  <c r="L75" i="35"/>
  <c r="N75" i="35" s="1"/>
  <c r="L22" i="35"/>
  <c r="N22" i="35" s="1"/>
  <c r="L52" i="35"/>
  <c r="M52" i="35" s="1"/>
  <c r="O52" i="35" s="1"/>
  <c r="L50" i="35"/>
  <c r="M50" i="35" s="1"/>
  <c r="O50" i="35" s="1"/>
  <c r="L49" i="35"/>
  <c r="N49" i="35" s="1"/>
  <c r="L68" i="35"/>
  <c r="N68" i="35" s="1"/>
  <c r="L24" i="35"/>
  <c r="N24" i="35" s="1"/>
  <c r="L54" i="35"/>
  <c r="N54" i="35" s="1"/>
  <c r="L45" i="35"/>
  <c r="N45" i="35" s="1"/>
  <c r="L53" i="35"/>
  <c r="M53" i="35" s="1"/>
  <c r="O53" i="35" s="1"/>
  <c r="L28" i="35"/>
  <c r="M28" i="35" s="1"/>
  <c r="O28" i="35" s="1"/>
  <c r="L26" i="35"/>
  <c r="N26" i="35" s="1"/>
  <c r="L13" i="35"/>
  <c r="M13" i="35" s="1"/>
  <c r="O13" i="35" s="1"/>
  <c r="L29" i="35"/>
  <c r="M29" i="35" s="1"/>
  <c r="O29" i="35" s="1"/>
  <c r="L76" i="35"/>
  <c r="N76" i="35" s="1"/>
  <c r="L62" i="35"/>
  <c r="M62" i="35" s="1"/>
  <c r="O62" i="35" s="1"/>
  <c r="L37" i="35"/>
  <c r="N37" i="35" s="1"/>
  <c r="L43" i="35"/>
  <c r="N43" i="35" s="1"/>
  <c r="L32" i="35"/>
  <c r="M32" i="35" s="1"/>
  <c r="O32" i="35" s="1"/>
  <c r="L30" i="35"/>
  <c r="N30" i="35" s="1"/>
  <c r="L58" i="35"/>
  <c r="M58" i="35" s="1"/>
  <c r="O58" i="35" s="1"/>
  <c r="L70" i="35"/>
  <c r="N70" i="35" s="1"/>
  <c r="L12" i="35"/>
  <c r="N12" i="35" s="1"/>
  <c r="L15" i="35"/>
  <c r="N15" i="35" s="1"/>
  <c r="L35" i="35"/>
  <c r="M35" i="35" s="1"/>
  <c r="O35" i="35" s="1"/>
  <c r="L60" i="35"/>
  <c r="N60" i="35" s="1"/>
  <c r="L33" i="35"/>
  <c r="N33" i="35" s="1"/>
  <c r="L23" i="35"/>
  <c r="N23" i="35" s="1"/>
  <c r="L59" i="35"/>
  <c r="M59" i="35" s="1"/>
  <c r="O59" i="35" s="1"/>
  <c r="L61" i="35"/>
  <c r="N61" i="35" s="1"/>
  <c r="L81" i="35"/>
  <c r="N81" i="35" s="1"/>
  <c r="L72" i="35"/>
  <c r="M72" i="35" s="1"/>
  <c r="O72" i="35" s="1"/>
  <c r="L47" i="35"/>
  <c r="N47" i="35" s="1"/>
  <c r="L21" i="35"/>
  <c r="N21" i="35" s="1"/>
  <c r="L27" i="35"/>
  <c r="N27" i="35" s="1"/>
  <c r="L36" i="35"/>
  <c r="N36" i="35" s="1"/>
  <c r="L34" i="35"/>
  <c r="M34" i="35" s="1"/>
  <c r="O34" i="35" s="1"/>
  <c r="L66" i="35"/>
  <c r="M66" i="35" s="1"/>
  <c r="O66" i="35" s="1"/>
  <c r="L39" i="35"/>
  <c r="N39" i="35" s="1"/>
  <c r="J10" i="35"/>
  <c r="L16" i="34"/>
  <c r="N16" i="34" s="1"/>
  <c r="L53" i="34"/>
  <c r="M53" i="34" s="1"/>
  <c r="O53" i="34" s="1"/>
  <c r="L38" i="34"/>
  <c r="N38" i="34" s="1"/>
  <c r="L23" i="34"/>
  <c r="M23" i="34" s="1"/>
  <c r="O23" i="34" s="1"/>
  <c r="L78" i="34"/>
  <c r="M78" i="34" s="1"/>
  <c r="O78" i="34" s="1"/>
  <c r="L43" i="34"/>
  <c r="N43" i="34" s="1"/>
  <c r="L40" i="34"/>
  <c r="N40" i="34" s="1"/>
  <c r="L30" i="34"/>
  <c r="N30" i="34" s="1"/>
  <c r="L73" i="34"/>
  <c r="N73" i="34" s="1"/>
  <c r="L76" i="34"/>
  <c r="M76" i="34" s="1"/>
  <c r="O76" i="34" s="1"/>
  <c r="L45" i="34"/>
  <c r="N45" i="34" s="1"/>
  <c r="L75" i="34"/>
  <c r="N75" i="34" s="1"/>
  <c r="L82" i="34"/>
  <c r="N82" i="34" s="1"/>
  <c r="L13" i="34"/>
  <c r="N13" i="34" s="1"/>
  <c r="L49" i="34"/>
  <c r="N49" i="34" s="1"/>
  <c r="L15" i="34"/>
  <c r="N15" i="34" s="1"/>
  <c r="L74" i="34"/>
  <c r="N74" i="34" s="1"/>
  <c r="L35" i="34"/>
  <c r="N35" i="34" s="1"/>
  <c r="L20" i="34"/>
  <c r="M20" i="34" s="1"/>
  <c r="O20" i="34" s="1"/>
  <c r="L22" i="34"/>
  <c r="M22" i="34" s="1"/>
  <c r="O22" i="34" s="1"/>
  <c r="L69" i="34"/>
  <c r="N69" i="34" s="1"/>
  <c r="L72" i="34"/>
  <c r="M72" i="34" s="1"/>
  <c r="O72" i="34" s="1"/>
  <c r="L41" i="34"/>
  <c r="N41" i="34" s="1"/>
  <c r="L71" i="34"/>
  <c r="N71" i="34" s="1"/>
  <c r="L39" i="34"/>
  <c r="M39" i="34" s="1"/>
  <c r="O39" i="34" s="1"/>
  <c r="L42" i="34"/>
  <c r="N42" i="34" s="1"/>
  <c r="L60" i="34"/>
  <c r="M60" i="34" s="1"/>
  <c r="O60" i="34" s="1"/>
  <c r="L80" i="34"/>
  <c r="M80" i="34" s="1"/>
  <c r="O80" i="34" s="1"/>
  <c r="L14" i="34"/>
  <c r="M14" i="34" s="1"/>
  <c r="O14" i="34" s="1"/>
  <c r="L77" i="34"/>
  <c r="N77" i="34" s="1"/>
  <c r="L54" i="34"/>
  <c r="M54" i="34" s="1"/>
  <c r="O54" i="34" s="1"/>
  <c r="L37" i="34"/>
  <c r="N37" i="34" s="1"/>
  <c r="L25" i="34"/>
  <c r="N25" i="34" s="1"/>
  <c r="L66" i="34"/>
  <c r="M66" i="34" s="1"/>
  <c r="O66" i="34" s="1"/>
  <c r="L19" i="34"/>
  <c r="N19" i="34" s="1"/>
  <c r="L65" i="34"/>
  <c r="N65" i="34" s="1"/>
  <c r="L33" i="34"/>
  <c r="N33" i="34" s="1"/>
  <c r="L46" i="34"/>
  <c r="M46" i="34" s="1"/>
  <c r="O46" i="34" s="1"/>
  <c r="L64" i="34"/>
  <c r="M64" i="34" s="1"/>
  <c r="O64" i="34" s="1"/>
  <c r="L21" i="34"/>
  <c r="N21" i="34" s="1"/>
  <c r="L63" i="34"/>
  <c r="M63" i="34" s="1"/>
  <c r="O63" i="34" s="1"/>
  <c r="L29" i="34"/>
  <c r="M29" i="34" s="1"/>
  <c r="O29" i="34" s="1"/>
  <c r="L28" i="34"/>
  <c r="N28" i="34" s="1"/>
  <c r="L81" i="34"/>
  <c r="M81" i="34" s="1"/>
  <c r="O81" i="34" s="1"/>
  <c r="L70" i="34"/>
  <c r="M70" i="34" s="1"/>
  <c r="O70" i="34" s="1"/>
  <c r="L18" i="34"/>
  <c r="N18" i="34" s="1"/>
  <c r="L67" i="34"/>
  <c r="M67" i="34" s="1"/>
  <c r="O67" i="34" s="1"/>
  <c r="L52" i="34"/>
  <c r="M52" i="34" s="1"/>
  <c r="O52" i="34" s="1"/>
  <c r="L62" i="34"/>
  <c r="M62" i="34" s="1"/>
  <c r="O62" i="34" s="1"/>
  <c r="L11" i="34"/>
  <c r="N11" i="34" s="1"/>
  <c r="L58" i="34"/>
  <c r="N58" i="34" s="1"/>
  <c r="L17" i="34"/>
  <c r="N17" i="34" s="1"/>
  <c r="L34" i="34"/>
  <c r="N34" i="34" s="1"/>
  <c r="L61" i="34"/>
  <c r="M61" i="34" s="1"/>
  <c r="O61" i="34" s="1"/>
  <c r="L56" i="34"/>
  <c r="M56" i="34" s="1"/>
  <c r="O56" i="34" s="1"/>
  <c r="L44" i="34"/>
  <c r="N44" i="34" s="1"/>
  <c r="L51" i="34"/>
  <c r="N51" i="34" s="1"/>
  <c r="L12" i="34"/>
  <c r="M12" i="34" s="1"/>
  <c r="O12" i="34" s="1"/>
  <c r="L31" i="34"/>
  <c r="N31" i="34" s="1"/>
  <c r="L47" i="34"/>
  <c r="M47" i="34" s="1"/>
  <c r="O47" i="34" s="1"/>
  <c r="L79" i="34"/>
  <c r="N79" i="34" s="1"/>
  <c r="L27" i="34"/>
  <c r="N27" i="34" s="1"/>
  <c r="L68" i="34"/>
  <c r="N68" i="34" s="1"/>
  <c r="L55" i="34"/>
  <c r="N55" i="34" s="1"/>
  <c r="L36" i="34"/>
  <c r="M36" i="34" s="1"/>
  <c r="O36" i="34" s="1"/>
  <c r="L59" i="34"/>
  <c r="N59" i="34" s="1"/>
  <c r="L50" i="34"/>
  <c r="N50" i="34" s="1"/>
  <c r="L48" i="34"/>
  <c r="M48" i="34" s="1"/>
  <c r="O48" i="34" s="1"/>
  <c r="L26" i="34"/>
  <c r="N26" i="34" s="1"/>
  <c r="L57" i="34"/>
  <c r="N57" i="34" s="1"/>
  <c r="L32" i="34"/>
  <c r="M32" i="34" s="1"/>
  <c r="O32" i="34" s="1"/>
  <c r="J10" i="34"/>
  <c r="N24" i="34"/>
  <c r="M24" i="34"/>
  <c r="O24" i="34" s="1"/>
  <c r="N14" i="34"/>
  <c r="M82" i="34" l="1"/>
  <c r="O82" i="34" s="1"/>
  <c r="N29" i="34"/>
  <c r="N76" i="34"/>
  <c r="M41" i="34"/>
  <c r="O41" i="34" s="1"/>
  <c r="M49" i="34"/>
  <c r="O49" i="34" s="1"/>
  <c r="M40" i="34"/>
  <c r="O40" i="34" s="1"/>
  <c r="M33" i="34"/>
  <c r="O33" i="34" s="1"/>
  <c r="M69" i="34"/>
  <c r="O69" i="34" s="1"/>
  <c r="N78" i="34"/>
  <c r="N66" i="34"/>
  <c r="M26" i="34"/>
  <c r="O26" i="34" s="1"/>
  <c r="N23" i="34"/>
  <c r="N53" i="34"/>
  <c r="L51" i="35"/>
  <c r="L18" i="35"/>
  <c r="M11" i="34"/>
  <c r="O11" i="34" s="1"/>
  <c r="N64" i="34"/>
  <c r="N67" i="34"/>
  <c r="N32" i="34"/>
  <c r="M45" i="34"/>
  <c r="O45" i="34" s="1"/>
  <c r="N56" i="34"/>
  <c r="N60" i="34"/>
  <c r="N54" i="34"/>
  <c r="M38" i="34"/>
  <c r="O38" i="34" s="1"/>
  <c r="N12" i="34"/>
  <c r="N20" i="34"/>
  <c r="M28" i="34"/>
  <c r="O28" i="34" s="1"/>
  <c r="M31" i="34"/>
  <c r="O31" i="34" s="1"/>
  <c r="M50" i="34"/>
  <c r="O50" i="34" s="1"/>
  <c r="M19" i="34"/>
  <c r="O19" i="34" s="1"/>
  <c r="M58" i="34"/>
  <c r="O58" i="34" s="1"/>
  <c r="M75" i="34"/>
  <c r="O75" i="34" s="1"/>
  <c r="N80" i="34"/>
  <c r="M65" i="34"/>
  <c r="O65" i="34" s="1"/>
  <c r="M77" i="34"/>
  <c r="O77" i="34" s="1"/>
  <c r="N48" i="34"/>
  <c r="M43" i="34"/>
  <c r="O43" i="34" s="1"/>
  <c r="N22" i="34"/>
  <c r="N36" i="34"/>
  <c r="N47" i="34"/>
  <c r="N81" i="34"/>
  <c r="N61" i="34"/>
  <c r="M73" i="34"/>
  <c r="O73" i="34" s="1"/>
  <c r="N72" i="34"/>
  <c r="M44" i="35"/>
  <c r="O44" i="35" s="1"/>
  <c r="N50" i="35"/>
  <c r="M46" i="35"/>
  <c r="O46" i="35" s="1"/>
  <c r="M55" i="35"/>
  <c r="O55" i="35" s="1"/>
  <c r="M63" i="35"/>
  <c r="O63" i="35" s="1"/>
  <c r="M33" i="35"/>
  <c r="O33" i="35" s="1"/>
  <c r="M20" i="35"/>
  <c r="O20" i="35" s="1"/>
  <c r="N56" i="35"/>
  <c r="N25" i="35"/>
  <c r="N14" i="35"/>
  <c r="M36" i="35"/>
  <c r="O36" i="35" s="1"/>
  <c r="M19" i="35"/>
  <c r="O19" i="35" s="1"/>
  <c r="M38" i="35"/>
  <c r="O38" i="35" s="1"/>
  <c r="M57" i="35"/>
  <c r="O57" i="35" s="1"/>
  <c r="N34" i="35"/>
  <c r="M40" i="35"/>
  <c r="O40" i="35" s="1"/>
  <c r="N32" i="35"/>
  <c r="N31" i="35"/>
  <c r="M80" i="35"/>
  <c r="O80" i="35" s="1"/>
  <c r="M68" i="35"/>
  <c r="O68" i="35" s="1"/>
  <c r="N58" i="35"/>
  <c r="N28" i="35"/>
  <c r="M16" i="35"/>
  <c r="O16" i="35" s="1"/>
  <c r="M69" i="35"/>
  <c r="O69" i="35" s="1"/>
  <c r="N13" i="35"/>
  <c r="N29" i="35"/>
  <c r="N41" i="35"/>
  <c r="M37" i="35"/>
  <c r="O37" i="35" s="1"/>
  <c r="M22" i="35"/>
  <c r="O22" i="35" s="1"/>
  <c r="N52" i="35"/>
  <c r="M65" i="35"/>
  <c r="O65" i="35" s="1"/>
  <c r="N35" i="35"/>
  <c r="M47" i="35"/>
  <c r="O47" i="35" s="1"/>
  <c r="M12" i="35"/>
  <c r="O12" i="35" s="1"/>
  <c r="M45" i="35"/>
  <c r="O45" i="35" s="1"/>
  <c r="M81" i="35"/>
  <c r="O81" i="35" s="1"/>
  <c r="M11" i="35"/>
  <c r="O11" i="35" s="1"/>
  <c r="M17" i="35"/>
  <c r="O17" i="35" s="1"/>
  <c r="M39" i="35"/>
  <c r="O39" i="35" s="1"/>
  <c r="M76" i="35"/>
  <c r="O76" i="35" s="1"/>
  <c r="M24" i="35"/>
  <c r="O24" i="35" s="1"/>
  <c r="M78" i="35"/>
  <c r="O78" i="35" s="1"/>
  <c r="M73" i="35"/>
  <c r="O73" i="35" s="1"/>
  <c r="M79" i="35"/>
  <c r="O79" i="35" s="1"/>
  <c r="M42" i="35"/>
  <c r="O42" i="35" s="1"/>
  <c r="N66" i="35"/>
  <c r="M15" i="35"/>
  <c r="O15" i="35" s="1"/>
  <c r="N62" i="35"/>
  <c r="M67" i="35"/>
  <c r="O67" i="35" s="1"/>
  <c r="M70" i="35"/>
  <c r="O70" i="35" s="1"/>
  <c r="M54" i="35"/>
  <c r="O54" i="35" s="1"/>
  <c r="N72" i="35"/>
  <c r="M61" i="35"/>
  <c r="O61" i="35" s="1"/>
  <c r="N59" i="35"/>
  <c r="M27" i="35"/>
  <c r="O27" i="35" s="1"/>
  <c r="M82" i="35"/>
  <c r="O82" i="35" s="1"/>
  <c r="M77" i="35"/>
  <c r="O77" i="35" s="1"/>
  <c r="N53" i="35"/>
  <c r="M43" i="35"/>
  <c r="O43" i="35" s="1"/>
  <c r="M75" i="35"/>
  <c r="O75" i="35" s="1"/>
  <c r="M74" i="35"/>
  <c r="O74" i="35" s="1"/>
  <c r="M71" i="35"/>
  <c r="O71" i="35" s="1"/>
  <c r="M48" i="35"/>
  <c r="O48" i="35" s="1"/>
  <c r="M60" i="35"/>
  <c r="O60" i="35" s="1"/>
  <c r="M64" i="35"/>
  <c r="O64" i="35" s="1"/>
  <c r="M49" i="35"/>
  <c r="O49" i="35" s="1"/>
  <c r="M23" i="35"/>
  <c r="O23" i="35" s="1"/>
  <c r="M21" i="35"/>
  <c r="O21" i="35" s="1"/>
  <c r="M26" i="35"/>
  <c r="O26" i="35" s="1"/>
  <c r="M30" i="35"/>
  <c r="O30" i="35" s="1"/>
  <c r="M18" i="34"/>
  <c r="O18" i="34" s="1"/>
  <c r="M68" i="34"/>
  <c r="O68" i="34" s="1"/>
  <c r="M27" i="34"/>
  <c r="O27" i="34" s="1"/>
  <c r="M13" i="34"/>
  <c r="O13" i="34" s="1"/>
  <c r="N46" i="34"/>
  <c r="M57" i="34"/>
  <c r="O57" i="34" s="1"/>
  <c r="N70" i="34"/>
  <c r="M42" i="34"/>
  <c r="O42" i="34" s="1"/>
  <c r="M17" i="34"/>
  <c r="O17" i="34" s="1"/>
  <c r="M59" i="34"/>
  <c r="O59" i="34" s="1"/>
  <c r="M35" i="34"/>
  <c r="O35" i="34" s="1"/>
  <c r="M51" i="34"/>
  <c r="O51" i="34" s="1"/>
  <c r="N62" i="34"/>
  <c r="N39" i="34"/>
  <c r="M74" i="34"/>
  <c r="O74" i="34" s="1"/>
  <c r="M15" i="34"/>
  <c r="O15" i="34" s="1"/>
  <c r="N52" i="34"/>
  <c r="N63" i="34"/>
  <c r="M16" i="34"/>
  <c r="O16" i="34" s="1"/>
  <c r="M25" i="34"/>
  <c r="O25" i="34" s="1"/>
  <c r="M34" i="34"/>
  <c r="O34" i="34" s="1"/>
  <c r="M79" i="34"/>
  <c r="O79" i="34" s="1"/>
  <c r="M30" i="34"/>
  <c r="O30" i="34" s="1"/>
  <c r="M44" i="34"/>
  <c r="O44" i="34" s="1"/>
  <c r="M71" i="34"/>
  <c r="O71" i="34" s="1"/>
  <c r="M55" i="34"/>
  <c r="O55" i="34" s="1"/>
  <c r="M37" i="34"/>
  <c r="O37" i="34" s="1"/>
  <c r="M21" i="34"/>
  <c r="O21" i="34" s="1"/>
  <c r="B6" i="33"/>
  <c r="F10" i="33" s="1"/>
  <c r="C3" i="32"/>
  <c r="B64" i="33"/>
  <c r="K64" i="33" s="1"/>
  <c r="H64" i="33"/>
  <c r="J64" i="33"/>
  <c r="O5" i="33"/>
  <c r="N5" i="33"/>
  <c r="J5" i="33"/>
  <c r="J77" i="33" s="1"/>
  <c r="H83" i="33"/>
  <c r="B83" i="33"/>
  <c r="K83" i="33" s="1"/>
  <c r="H82" i="33"/>
  <c r="B82" i="33"/>
  <c r="K82" i="33" s="1"/>
  <c r="H81" i="33"/>
  <c r="B81" i="33"/>
  <c r="K81" i="33" s="1"/>
  <c r="H80" i="33"/>
  <c r="B80" i="33"/>
  <c r="K80" i="33" s="1"/>
  <c r="H79" i="33"/>
  <c r="B79" i="33"/>
  <c r="K79" i="33" s="1"/>
  <c r="J78" i="33"/>
  <c r="H78" i="33"/>
  <c r="B78" i="33"/>
  <c r="K78" i="33" s="1"/>
  <c r="H77" i="33"/>
  <c r="B77" i="33"/>
  <c r="K77" i="33" s="1"/>
  <c r="H76" i="33"/>
  <c r="B76" i="33"/>
  <c r="K76" i="33" s="1"/>
  <c r="H75" i="33"/>
  <c r="B75" i="33"/>
  <c r="K75" i="33" s="1"/>
  <c r="H74" i="33"/>
  <c r="B74" i="33"/>
  <c r="K74" i="33" s="1"/>
  <c r="H73" i="33"/>
  <c r="B73" i="33"/>
  <c r="K73" i="33" s="1"/>
  <c r="H72" i="33"/>
  <c r="B72" i="33"/>
  <c r="K72" i="33" s="1"/>
  <c r="J71" i="33"/>
  <c r="H71" i="33"/>
  <c r="B71" i="33"/>
  <c r="K71" i="33" s="1"/>
  <c r="H70" i="33"/>
  <c r="B70" i="33"/>
  <c r="K70" i="33" s="1"/>
  <c r="H69" i="33"/>
  <c r="B69" i="33"/>
  <c r="K69" i="33" s="1"/>
  <c r="H68" i="33"/>
  <c r="B68" i="33"/>
  <c r="K68" i="33" s="1"/>
  <c r="H67" i="33"/>
  <c r="B67" i="33"/>
  <c r="K67" i="33" s="1"/>
  <c r="H66" i="33"/>
  <c r="B66" i="33"/>
  <c r="K66" i="33" s="1"/>
  <c r="H65" i="33"/>
  <c r="B65" i="33"/>
  <c r="K65" i="33" s="1"/>
  <c r="H63" i="33"/>
  <c r="B63" i="33"/>
  <c r="K63" i="33" s="1"/>
  <c r="J62" i="33"/>
  <c r="H62" i="33"/>
  <c r="B62" i="33"/>
  <c r="K62" i="33" s="1"/>
  <c r="J61" i="33"/>
  <c r="H61" i="33"/>
  <c r="B61" i="33"/>
  <c r="K61" i="33" s="1"/>
  <c r="H60" i="33"/>
  <c r="B60" i="33"/>
  <c r="K60" i="33" s="1"/>
  <c r="H59" i="33"/>
  <c r="B59" i="33"/>
  <c r="K59" i="33" s="1"/>
  <c r="H58" i="33"/>
  <c r="B58" i="33"/>
  <c r="K58" i="33" s="1"/>
  <c r="H57" i="33"/>
  <c r="B57" i="33"/>
  <c r="K57" i="33" s="1"/>
  <c r="J56" i="33"/>
  <c r="H56" i="33"/>
  <c r="B56" i="33"/>
  <c r="K56" i="33" s="1"/>
  <c r="J55" i="33"/>
  <c r="H55" i="33"/>
  <c r="B55" i="33"/>
  <c r="K55" i="33" s="1"/>
  <c r="J54" i="33"/>
  <c r="H54" i="33"/>
  <c r="B54" i="33"/>
  <c r="K54" i="33" s="1"/>
  <c r="H53" i="33"/>
  <c r="B53" i="33"/>
  <c r="K53" i="33" s="1"/>
  <c r="H52" i="33"/>
  <c r="B52" i="33"/>
  <c r="K52" i="33" s="1"/>
  <c r="J51" i="33"/>
  <c r="H51" i="33"/>
  <c r="B51" i="33"/>
  <c r="K51" i="33" s="1"/>
  <c r="H50" i="33"/>
  <c r="B50" i="33"/>
  <c r="K50" i="33" s="1"/>
  <c r="J49" i="33"/>
  <c r="H49" i="33"/>
  <c r="B49" i="33"/>
  <c r="K49" i="33" s="1"/>
  <c r="J48" i="33"/>
  <c r="H48" i="33"/>
  <c r="B48" i="33"/>
  <c r="K48" i="33" s="1"/>
  <c r="J47" i="33"/>
  <c r="H47" i="33"/>
  <c r="B47" i="33"/>
  <c r="K47" i="33" s="1"/>
  <c r="J46" i="33"/>
  <c r="H46" i="33"/>
  <c r="B46" i="33"/>
  <c r="K46" i="33" s="1"/>
  <c r="H45" i="33"/>
  <c r="B45" i="33"/>
  <c r="K45" i="33" s="1"/>
  <c r="H44" i="33"/>
  <c r="B44" i="33"/>
  <c r="K44" i="33" s="1"/>
  <c r="J43" i="33"/>
  <c r="H43" i="33"/>
  <c r="B43" i="33"/>
  <c r="K43" i="33" s="1"/>
  <c r="H42" i="33"/>
  <c r="B42" i="33"/>
  <c r="K42" i="33" s="1"/>
  <c r="J41" i="33"/>
  <c r="H41" i="33"/>
  <c r="B41" i="33"/>
  <c r="K41" i="33" s="1"/>
  <c r="J40" i="33"/>
  <c r="H40" i="33"/>
  <c r="B40" i="33"/>
  <c r="K40" i="33" s="1"/>
  <c r="J39" i="33"/>
  <c r="H39" i="33"/>
  <c r="B39" i="33"/>
  <c r="K39" i="33" s="1"/>
  <c r="J38" i="33"/>
  <c r="H38" i="33"/>
  <c r="B38" i="33"/>
  <c r="K38" i="33" s="1"/>
  <c r="H37" i="33"/>
  <c r="B37" i="33"/>
  <c r="K37" i="33" s="1"/>
  <c r="H36" i="33"/>
  <c r="B36" i="33"/>
  <c r="K36" i="33" s="1"/>
  <c r="J35" i="33"/>
  <c r="H35" i="33"/>
  <c r="B35" i="33"/>
  <c r="K35" i="33" s="1"/>
  <c r="H34" i="33"/>
  <c r="B34" i="33"/>
  <c r="K34" i="33" s="1"/>
  <c r="J33" i="33"/>
  <c r="H33" i="33"/>
  <c r="B33" i="33"/>
  <c r="K33" i="33" s="1"/>
  <c r="J32" i="33"/>
  <c r="H32" i="33"/>
  <c r="B32" i="33"/>
  <c r="K32" i="33" s="1"/>
  <c r="J31" i="33"/>
  <c r="H31" i="33"/>
  <c r="B31" i="33"/>
  <c r="K31" i="33" s="1"/>
  <c r="J30" i="33"/>
  <c r="H30" i="33"/>
  <c r="B30" i="33"/>
  <c r="K30" i="33" s="1"/>
  <c r="H29" i="33"/>
  <c r="B29" i="33"/>
  <c r="K29" i="33" s="1"/>
  <c r="H28" i="33"/>
  <c r="B28" i="33"/>
  <c r="K28" i="33" s="1"/>
  <c r="J27" i="33"/>
  <c r="H27" i="33"/>
  <c r="B27" i="33"/>
  <c r="K27" i="33" s="1"/>
  <c r="H26" i="33"/>
  <c r="B26" i="33"/>
  <c r="K26" i="33" s="1"/>
  <c r="J25" i="33"/>
  <c r="H25" i="33"/>
  <c r="B25" i="33"/>
  <c r="K25" i="33" s="1"/>
  <c r="J24" i="33"/>
  <c r="H24" i="33"/>
  <c r="B24" i="33"/>
  <c r="K24" i="33" s="1"/>
  <c r="J23" i="33"/>
  <c r="H23" i="33"/>
  <c r="B23" i="33"/>
  <c r="K23" i="33" s="1"/>
  <c r="J22" i="33"/>
  <c r="H22" i="33"/>
  <c r="B22" i="33"/>
  <c r="K22" i="33" s="1"/>
  <c r="H21" i="33"/>
  <c r="B21" i="33"/>
  <c r="K21" i="33" s="1"/>
  <c r="J20" i="33"/>
  <c r="H20" i="33"/>
  <c r="B20" i="33"/>
  <c r="K20" i="33" s="1"/>
  <c r="H19" i="33"/>
  <c r="B19" i="33"/>
  <c r="K19" i="33" s="1"/>
  <c r="J18" i="33"/>
  <c r="H18" i="33"/>
  <c r="B18" i="33"/>
  <c r="K18" i="33" s="1"/>
  <c r="J17" i="33"/>
  <c r="H17" i="33"/>
  <c r="B17" i="33"/>
  <c r="K17" i="33" s="1"/>
  <c r="J16" i="33"/>
  <c r="H16" i="33"/>
  <c r="B16" i="33"/>
  <c r="K16" i="33" s="1"/>
  <c r="H15" i="33"/>
  <c r="B15" i="33"/>
  <c r="K15" i="33" s="1"/>
  <c r="H14" i="33"/>
  <c r="B14" i="33"/>
  <c r="K14" i="33" s="1"/>
  <c r="J13" i="33"/>
  <c r="H13" i="33"/>
  <c r="B13" i="33"/>
  <c r="K13" i="33" s="1"/>
  <c r="H12" i="33"/>
  <c r="B12" i="33"/>
  <c r="K12" i="33" s="1"/>
  <c r="J11" i="33"/>
  <c r="H11" i="33"/>
  <c r="B11" i="33"/>
  <c r="K11" i="33" s="1"/>
  <c r="I10" i="33"/>
  <c r="I1" i="33"/>
  <c r="B24" i="32"/>
  <c r="K24" i="32" s="1"/>
  <c r="H24" i="32"/>
  <c r="B22" i="32"/>
  <c r="K22" i="32" s="1"/>
  <c r="H22" i="32"/>
  <c r="B20" i="32"/>
  <c r="K20" i="32" s="1"/>
  <c r="H20" i="32"/>
  <c r="H18" i="32"/>
  <c r="B18" i="32"/>
  <c r="K18" i="32" s="1"/>
  <c r="O5" i="32"/>
  <c r="N5" i="32"/>
  <c r="J5" i="32"/>
  <c r="J85" i="32" s="1"/>
  <c r="H85" i="32"/>
  <c r="B85" i="32"/>
  <c r="K85" i="32" s="1"/>
  <c r="H84" i="32"/>
  <c r="B84" i="32"/>
  <c r="K84" i="32" s="1"/>
  <c r="H83" i="32"/>
  <c r="B83" i="32"/>
  <c r="K83" i="32" s="1"/>
  <c r="H82" i="32"/>
  <c r="B82" i="32"/>
  <c r="K82" i="32" s="1"/>
  <c r="H81" i="32"/>
  <c r="B81" i="32"/>
  <c r="K81" i="32" s="1"/>
  <c r="H80" i="32"/>
  <c r="B80" i="32"/>
  <c r="K80" i="32" s="1"/>
  <c r="H79" i="32"/>
  <c r="B79" i="32"/>
  <c r="K79" i="32" s="1"/>
  <c r="H78" i="32"/>
  <c r="B78" i="32"/>
  <c r="K78" i="32" s="1"/>
  <c r="H77" i="32"/>
  <c r="B77" i="32"/>
  <c r="K77" i="32" s="1"/>
  <c r="H76" i="32"/>
  <c r="B76" i="32"/>
  <c r="K76" i="32" s="1"/>
  <c r="H75" i="32"/>
  <c r="B75" i="32"/>
  <c r="K75" i="32" s="1"/>
  <c r="H74" i="32"/>
  <c r="B74" i="32"/>
  <c r="K74" i="32" s="1"/>
  <c r="H73" i="32"/>
  <c r="B73" i="32"/>
  <c r="K73" i="32" s="1"/>
  <c r="H72" i="32"/>
  <c r="B72" i="32"/>
  <c r="K72" i="32" s="1"/>
  <c r="H71" i="32"/>
  <c r="B71" i="32"/>
  <c r="K71" i="32" s="1"/>
  <c r="H70" i="32"/>
  <c r="B70" i="32"/>
  <c r="K70" i="32" s="1"/>
  <c r="H69" i="32"/>
  <c r="B69" i="32"/>
  <c r="K69" i="32" s="1"/>
  <c r="H68" i="32"/>
  <c r="B68" i="32"/>
  <c r="K68" i="32" s="1"/>
  <c r="H67" i="32"/>
  <c r="B67" i="32"/>
  <c r="K67" i="32" s="1"/>
  <c r="H66" i="32"/>
  <c r="B66" i="32"/>
  <c r="K66" i="32" s="1"/>
  <c r="H65" i="32"/>
  <c r="B65" i="32"/>
  <c r="K65" i="32" s="1"/>
  <c r="H64" i="32"/>
  <c r="B64" i="32"/>
  <c r="K64" i="32" s="1"/>
  <c r="H63" i="32"/>
  <c r="B63" i="32"/>
  <c r="K63" i="32" s="1"/>
  <c r="H62" i="32"/>
  <c r="B62" i="32"/>
  <c r="K62" i="32" s="1"/>
  <c r="H61" i="32"/>
  <c r="B61" i="32"/>
  <c r="K61" i="32" s="1"/>
  <c r="H60" i="32"/>
  <c r="B60" i="32"/>
  <c r="K60" i="32" s="1"/>
  <c r="H59" i="32"/>
  <c r="B59" i="32"/>
  <c r="K59" i="32" s="1"/>
  <c r="H58" i="32"/>
  <c r="B58" i="32"/>
  <c r="K58" i="32" s="1"/>
  <c r="H57" i="32"/>
  <c r="B57" i="32"/>
  <c r="K57" i="32" s="1"/>
  <c r="H56" i="32"/>
  <c r="B56" i="32"/>
  <c r="K56" i="32" s="1"/>
  <c r="H55" i="32"/>
  <c r="B55" i="32"/>
  <c r="K55" i="32" s="1"/>
  <c r="H54" i="32"/>
  <c r="B54" i="32"/>
  <c r="K54" i="32" s="1"/>
  <c r="H53" i="32"/>
  <c r="B53" i="32"/>
  <c r="K53" i="32" s="1"/>
  <c r="H52" i="32"/>
  <c r="B52" i="32"/>
  <c r="K52" i="32" s="1"/>
  <c r="H51" i="32"/>
  <c r="B51" i="32"/>
  <c r="K51" i="32" s="1"/>
  <c r="H50" i="32"/>
  <c r="B50" i="32"/>
  <c r="K50" i="32" s="1"/>
  <c r="H49" i="32"/>
  <c r="B49" i="32"/>
  <c r="K49" i="32" s="1"/>
  <c r="H48" i="32"/>
  <c r="B48" i="32"/>
  <c r="K48" i="32" s="1"/>
  <c r="H47" i="32"/>
  <c r="B47" i="32"/>
  <c r="K47" i="32" s="1"/>
  <c r="H46" i="32"/>
  <c r="B46" i="32"/>
  <c r="K46" i="32" s="1"/>
  <c r="H45" i="32"/>
  <c r="B45" i="32"/>
  <c r="K45" i="32" s="1"/>
  <c r="H44" i="32"/>
  <c r="B44" i="32"/>
  <c r="K44" i="32" s="1"/>
  <c r="H43" i="32"/>
  <c r="B43" i="32"/>
  <c r="K43" i="32" s="1"/>
  <c r="H42" i="32"/>
  <c r="B42" i="32"/>
  <c r="K42" i="32" s="1"/>
  <c r="H41" i="32"/>
  <c r="B41" i="32"/>
  <c r="K41" i="32" s="1"/>
  <c r="H40" i="32"/>
  <c r="B40" i="32"/>
  <c r="K40" i="32" s="1"/>
  <c r="H39" i="32"/>
  <c r="B39" i="32"/>
  <c r="K39" i="32" s="1"/>
  <c r="H38" i="32"/>
  <c r="B38" i="32"/>
  <c r="K38" i="32" s="1"/>
  <c r="H37" i="32"/>
  <c r="B37" i="32"/>
  <c r="K37" i="32" s="1"/>
  <c r="H36" i="32"/>
  <c r="B36" i="32"/>
  <c r="K36" i="32" s="1"/>
  <c r="H35" i="32"/>
  <c r="B35" i="32"/>
  <c r="K35" i="32" s="1"/>
  <c r="H34" i="32"/>
  <c r="B34" i="32"/>
  <c r="K34" i="32" s="1"/>
  <c r="H33" i="32"/>
  <c r="B33" i="32"/>
  <c r="K33" i="32" s="1"/>
  <c r="H32" i="32"/>
  <c r="B32" i="32"/>
  <c r="K32" i="32" s="1"/>
  <c r="H31" i="32"/>
  <c r="B31" i="32"/>
  <c r="K31" i="32" s="1"/>
  <c r="H30" i="32"/>
  <c r="B30" i="32"/>
  <c r="K30" i="32" s="1"/>
  <c r="H29" i="32"/>
  <c r="B29" i="32"/>
  <c r="K29" i="32" s="1"/>
  <c r="H28" i="32"/>
  <c r="B28" i="32"/>
  <c r="K28" i="32" s="1"/>
  <c r="H27" i="32"/>
  <c r="B27" i="32"/>
  <c r="K27" i="32" s="1"/>
  <c r="H26" i="32"/>
  <c r="B26" i="32"/>
  <c r="K26" i="32" s="1"/>
  <c r="H25" i="32"/>
  <c r="B25" i="32"/>
  <c r="K25" i="32" s="1"/>
  <c r="H23" i="32"/>
  <c r="B23" i="32"/>
  <c r="K23" i="32" s="1"/>
  <c r="H21" i="32"/>
  <c r="B21" i="32"/>
  <c r="K21" i="32" s="1"/>
  <c r="H19" i="32"/>
  <c r="B19" i="32"/>
  <c r="K19" i="32" s="1"/>
  <c r="H17" i="32"/>
  <c r="B17" i="32"/>
  <c r="K17" i="32" s="1"/>
  <c r="H16" i="32"/>
  <c r="B16" i="32"/>
  <c r="K16" i="32" s="1"/>
  <c r="H15" i="32"/>
  <c r="B15" i="32"/>
  <c r="K15" i="32" s="1"/>
  <c r="H14" i="32"/>
  <c r="B14" i="32"/>
  <c r="K14" i="32" s="1"/>
  <c r="H13" i="32"/>
  <c r="B13" i="32"/>
  <c r="K13" i="32" s="1"/>
  <c r="H12" i="32"/>
  <c r="B12" i="32"/>
  <c r="K12" i="32" s="1"/>
  <c r="H11" i="32"/>
  <c r="B11" i="32"/>
  <c r="K11" i="32" s="1"/>
  <c r="I10" i="32"/>
  <c r="L5" i="32"/>
  <c r="M5" i="32" s="1"/>
  <c r="B6" i="32"/>
  <c r="F10" i="32" s="1"/>
  <c r="I1" i="32"/>
  <c r="B12" i="31"/>
  <c r="K12" i="31" s="1"/>
  <c r="B13" i="31"/>
  <c r="K13" i="31" s="1"/>
  <c r="B14" i="31"/>
  <c r="B15" i="31"/>
  <c r="K15" i="31" s="1"/>
  <c r="B16" i="31"/>
  <c r="K16" i="31" s="1"/>
  <c r="B17" i="31"/>
  <c r="K17" i="31" s="1"/>
  <c r="B18" i="31"/>
  <c r="K18" i="31" s="1"/>
  <c r="B19" i="31"/>
  <c r="K19" i="31" s="1"/>
  <c r="B20" i="31"/>
  <c r="K20" i="31" s="1"/>
  <c r="B21" i="31"/>
  <c r="K21" i="31" s="1"/>
  <c r="B22" i="31"/>
  <c r="B23" i="31"/>
  <c r="K23" i="31" s="1"/>
  <c r="B24" i="31"/>
  <c r="B25" i="31"/>
  <c r="K25" i="31" s="1"/>
  <c r="B26" i="31"/>
  <c r="K26" i="31" s="1"/>
  <c r="B27" i="31"/>
  <c r="K27" i="31" s="1"/>
  <c r="B28" i="31"/>
  <c r="K28" i="31" s="1"/>
  <c r="B29" i="31"/>
  <c r="B30" i="31"/>
  <c r="B31" i="31"/>
  <c r="B32" i="31"/>
  <c r="B33" i="31"/>
  <c r="K33" i="31" s="1"/>
  <c r="B34" i="31"/>
  <c r="K34" i="31" s="1"/>
  <c r="B35" i="31"/>
  <c r="K35" i="31" s="1"/>
  <c r="B36" i="31"/>
  <c r="K36" i="31" s="1"/>
  <c r="B37" i="31"/>
  <c r="K37" i="31" s="1"/>
  <c r="B38" i="31"/>
  <c r="B39" i="31"/>
  <c r="K39" i="31" s="1"/>
  <c r="B40" i="31"/>
  <c r="K40" i="31" s="1"/>
  <c r="B41" i="31"/>
  <c r="K41" i="31" s="1"/>
  <c r="B42" i="31"/>
  <c r="K42" i="31" s="1"/>
  <c r="B43" i="31"/>
  <c r="K43" i="31" s="1"/>
  <c r="B44" i="31"/>
  <c r="K44" i="31" s="1"/>
  <c r="B45" i="31"/>
  <c r="K45" i="31" s="1"/>
  <c r="B46" i="31"/>
  <c r="B47" i="31"/>
  <c r="K47" i="31" s="1"/>
  <c r="B48" i="31"/>
  <c r="K48" i="31" s="1"/>
  <c r="B49" i="31"/>
  <c r="K49" i="31" s="1"/>
  <c r="B50" i="31"/>
  <c r="B51" i="31"/>
  <c r="K51" i="31" s="1"/>
  <c r="B52" i="31"/>
  <c r="K52" i="31" s="1"/>
  <c r="B53" i="31"/>
  <c r="B54" i="31"/>
  <c r="K54" i="31" s="1"/>
  <c r="B55" i="31"/>
  <c r="K55" i="31" s="1"/>
  <c r="B56" i="31"/>
  <c r="B57" i="31"/>
  <c r="K57" i="31" s="1"/>
  <c r="B58" i="31"/>
  <c r="K58" i="31" s="1"/>
  <c r="B59" i="31"/>
  <c r="K59" i="31" s="1"/>
  <c r="B60" i="31"/>
  <c r="K60" i="31" s="1"/>
  <c r="B61" i="31"/>
  <c r="K61" i="31" s="1"/>
  <c r="B62" i="31"/>
  <c r="K62" i="31" s="1"/>
  <c r="B63" i="31"/>
  <c r="K63" i="31" s="1"/>
  <c r="B64" i="31"/>
  <c r="K64" i="31" s="1"/>
  <c r="B65" i="31"/>
  <c r="K65" i="31" s="1"/>
  <c r="B66" i="31"/>
  <c r="K66" i="31" s="1"/>
  <c r="B67" i="31"/>
  <c r="K67" i="31" s="1"/>
  <c r="B68" i="31"/>
  <c r="K68" i="31" s="1"/>
  <c r="B69" i="31"/>
  <c r="K69" i="31" s="1"/>
  <c r="B70" i="31"/>
  <c r="B71" i="31"/>
  <c r="K71" i="31" s="1"/>
  <c r="B72" i="31"/>
  <c r="K72" i="31" s="1"/>
  <c r="B73" i="31"/>
  <c r="K73" i="31" s="1"/>
  <c r="B74" i="31"/>
  <c r="K74" i="31" s="1"/>
  <c r="B75" i="31"/>
  <c r="K75" i="31" s="1"/>
  <c r="B76" i="31"/>
  <c r="K76" i="31" s="1"/>
  <c r="B77" i="31"/>
  <c r="K77" i="31" s="1"/>
  <c r="B78" i="31"/>
  <c r="K78" i="31" s="1"/>
  <c r="B79" i="31"/>
  <c r="K79" i="31" s="1"/>
  <c r="B80" i="31"/>
  <c r="K80" i="31" s="1"/>
  <c r="B81" i="31"/>
  <c r="K81" i="31" s="1"/>
  <c r="B82" i="31"/>
  <c r="K82" i="31" s="1"/>
  <c r="B11" i="31"/>
  <c r="K11" i="31" s="1"/>
  <c r="B4" i="31"/>
  <c r="B6" i="31" s="1"/>
  <c r="F10" i="31" s="1"/>
  <c r="B3" i="31"/>
  <c r="L5" i="31"/>
  <c r="M5" i="31" s="1"/>
  <c r="H82" i="31"/>
  <c r="H81" i="31"/>
  <c r="H80" i="31"/>
  <c r="H79" i="31"/>
  <c r="H78" i="31"/>
  <c r="H77" i="31"/>
  <c r="H76" i="31"/>
  <c r="H75" i="31"/>
  <c r="H74" i="31"/>
  <c r="H73" i="31"/>
  <c r="H72" i="31"/>
  <c r="H71" i="31"/>
  <c r="H70" i="31"/>
  <c r="K70" i="31"/>
  <c r="H69" i="31"/>
  <c r="H68" i="31"/>
  <c r="H67" i="31"/>
  <c r="H66" i="31"/>
  <c r="H65" i="31"/>
  <c r="H64" i="31"/>
  <c r="H63" i="31"/>
  <c r="H62" i="31"/>
  <c r="H61" i="31"/>
  <c r="H60" i="31"/>
  <c r="H59" i="31"/>
  <c r="H58" i="31"/>
  <c r="H57" i="31"/>
  <c r="H56" i="31"/>
  <c r="K56" i="31"/>
  <c r="H55" i="31"/>
  <c r="H54" i="31"/>
  <c r="H53" i="31"/>
  <c r="K53" i="31"/>
  <c r="H52" i="31"/>
  <c r="H51" i="31"/>
  <c r="H50" i="31"/>
  <c r="K50" i="31"/>
  <c r="H49" i="31"/>
  <c r="H48" i="31"/>
  <c r="H47" i="31"/>
  <c r="H46" i="31"/>
  <c r="K46" i="31"/>
  <c r="H45" i="31"/>
  <c r="H44" i="31"/>
  <c r="H43" i="31"/>
  <c r="H42" i="31"/>
  <c r="H41" i="31"/>
  <c r="H40" i="31"/>
  <c r="H39" i="31"/>
  <c r="H38" i="31"/>
  <c r="K38" i="31"/>
  <c r="H37" i="31"/>
  <c r="H36" i="31"/>
  <c r="H35" i="31"/>
  <c r="H34" i="31"/>
  <c r="H33" i="31"/>
  <c r="H32" i="31"/>
  <c r="K32" i="31"/>
  <c r="H31" i="31"/>
  <c r="K31" i="31"/>
  <c r="H30" i="31"/>
  <c r="K30" i="31"/>
  <c r="H29" i="31"/>
  <c r="K29" i="31"/>
  <c r="H28" i="31"/>
  <c r="H27" i="31"/>
  <c r="H26" i="31"/>
  <c r="H25" i="31"/>
  <c r="H24" i="31"/>
  <c r="K24" i="31"/>
  <c r="H23" i="31"/>
  <c r="H22" i="31"/>
  <c r="K22" i="31"/>
  <c r="H21" i="31"/>
  <c r="H20" i="31"/>
  <c r="H19" i="31"/>
  <c r="H18" i="31"/>
  <c r="H17" i="31"/>
  <c r="H16" i="31"/>
  <c r="H15" i="31"/>
  <c r="H14" i="31"/>
  <c r="K14" i="31"/>
  <c r="H13" i="31"/>
  <c r="H12" i="31"/>
  <c r="H11" i="31"/>
  <c r="I10" i="31"/>
  <c r="J82" i="31"/>
  <c r="I1" i="31"/>
  <c r="N18" i="35" l="1"/>
  <c r="M18" i="35"/>
  <c r="O18" i="35" s="1"/>
  <c r="N51" i="35"/>
  <c r="M51" i="35"/>
  <c r="O51" i="35" s="1"/>
  <c r="O10" i="34"/>
  <c r="M10" i="34"/>
  <c r="L8" i="34" s="1"/>
  <c r="L64" i="33"/>
  <c r="J80" i="33"/>
  <c r="J72" i="33"/>
  <c r="J75" i="33"/>
  <c r="J70" i="33"/>
  <c r="J63" i="33"/>
  <c r="J67" i="33"/>
  <c r="J73" i="33"/>
  <c r="J83" i="33"/>
  <c r="J58" i="33"/>
  <c r="J65" i="33"/>
  <c r="J81" i="33"/>
  <c r="L5" i="33"/>
  <c r="M5" i="33" s="1"/>
  <c r="J14" i="33"/>
  <c r="J21" i="33"/>
  <c r="J28" i="33"/>
  <c r="J36" i="33"/>
  <c r="J44" i="33"/>
  <c r="J52" i="33"/>
  <c r="J59" i="33"/>
  <c r="J68" i="33"/>
  <c r="J76" i="33"/>
  <c r="J79" i="33"/>
  <c r="J12" i="33"/>
  <c r="J19" i="33"/>
  <c r="J26" i="33"/>
  <c r="J34" i="33"/>
  <c r="J42" i="33"/>
  <c r="J50" i="33"/>
  <c r="J57" i="33"/>
  <c r="J66" i="33"/>
  <c r="J74" i="33"/>
  <c r="J82" i="33"/>
  <c r="J15" i="33"/>
  <c r="J29" i="33"/>
  <c r="J37" i="33"/>
  <c r="J45" i="33"/>
  <c r="J53" i="33"/>
  <c r="J60" i="33"/>
  <c r="J69" i="33"/>
  <c r="L24" i="33"/>
  <c r="L40" i="33"/>
  <c r="L63" i="33"/>
  <c r="L80" i="33"/>
  <c r="L13" i="33"/>
  <c r="L27" i="33"/>
  <c r="L43" i="33"/>
  <c r="L51" i="33"/>
  <c r="L58" i="33"/>
  <c r="L67" i="33"/>
  <c r="L75" i="33"/>
  <c r="L83" i="33"/>
  <c r="L16" i="33"/>
  <c r="L22" i="33"/>
  <c r="L30" i="33"/>
  <c r="L38" i="33"/>
  <c r="L46" i="33"/>
  <c r="L54" i="33"/>
  <c r="L61" i="33"/>
  <c r="L70" i="33"/>
  <c r="L78" i="33"/>
  <c r="K10" i="33"/>
  <c r="L11" i="33"/>
  <c r="L25" i="33"/>
  <c r="L33" i="33"/>
  <c r="L41" i="33"/>
  <c r="L49" i="33"/>
  <c r="L56" i="33"/>
  <c r="L65" i="33"/>
  <c r="L73" i="33"/>
  <c r="L81" i="33"/>
  <c r="L14" i="33"/>
  <c r="L21" i="33"/>
  <c r="L28" i="33"/>
  <c r="L36" i="33"/>
  <c r="L44" i="33"/>
  <c r="L52" i="33"/>
  <c r="L59" i="33"/>
  <c r="L68" i="33"/>
  <c r="L76" i="33"/>
  <c r="L18" i="33"/>
  <c r="L32" i="33"/>
  <c r="L48" i="33"/>
  <c r="L72" i="33"/>
  <c r="L20" i="33"/>
  <c r="L35" i="33"/>
  <c r="L17" i="33"/>
  <c r="L23" i="33"/>
  <c r="L31" i="33"/>
  <c r="L39" i="33"/>
  <c r="L47" i="33"/>
  <c r="L55" i="33"/>
  <c r="L62" i="33"/>
  <c r="L71" i="33"/>
  <c r="L79" i="33"/>
  <c r="L12" i="33"/>
  <c r="L19" i="33"/>
  <c r="L26" i="33"/>
  <c r="L34" i="33"/>
  <c r="L42" i="33"/>
  <c r="L50" i="33"/>
  <c r="L57" i="33"/>
  <c r="L66" i="33"/>
  <c r="L74" i="33"/>
  <c r="L82" i="33"/>
  <c r="L15" i="33"/>
  <c r="L29" i="33"/>
  <c r="L37" i="33"/>
  <c r="L45" i="33"/>
  <c r="L53" i="33"/>
  <c r="L60" i="33"/>
  <c r="L69" i="33"/>
  <c r="L77" i="33"/>
  <c r="J24" i="32"/>
  <c r="L24" i="32"/>
  <c r="J22" i="32"/>
  <c r="L22" i="32"/>
  <c r="J18" i="32"/>
  <c r="J20" i="32"/>
  <c r="L20" i="32"/>
  <c r="L18" i="32"/>
  <c r="M18" i="32" s="1"/>
  <c r="O18" i="32" s="1"/>
  <c r="L12" i="32"/>
  <c r="L16" i="32"/>
  <c r="L23" i="32"/>
  <c r="L27" i="32"/>
  <c r="L31" i="32"/>
  <c r="L35" i="32"/>
  <c r="L39" i="32"/>
  <c r="L43" i="32"/>
  <c r="L47" i="32"/>
  <c r="L51" i="32"/>
  <c r="L55" i="32"/>
  <c r="L59" i="32"/>
  <c r="L63" i="32"/>
  <c r="L67" i="32"/>
  <c r="L14" i="32"/>
  <c r="L19" i="32"/>
  <c r="L26" i="32"/>
  <c r="L29" i="32"/>
  <c r="L33" i="32"/>
  <c r="L37" i="32"/>
  <c r="L41" i="32"/>
  <c r="L45" i="32"/>
  <c r="L49" i="32"/>
  <c r="L53" i="32"/>
  <c r="L57" i="32"/>
  <c r="L61" i="32"/>
  <c r="L65" i="32"/>
  <c r="L69" i="32"/>
  <c r="L74" i="32"/>
  <c r="L82" i="32"/>
  <c r="L78" i="32"/>
  <c r="L72" i="32"/>
  <c r="L75" i="32"/>
  <c r="L79" i="32"/>
  <c r="L83" i="32"/>
  <c r="K10" i="32"/>
  <c r="L84" i="32"/>
  <c r="L76" i="32"/>
  <c r="L80" i="32"/>
  <c r="L11" i="32"/>
  <c r="L13" i="32"/>
  <c r="L15" i="32"/>
  <c r="L17" i="32"/>
  <c r="L21" i="32"/>
  <c r="L25" i="32"/>
  <c r="L28" i="32"/>
  <c r="L30" i="32"/>
  <c r="L32" i="32"/>
  <c r="L34" i="32"/>
  <c r="L36" i="32"/>
  <c r="L38" i="32"/>
  <c r="L40" i="32"/>
  <c r="L42" i="32"/>
  <c r="L44" i="32"/>
  <c r="L46" i="32"/>
  <c r="L48" i="32"/>
  <c r="L50" i="32"/>
  <c r="L52" i="32"/>
  <c r="L54" i="32"/>
  <c r="L56" i="32"/>
  <c r="L58" i="32"/>
  <c r="L60" i="32"/>
  <c r="L62" i="32"/>
  <c r="L64" i="32"/>
  <c r="L66" i="32"/>
  <c r="L68" i="32"/>
  <c r="L70" i="32"/>
  <c r="L73" i="32"/>
  <c r="L77" i="32"/>
  <c r="L81" i="32"/>
  <c r="L85" i="32"/>
  <c r="L71" i="32"/>
  <c r="J11" i="32"/>
  <c r="J12" i="32"/>
  <c r="J13" i="32"/>
  <c r="J14" i="32"/>
  <c r="J15" i="32"/>
  <c r="J16" i="32"/>
  <c r="J17" i="32"/>
  <c r="J19" i="32"/>
  <c r="J21" i="32"/>
  <c r="J23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38" i="32"/>
  <c r="J39" i="32"/>
  <c r="J40" i="32"/>
  <c r="J41" i="32"/>
  <c r="J42" i="32"/>
  <c r="J43" i="32"/>
  <c r="J44" i="32"/>
  <c r="J45" i="32"/>
  <c r="J46" i="32"/>
  <c r="J47" i="32"/>
  <c r="J48" i="32"/>
  <c r="J49" i="32"/>
  <c r="J50" i="32"/>
  <c r="J51" i="32"/>
  <c r="J52" i="32"/>
  <c r="J53" i="32"/>
  <c r="J54" i="32"/>
  <c r="J55" i="32"/>
  <c r="J56" i="32"/>
  <c r="J57" i="32"/>
  <c r="J58" i="32"/>
  <c r="J59" i="32"/>
  <c r="J60" i="32"/>
  <c r="J61" i="32"/>
  <c r="J62" i="32"/>
  <c r="J63" i="32"/>
  <c r="J64" i="32"/>
  <c r="J65" i="32"/>
  <c r="J66" i="32"/>
  <c r="J67" i="32"/>
  <c r="J68" i="32"/>
  <c r="J69" i="32"/>
  <c r="J70" i="32"/>
  <c r="J71" i="32"/>
  <c r="J72" i="32"/>
  <c r="J73" i="32"/>
  <c r="J74" i="32"/>
  <c r="J75" i="32"/>
  <c r="J76" i="32"/>
  <c r="J77" i="32"/>
  <c r="J78" i="32"/>
  <c r="J79" i="32"/>
  <c r="J80" i="32"/>
  <c r="J81" i="32"/>
  <c r="J82" i="32"/>
  <c r="J83" i="32"/>
  <c r="J84" i="32"/>
  <c r="L19" i="31"/>
  <c r="L27" i="31"/>
  <c r="L35" i="31"/>
  <c r="L43" i="31"/>
  <c r="L51" i="31"/>
  <c r="L59" i="31"/>
  <c r="L66" i="31"/>
  <c r="L75" i="31"/>
  <c r="L79" i="31"/>
  <c r="L16" i="31"/>
  <c r="K10" i="31"/>
  <c r="L11" i="31"/>
  <c r="L14" i="31"/>
  <c r="L22" i="31"/>
  <c r="L30" i="31"/>
  <c r="L38" i="31"/>
  <c r="L46" i="31"/>
  <c r="L54" i="31"/>
  <c r="L69" i="31"/>
  <c r="L25" i="31"/>
  <c r="L41" i="31"/>
  <c r="L49" i="31"/>
  <c r="L57" i="31"/>
  <c r="L64" i="31"/>
  <c r="L80" i="31"/>
  <c r="L12" i="31"/>
  <c r="L20" i="31"/>
  <c r="L28" i="31"/>
  <c r="L36" i="31"/>
  <c r="L44" i="31"/>
  <c r="L52" i="31"/>
  <c r="L60" i="31"/>
  <c r="L67" i="31"/>
  <c r="L17" i="31"/>
  <c r="L33" i="31"/>
  <c r="L76" i="31"/>
  <c r="L15" i="31"/>
  <c r="L23" i="31"/>
  <c r="L31" i="31"/>
  <c r="L39" i="31"/>
  <c r="L47" i="31"/>
  <c r="L55" i="31"/>
  <c r="L62" i="31"/>
  <c r="L70" i="31"/>
  <c r="L73" i="31"/>
  <c r="L77" i="31"/>
  <c r="L81" i="31"/>
  <c r="L18" i="31"/>
  <c r="L26" i="31"/>
  <c r="L34" i="31"/>
  <c r="L42" i="31"/>
  <c r="L50" i="31"/>
  <c r="L58" i="31"/>
  <c r="L65" i="31"/>
  <c r="L72" i="31"/>
  <c r="L13" i="31"/>
  <c r="L21" i="31"/>
  <c r="L29" i="31"/>
  <c r="L37" i="31"/>
  <c r="L45" i="31"/>
  <c r="L53" i="31"/>
  <c r="L61" i="31"/>
  <c r="L68" i="31"/>
  <c r="L74" i="31"/>
  <c r="L78" i="31"/>
  <c r="L82" i="31"/>
  <c r="L24" i="31"/>
  <c r="L32" i="31"/>
  <c r="L40" i="31"/>
  <c r="L48" i="31"/>
  <c r="L56" i="31"/>
  <c r="L63" i="31"/>
  <c r="L71" i="31"/>
  <c r="J11" i="31"/>
  <c r="J12" i="31"/>
  <c r="J13" i="31"/>
  <c r="J14" i="31"/>
  <c r="J15" i="31"/>
  <c r="J16" i="31"/>
  <c r="J17" i="31"/>
  <c r="J18" i="31"/>
  <c r="J19" i="31"/>
  <c r="J20" i="31"/>
  <c r="J21" i="31"/>
  <c r="J22" i="31"/>
  <c r="J23" i="31"/>
  <c r="J24" i="31"/>
  <c r="J25" i="31"/>
  <c r="J26" i="31"/>
  <c r="J27" i="31"/>
  <c r="J28" i="31"/>
  <c r="J29" i="31"/>
  <c r="J30" i="31"/>
  <c r="J31" i="31"/>
  <c r="J32" i="31"/>
  <c r="J33" i="31"/>
  <c r="J34" i="31"/>
  <c r="J35" i="31"/>
  <c r="J36" i="31"/>
  <c r="J37" i="31"/>
  <c r="J38" i="31"/>
  <c r="J39" i="31"/>
  <c r="J40" i="31"/>
  <c r="J41" i="31"/>
  <c r="J42" i="31"/>
  <c r="J43" i="31"/>
  <c r="J44" i="31"/>
  <c r="J45" i="31"/>
  <c r="J46" i="31"/>
  <c r="J47" i="31"/>
  <c r="J48" i="31"/>
  <c r="J49" i="31"/>
  <c r="J50" i="31"/>
  <c r="J51" i="31"/>
  <c r="J52" i="31"/>
  <c r="J53" i="31"/>
  <c r="J54" i="31"/>
  <c r="J55" i="31"/>
  <c r="J56" i="31"/>
  <c r="J57" i="31"/>
  <c r="J58" i="31"/>
  <c r="J59" i="31"/>
  <c r="J60" i="31"/>
  <c r="J61" i="31"/>
  <c r="J62" i="31"/>
  <c r="J63" i="31"/>
  <c r="J64" i="31"/>
  <c r="J65" i="31"/>
  <c r="J66" i="31"/>
  <c r="J67" i="31"/>
  <c r="J68" i="31"/>
  <c r="J69" i="31"/>
  <c r="J70" i="31"/>
  <c r="J71" i="31"/>
  <c r="J72" i="31"/>
  <c r="J73" i="31"/>
  <c r="J74" i="31"/>
  <c r="J75" i="31"/>
  <c r="J76" i="31"/>
  <c r="J77" i="31"/>
  <c r="J78" i="31"/>
  <c r="J79" i="31"/>
  <c r="J80" i="31"/>
  <c r="J81" i="31"/>
  <c r="M10" i="35" l="1"/>
  <c r="L8" i="35" s="1"/>
  <c r="O10" i="35"/>
  <c r="M64" i="33"/>
  <c r="O64" i="33" s="1"/>
  <c r="N64" i="33"/>
  <c r="J10" i="33"/>
  <c r="N53" i="33"/>
  <c r="M53" i="33"/>
  <c r="O53" i="33" s="1"/>
  <c r="N34" i="33"/>
  <c r="M34" i="33"/>
  <c r="O34" i="33" s="1"/>
  <c r="N79" i="33"/>
  <c r="M79" i="33"/>
  <c r="O79" i="33" s="1"/>
  <c r="N47" i="33"/>
  <c r="M47" i="33"/>
  <c r="O47" i="33" s="1"/>
  <c r="N17" i="33"/>
  <c r="M17" i="33"/>
  <c r="O17" i="33" s="1"/>
  <c r="N76" i="33"/>
  <c r="M76" i="33"/>
  <c r="O76" i="33" s="1"/>
  <c r="N44" i="33"/>
  <c r="M44" i="33"/>
  <c r="O44" i="33" s="1"/>
  <c r="N14" i="33"/>
  <c r="M14" i="33"/>
  <c r="O14" i="33" s="1"/>
  <c r="N56" i="33"/>
  <c r="M56" i="33"/>
  <c r="O56" i="33" s="1"/>
  <c r="N25" i="33"/>
  <c r="M25" i="33"/>
  <c r="O25" i="33" s="1"/>
  <c r="N70" i="33"/>
  <c r="M70" i="33"/>
  <c r="O70" i="33" s="1"/>
  <c r="N38" i="33"/>
  <c r="M38" i="33"/>
  <c r="O38" i="33" s="1"/>
  <c r="N83" i="33"/>
  <c r="M83" i="33"/>
  <c r="O83" i="33" s="1"/>
  <c r="N51" i="33"/>
  <c r="M51" i="33"/>
  <c r="O51" i="33" s="1"/>
  <c r="N80" i="33"/>
  <c r="M80" i="33"/>
  <c r="O80" i="33" s="1"/>
  <c r="N78" i="33"/>
  <c r="M78" i="33"/>
  <c r="O78" i="33" s="1"/>
  <c r="N66" i="33"/>
  <c r="M66" i="33"/>
  <c r="O66" i="33" s="1"/>
  <c r="N77" i="33"/>
  <c r="M77" i="33"/>
  <c r="O77" i="33" s="1"/>
  <c r="N45" i="33"/>
  <c r="M45" i="33"/>
  <c r="O45" i="33" s="1"/>
  <c r="M15" i="33"/>
  <c r="O15" i="33" s="1"/>
  <c r="N15" i="33"/>
  <c r="N57" i="33"/>
  <c r="M57" i="33"/>
  <c r="O57" i="33" s="1"/>
  <c r="N26" i="33"/>
  <c r="M26" i="33"/>
  <c r="O26" i="33" s="1"/>
  <c r="N71" i="33"/>
  <c r="M71" i="33"/>
  <c r="O71" i="33" s="1"/>
  <c r="N39" i="33"/>
  <c r="M39" i="33"/>
  <c r="O39" i="33" s="1"/>
  <c r="N35" i="33"/>
  <c r="M35" i="33"/>
  <c r="O35" i="33" s="1"/>
  <c r="N48" i="33"/>
  <c r="M48" i="33"/>
  <c r="O48" i="33" s="1"/>
  <c r="N68" i="33"/>
  <c r="M68" i="33"/>
  <c r="O68" i="33" s="1"/>
  <c r="N36" i="33"/>
  <c r="M36" i="33"/>
  <c r="O36" i="33" s="1"/>
  <c r="N81" i="33"/>
  <c r="M81" i="33"/>
  <c r="O81" i="33" s="1"/>
  <c r="N49" i="33"/>
  <c r="M49" i="33"/>
  <c r="O49" i="33" s="1"/>
  <c r="N61" i="33"/>
  <c r="M61" i="33"/>
  <c r="O61" i="33" s="1"/>
  <c r="N30" i="33"/>
  <c r="M30" i="33"/>
  <c r="O30" i="33" s="1"/>
  <c r="N75" i="33"/>
  <c r="M75" i="33"/>
  <c r="O75" i="33" s="1"/>
  <c r="N43" i="33"/>
  <c r="M43" i="33"/>
  <c r="O43" i="33" s="1"/>
  <c r="N63" i="33"/>
  <c r="M63" i="33"/>
  <c r="O63" i="33" s="1"/>
  <c r="N37" i="33"/>
  <c r="M37" i="33"/>
  <c r="O37" i="33" s="1"/>
  <c r="N50" i="33"/>
  <c r="M50" i="33"/>
  <c r="O50" i="33" s="1"/>
  <c r="N19" i="33"/>
  <c r="M19" i="33"/>
  <c r="O19" i="33" s="1"/>
  <c r="N62" i="33"/>
  <c r="M62" i="33"/>
  <c r="O62" i="33" s="1"/>
  <c r="N31" i="33"/>
  <c r="M31" i="33"/>
  <c r="O31" i="33" s="1"/>
  <c r="N20" i="33"/>
  <c r="M20" i="33"/>
  <c r="O20" i="33" s="1"/>
  <c r="N32" i="33"/>
  <c r="M32" i="33"/>
  <c r="O32" i="33" s="1"/>
  <c r="N59" i="33"/>
  <c r="M59" i="33"/>
  <c r="O59" i="33" s="1"/>
  <c r="N28" i="33"/>
  <c r="M28" i="33"/>
  <c r="O28" i="33" s="1"/>
  <c r="N73" i="33"/>
  <c r="M73" i="33"/>
  <c r="O73" i="33" s="1"/>
  <c r="N41" i="33"/>
  <c r="M41" i="33"/>
  <c r="O41" i="33" s="1"/>
  <c r="N11" i="33"/>
  <c r="M11" i="33"/>
  <c r="N54" i="33"/>
  <c r="M54" i="33"/>
  <c r="O54" i="33" s="1"/>
  <c r="N22" i="33"/>
  <c r="M22" i="33"/>
  <c r="O22" i="33" s="1"/>
  <c r="N67" i="33"/>
  <c r="M67" i="33"/>
  <c r="O67" i="33" s="1"/>
  <c r="N27" i="33"/>
  <c r="M27" i="33"/>
  <c r="O27" i="33" s="1"/>
  <c r="N40" i="33"/>
  <c r="M40" i="33"/>
  <c r="O40" i="33" s="1"/>
  <c r="N69" i="33"/>
  <c r="M69" i="33"/>
  <c r="O69" i="33" s="1"/>
  <c r="N82" i="33"/>
  <c r="M82" i="33"/>
  <c r="O82" i="33" s="1"/>
  <c r="N60" i="33"/>
  <c r="M60" i="33"/>
  <c r="O60" i="33" s="1"/>
  <c r="N29" i="33"/>
  <c r="M29" i="33"/>
  <c r="O29" i="33" s="1"/>
  <c r="N74" i="33"/>
  <c r="M74" i="33"/>
  <c r="O74" i="33" s="1"/>
  <c r="N42" i="33"/>
  <c r="M42" i="33"/>
  <c r="O42" i="33" s="1"/>
  <c r="M12" i="33"/>
  <c r="O12" i="33" s="1"/>
  <c r="N12" i="33"/>
  <c r="N55" i="33"/>
  <c r="M55" i="33"/>
  <c r="O55" i="33" s="1"/>
  <c r="N23" i="33"/>
  <c r="M23" i="33"/>
  <c r="O23" i="33" s="1"/>
  <c r="N72" i="33"/>
  <c r="M72" i="33"/>
  <c r="O72" i="33" s="1"/>
  <c r="M18" i="33"/>
  <c r="O18" i="33" s="1"/>
  <c r="N18" i="33"/>
  <c r="N52" i="33"/>
  <c r="M52" i="33"/>
  <c r="O52" i="33" s="1"/>
  <c r="N21" i="33"/>
  <c r="M21" i="33"/>
  <c r="O21" i="33" s="1"/>
  <c r="N65" i="33"/>
  <c r="M65" i="33"/>
  <c r="O65" i="33" s="1"/>
  <c r="N33" i="33"/>
  <c r="M33" i="33"/>
  <c r="O33" i="33" s="1"/>
  <c r="N46" i="33"/>
  <c r="M46" i="33"/>
  <c r="O46" i="33" s="1"/>
  <c r="N16" i="33"/>
  <c r="M16" i="33"/>
  <c r="O16" i="33" s="1"/>
  <c r="N58" i="33"/>
  <c r="M58" i="33"/>
  <c r="O58" i="33" s="1"/>
  <c r="N13" i="33"/>
  <c r="M13" i="33"/>
  <c r="O13" i="33" s="1"/>
  <c r="M24" i="33"/>
  <c r="O24" i="33" s="1"/>
  <c r="N24" i="33"/>
  <c r="M24" i="32"/>
  <c r="O24" i="32" s="1"/>
  <c r="N24" i="32"/>
  <c r="M22" i="32"/>
  <c r="O22" i="32" s="1"/>
  <c r="N22" i="32"/>
  <c r="N18" i="32"/>
  <c r="M20" i="32"/>
  <c r="O20" i="32" s="1"/>
  <c r="N20" i="32"/>
  <c r="J10" i="32"/>
  <c r="M68" i="32"/>
  <c r="O68" i="32" s="1"/>
  <c r="N68" i="32"/>
  <c r="M36" i="32"/>
  <c r="O36" i="32" s="1"/>
  <c r="N36" i="32"/>
  <c r="N84" i="32"/>
  <c r="M84" i="32"/>
  <c r="O84" i="32" s="1"/>
  <c r="N78" i="32"/>
  <c r="M78" i="32"/>
  <c r="O78" i="32" s="1"/>
  <c r="M29" i="32"/>
  <c r="O29" i="32" s="1"/>
  <c r="N29" i="32"/>
  <c r="M51" i="32"/>
  <c r="O51" i="32" s="1"/>
  <c r="N51" i="32"/>
  <c r="M64" i="32"/>
  <c r="O64" i="32" s="1"/>
  <c r="N64" i="32"/>
  <c r="M48" i="32"/>
  <c r="O48" i="32" s="1"/>
  <c r="N48" i="32"/>
  <c r="M32" i="32"/>
  <c r="O32" i="32" s="1"/>
  <c r="N32" i="32"/>
  <c r="M13" i="32"/>
  <c r="O13" i="32" s="1"/>
  <c r="N13" i="32"/>
  <c r="N79" i="32"/>
  <c r="M79" i="32"/>
  <c r="O79" i="32" s="1"/>
  <c r="N82" i="32"/>
  <c r="M82" i="32"/>
  <c r="O82" i="32" s="1"/>
  <c r="M53" i="32"/>
  <c r="O53" i="32" s="1"/>
  <c r="N53" i="32"/>
  <c r="M19" i="32"/>
  <c r="O19" i="32" s="1"/>
  <c r="N19" i="32"/>
  <c r="M43" i="32"/>
  <c r="O43" i="32" s="1"/>
  <c r="N43" i="32"/>
  <c r="N77" i="32"/>
  <c r="M77" i="32"/>
  <c r="O77" i="32" s="1"/>
  <c r="M62" i="32"/>
  <c r="O62" i="32" s="1"/>
  <c r="N62" i="32"/>
  <c r="M46" i="32"/>
  <c r="O46" i="32" s="1"/>
  <c r="N46" i="32"/>
  <c r="M30" i="32"/>
  <c r="O30" i="32" s="1"/>
  <c r="N30" i="32"/>
  <c r="M11" i="32"/>
  <c r="N11" i="32"/>
  <c r="M49" i="32"/>
  <c r="O49" i="32" s="1"/>
  <c r="N49" i="32"/>
  <c r="M14" i="32"/>
  <c r="O14" i="32" s="1"/>
  <c r="N14" i="32"/>
  <c r="M39" i="32"/>
  <c r="O39" i="32" s="1"/>
  <c r="N39" i="32"/>
  <c r="M44" i="32"/>
  <c r="O44" i="32" s="1"/>
  <c r="N44" i="32"/>
  <c r="M28" i="32"/>
  <c r="O28" i="32" s="1"/>
  <c r="N28" i="32"/>
  <c r="N74" i="32"/>
  <c r="M74" i="32"/>
  <c r="O74" i="32" s="1"/>
  <c r="M67" i="32"/>
  <c r="O67" i="32" s="1"/>
  <c r="N67" i="32"/>
  <c r="M73" i="32"/>
  <c r="O73" i="32" s="1"/>
  <c r="N73" i="32"/>
  <c r="M58" i="32"/>
  <c r="O58" i="32" s="1"/>
  <c r="N58" i="32"/>
  <c r="M42" i="32"/>
  <c r="O42" i="32" s="1"/>
  <c r="N42" i="32"/>
  <c r="M41" i="32"/>
  <c r="O41" i="32" s="1"/>
  <c r="N41" i="32"/>
  <c r="M63" i="32"/>
  <c r="O63" i="32" s="1"/>
  <c r="N63" i="32"/>
  <c r="M31" i="32"/>
  <c r="O31" i="32" s="1"/>
  <c r="N31" i="32"/>
  <c r="M60" i="32"/>
  <c r="O60" i="32" s="1"/>
  <c r="N60" i="32"/>
  <c r="N80" i="32"/>
  <c r="M80" i="32"/>
  <c r="O80" i="32" s="1"/>
  <c r="N75" i="32"/>
  <c r="M75" i="32"/>
  <c r="O75" i="32" s="1"/>
  <c r="M45" i="32"/>
  <c r="O45" i="32" s="1"/>
  <c r="N45" i="32"/>
  <c r="M35" i="32"/>
  <c r="O35" i="32" s="1"/>
  <c r="N35" i="32"/>
  <c r="M56" i="32"/>
  <c r="O56" i="32" s="1"/>
  <c r="N56" i="32"/>
  <c r="M40" i="32"/>
  <c r="O40" i="32" s="1"/>
  <c r="N40" i="32"/>
  <c r="M25" i="32"/>
  <c r="O25" i="32" s="1"/>
  <c r="N25" i="32"/>
  <c r="N76" i="32"/>
  <c r="M76" i="32"/>
  <c r="O76" i="32" s="1"/>
  <c r="M72" i="32"/>
  <c r="O72" i="32" s="1"/>
  <c r="N72" i="32"/>
  <c r="M69" i="32"/>
  <c r="O69" i="32" s="1"/>
  <c r="N69" i="32"/>
  <c r="M37" i="32"/>
  <c r="O37" i="32" s="1"/>
  <c r="N37" i="32"/>
  <c r="M59" i="32"/>
  <c r="O59" i="32" s="1"/>
  <c r="N59" i="32"/>
  <c r="M27" i="32"/>
  <c r="O27" i="32" s="1"/>
  <c r="N27" i="32"/>
  <c r="N85" i="32"/>
  <c r="M85" i="32"/>
  <c r="O85" i="32" s="1"/>
  <c r="M70" i="32"/>
  <c r="O70" i="32" s="1"/>
  <c r="N70" i="32"/>
  <c r="M54" i="32"/>
  <c r="O54" i="32" s="1"/>
  <c r="N54" i="32"/>
  <c r="M38" i="32"/>
  <c r="O38" i="32" s="1"/>
  <c r="N38" i="32"/>
  <c r="M21" i="32"/>
  <c r="O21" i="32" s="1"/>
  <c r="N21" i="32"/>
  <c r="M65" i="32"/>
  <c r="O65" i="32" s="1"/>
  <c r="N65" i="32"/>
  <c r="M33" i="32"/>
  <c r="O33" i="32" s="1"/>
  <c r="N33" i="32"/>
  <c r="M55" i="32"/>
  <c r="O55" i="32" s="1"/>
  <c r="N55" i="32"/>
  <c r="M23" i="32"/>
  <c r="O23" i="32" s="1"/>
  <c r="N23" i="32"/>
  <c r="M52" i="32"/>
  <c r="O52" i="32" s="1"/>
  <c r="N52" i="32"/>
  <c r="M17" i="32"/>
  <c r="O17" i="32" s="1"/>
  <c r="N17" i="32"/>
  <c r="N83" i="32"/>
  <c r="M83" i="32"/>
  <c r="O83" i="32" s="1"/>
  <c r="M61" i="32"/>
  <c r="O61" i="32" s="1"/>
  <c r="N61" i="32"/>
  <c r="M16" i="32"/>
  <c r="O16" i="32" s="1"/>
  <c r="N16" i="32"/>
  <c r="M71" i="32"/>
  <c r="O71" i="32" s="1"/>
  <c r="N71" i="32"/>
  <c r="N81" i="32"/>
  <c r="M81" i="32"/>
  <c r="O81" i="32" s="1"/>
  <c r="M66" i="32"/>
  <c r="O66" i="32" s="1"/>
  <c r="N66" i="32"/>
  <c r="M50" i="32"/>
  <c r="O50" i="32" s="1"/>
  <c r="N50" i="32"/>
  <c r="M34" i="32"/>
  <c r="O34" i="32" s="1"/>
  <c r="N34" i="32"/>
  <c r="M15" i="32"/>
  <c r="O15" i="32" s="1"/>
  <c r="N15" i="32"/>
  <c r="M57" i="32"/>
  <c r="O57" i="32" s="1"/>
  <c r="N57" i="32"/>
  <c r="M26" i="32"/>
  <c r="O26" i="32" s="1"/>
  <c r="N26" i="32"/>
  <c r="M47" i="32"/>
  <c r="O47" i="32" s="1"/>
  <c r="N47" i="32"/>
  <c r="M12" i="32"/>
  <c r="O12" i="32" s="1"/>
  <c r="N12" i="32"/>
  <c r="M56" i="31"/>
  <c r="O56" i="31" s="1"/>
  <c r="N56" i="31"/>
  <c r="M62" i="31"/>
  <c r="O62" i="31" s="1"/>
  <c r="N62" i="31"/>
  <c r="M38" i="31"/>
  <c r="O38" i="31" s="1"/>
  <c r="N38" i="31"/>
  <c r="M63" i="31"/>
  <c r="O63" i="31" s="1"/>
  <c r="N63" i="31"/>
  <c r="M32" i="31"/>
  <c r="O32" i="31" s="1"/>
  <c r="N32" i="31"/>
  <c r="M74" i="31"/>
  <c r="O74" i="31" s="1"/>
  <c r="N74" i="31"/>
  <c r="M45" i="31"/>
  <c r="O45" i="31" s="1"/>
  <c r="N45" i="31"/>
  <c r="M13" i="31"/>
  <c r="O13" i="31" s="1"/>
  <c r="N13" i="31"/>
  <c r="M50" i="31"/>
  <c r="O50" i="31" s="1"/>
  <c r="N50" i="31"/>
  <c r="M18" i="31"/>
  <c r="O18" i="31" s="1"/>
  <c r="N18" i="31"/>
  <c r="M70" i="31"/>
  <c r="O70" i="31" s="1"/>
  <c r="N70" i="31"/>
  <c r="M39" i="31"/>
  <c r="O39" i="31" s="1"/>
  <c r="N39" i="31"/>
  <c r="M76" i="31"/>
  <c r="O76" i="31" s="1"/>
  <c r="N76" i="31"/>
  <c r="M60" i="31"/>
  <c r="O60" i="31" s="1"/>
  <c r="N60" i="31"/>
  <c r="M28" i="31"/>
  <c r="O28" i="31" s="1"/>
  <c r="N28" i="31"/>
  <c r="M64" i="31"/>
  <c r="O64" i="31" s="1"/>
  <c r="N64" i="31"/>
  <c r="M25" i="31"/>
  <c r="O25" i="31" s="1"/>
  <c r="N25" i="31"/>
  <c r="M46" i="31"/>
  <c r="O46" i="31" s="1"/>
  <c r="N46" i="31"/>
  <c r="M14" i="31"/>
  <c r="O14" i="31" s="1"/>
  <c r="N14" i="31"/>
  <c r="M68" i="31"/>
  <c r="O68" i="31" s="1"/>
  <c r="N68" i="31"/>
  <c r="M31" i="31"/>
  <c r="O31" i="31" s="1"/>
  <c r="N31" i="31"/>
  <c r="M11" i="31"/>
  <c r="N11" i="31"/>
  <c r="M75" i="31"/>
  <c r="O75" i="31" s="1"/>
  <c r="N75" i="31"/>
  <c r="M43" i="31"/>
  <c r="O43" i="31" s="1"/>
  <c r="N43" i="31"/>
  <c r="M72" i="31"/>
  <c r="O72" i="31" s="1"/>
  <c r="N72" i="31"/>
  <c r="M57" i="31"/>
  <c r="O57" i="31" s="1"/>
  <c r="N57" i="31"/>
  <c r="M66" i="31"/>
  <c r="O66" i="31" s="1"/>
  <c r="N66" i="31"/>
  <c r="M35" i="31"/>
  <c r="O35" i="31" s="1"/>
  <c r="N35" i="31"/>
  <c r="M42" i="31"/>
  <c r="O42" i="31" s="1"/>
  <c r="N42" i="31"/>
  <c r="M33" i="31"/>
  <c r="O33" i="31" s="1"/>
  <c r="N33" i="31"/>
  <c r="J10" i="31"/>
  <c r="M48" i="31"/>
  <c r="O48" i="31" s="1"/>
  <c r="N48" i="31"/>
  <c r="M82" i="31"/>
  <c r="O82" i="31" s="1"/>
  <c r="N82" i="31"/>
  <c r="M61" i="31"/>
  <c r="O61" i="31" s="1"/>
  <c r="N61" i="31"/>
  <c r="M29" i="31"/>
  <c r="O29" i="31" s="1"/>
  <c r="N29" i="31"/>
  <c r="M65" i="31"/>
  <c r="O65" i="31" s="1"/>
  <c r="N65" i="31"/>
  <c r="M34" i="31"/>
  <c r="O34" i="31" s="1"/>
  <c r="N34" i="31"/>
  <c r="M77" i="31"/>
  <c r="O77" i="31" s="1"/>
  <c r="N77" i="31"/>
  <c r="M55" i="31"/>
  <c r="O55" i="31" s="1"/>
  <c r="N55" i="31"/>
  <c r="M23" i="31"/>
  <c r="O23" i="31" s="1"/>
  <c r="N23" i="31"/>
  <c r="M17" i="31"/>
  <c r="O17" i="31" s="1"/>
  <c r="N17" i="31"/>
  <c r="M44" i="31"/>
  <c r="O44" i="31" s="1"/>
  <c r="N44" i="31"/>
  <c r="M12" i="31"/>
  <c r="O12" i="31" s="1"/>
  <c r="N12" i="31"/>
  <c r="M49" i="31"/>
  <c r="O49" i="31" s="1"/>
  <c r="N49" i="31"/>
  <c r="M30" i="31"/>
  <c r="O30" i="31" s="1"/>
  <c r="N30" i="31"/>
  <c r="M24" i="31"/>
  <c r="O24" i="31" s="1"/>
  <c r="N24" i="31"/>
  <c r="M81" i="31"/>
  <c r="O81" i="31" s="1"/>
  <c r="N81" i="31"/>
  <c r="M52" i="31"/>
  <c r="O52" i="31" s="1"/>
  <c r="N52" i="31"/>
  <c r="M16" i="31"/>
  <c r="O16" i="31" s="1"/>
  <c r="N16" i="31"/>
  <c r="M59" i="31"/>
  <c r="O59" i="31" s="1"/>
  <c r="N59" i="31"/>
  <c r="M27" i="31"/>
  <c r="O27" i="31" s="1"/>
  <c r="N27" i="31"/>
  <c r="M69" i="31"/>
  <c r="O69" i="31" s="1"/>
  <c r="N69" i="31"/>
  <c r="M71" i="31"/>
  <c r="O71" i="31" s="1"/>
  <c r="N71" i="31"/>
  <c r="M40" i="31"/>
  <c r="O40" i="31" s="1"/>
  <c r="N40" i="31"/>
  <c r="M78" i="31"/>
  <c r="O78" i="31" s="1"/>
  <c r="N78" i="31"/>
  <c r="M53" i="31"/>
  <c r="O53" i="31" s="1"/>
  <c r="N53" i="31"/>
  <c r="M21" i="31"/>
  <c r="O21" i="31" s="1"/>
  <c r="N21" i="31"/>
  <c r="M58" i="31"/>
  <c r="O58" i="31" s="1"/>
  <c r="N58" i="31"/>
  <c r="M26" i="31"/>
  <c r="O26" i="31" s="1"/>
  <c r="N26" i="31"/>
  <c r="M73" i="31"/>
  <c r="O73" i="31" s="1"/>
  <c r="N73" i="31"/>
  <c r="M47" i="31"/>
  <c r="O47" i="31" s="1"/>
  <c r="N47" i="31"/>
  <c r="M15" i="31"/>
  <c r="O15" i="31" s="1"/>
  <c r="N15" i="31"/>
  <c r="M67" i="31"/>
  <c r="O67" i="31" s="1"/>
  <c r="N67" i="31"/>
  <c r="M36" i="31"/>
  <c r="O36" i="31" s="1"/>
  <c r="N36" i="31"/>
  <c r="M80" i="31"/>
  <c r="O80" i="31" s="1"/>
  <c r="N80" i="31"/>
  <c r="M41" i="31"/>
  <c r="O41" i="31" s="1"/>
  <c r="N41" i="31"/>
  <c r="M54" i="31"/>
  <c r="O54" i="31" s="1"/>
  <c r="N54" i="31"/>
  <c r="M22" i="31"/>
  <c r="O22" i="31" s="1"/>
  <c r="N22" i="31"/>
  <c r="M37" i="31"/>
  <c r="O37" i="31" s="1"/>
  <c r="N37" i="31"/>
  <c r="M20" i="31"/>
  <c r="O20" i="31" s="1"/>
  <c r="N20" i="31"/>
  <c r="M79" i="31"/>
  <c r="O79" i="31" s="1"/>
  <c r="N79" i="31"/>
  <c r="M51" i="31"/>
  <c r="O51" i="31" s="1"/>
  <c r="N51" i="31"/>
  <c r="M19" i="31"/>
  <c r="O19" i="31" s="1"/>
  <c r="N19" i="31"/>
  <c r="M10" i="33" l="1"/>
  <c r="L8" i="33" s="1"/>
  <c r="O11" i="33"/>
  <c r="O10" i="33" s="1"/>
  <c r="M10" i="32"/>
  <c r="L8" i="32" s="1"/>
  <c r="O11" i="32"/>
  <c r="O10" i="32" s="1"/>
  <c r="M10" i="31"/>
  <c r="L8" i="31" s="1"/>
  <c r="O11" i="31"/>
  <c r="O10" i="31" s="1"/>
  <c r="B11" i="4" l="1"/>
  <c r="B12" i="30"/>
  <c r="B13" i="30"/>
  <c r="B14" i="30"/>
  <c r="B15" i="30"/>
  <c r="B16" i="30"/>
  <c r="B17" i="30"/>
  <c r="B18" i="30"/>
  <c r="B19" i="30"/>
  <c r="K19" i="30" s="1"/>
  <c r="B20" i="30"/>
  <c r="B21" i="30"/>
  <c r="B22" i="30"/>
  <c r="B23" i="30"/>
  <c r="B24" i="30"/>
  <c r="B25" i="30"/>
  <c r="B26" i="30"/>
  <c r="K26" i="30" s="1"/>
  <c r="B27" i="30"/>
  <c r="K27" i="30" s="1"/>
  <c r="B28" i="30"/>
  <c r="B29" i="30"/>
  <c r="B30" i="30"/>
  <c r="B31" i="30"/>
  <c r="B32" i="30"/>
  <c r="B33" i="30"/>
  <c r="B34" i="30"/>
  <c r="B35" i="30"/>
  <c r="K35" i="30" s="1"/>
  <c r="B36" i="30"/>
  <c r="B37" i="30"/>
  <c r="B38" i="30"/>
  <c r="B39" i="30"/>
  <c r="B40" i="30"/>
  <c r="B41" i="30"/>
  <c r="B42" i="30"/>
  <c r="K42" i="30" s="1"/>
  <c r="B43" i="30"/>
  <c r="K43" i="30" s="1"/>
  <c r="B44" i="30"/>
  <c r="K44" i="30" s="1"/>
  <c r="B45" i="30"/>
  <c r="B46" i="30"/>
  <c r="B47" i="30"/>
  <c r="B48" i="30"/>
  <c r="B49" i="30"/>
  <c r="B50" i="30"/>
  <c r="K50" i="30" s="1"/>
  <c r="B51" i="30"/>
  <c r="K51" i="30" s="1"/>
  <c r="B52" i="30"/>
  <c r="B53" i="30"/>
  <c r="B54" i="30"/>
  <c r="K54" i="30" s="1"/>
  <c r="B55" i="30"/>
  <c r="B56" i="30"/>
  <c r="K56" i="30" s="1"/>
  <c r="B57" i="30"/>
  <c r="B58" i="30"/>
  <c r="K58" i="30" s="1"/>
  <c r="B59" i="30"/>
  <c r="K59" i="30" s="1"/>
  <c r="B60" i="30"/>
  <c r="B61" i="30"/>
  <c r="B62" i="30"/>
  <c r="K62" i="30" s="1"/>
  <c r="B63" i="30"/>
  <c r="B64" i="30"/>
  <c r="B65" i="30"/>
  <c r="B66" i="30"/>
  <c r="K66" i="30" s="1"/>
  <c r="B67" i="30"/>
  <c r="K67" i="30" s="1"/>
  <c r="B68" i="30"/>
  <c r="B69" i="30"/>
  <c r="K69" i="30" s="1"/>
  <c r="B70" i="30"/>
  <c r="B71" i="30"/>
  <c r="B72" i="30"/>
  <c r="K72" i="30" s="1"/>
  <c r="B73" i="30"/>
  <c r="K73" i="30" s="1"/>
  <c r="B74" i="30"/>
  <c r="B75" i="30"/>
  <c r="K75" i="30" s="1"/>
  <c r="B76" i="30"/>
  <c r="B77" i="30"/>
  <c r="K77" i="30" s="1"/>
  <c r="B78" i="30"/>
  <c r="B79" i="30"/>
  <c r="B80" i="30"/>
  <c r="K80" i="30" s="1"/>
  <c r="B81" i="30"/>
  <c r="K81" i="30" s="1"/>
  <c r="B82" i="30"/>
  <c r="K82" i="30" s="1"/>
  <c r="B11" i="30"/>
  <c r="K11" i="30" s="1"/>
  <c r="B12" i="29"/>
  <c r="K12" i="29" s="1"/>
  <c r="B13" i="29"/>
  <c r="B14" i="29"/>
  <c r="B15" i="29"/>
  <c r="B16" i="29"/>
  <c r="K16" i="29" s="1"/>
  <c r="B17" i="29"/>
  <c r="K17" i="29" s="1"/>
  <c r="B18" i="29"/>
  <c r="K18" i="29" s="1"/>
  <c r="B19" i="29"/>
  <c r="K19" i="29" s="1"/>
  <c r="B20" i="29"/>
  <c r="B21" i="29"/>
  <c r="B22" i="29"/>
  <c r="B23" i="29"/>
  <c r="K23" i="29" s="1"/>
  <c r="B24" i="29"/>
  <c r="B25" i="29"/>
  <c r="K25" i="29" s="1"/>
  <c r="B26" i="29"/>
  <c r="K26" i="29" s="1"/>
  <c r="B27" i="29"/>
  <c r="K27" i="29" s="1"/>
  <c r="B28" i="29"/>
  <c r="K28" i="29" s="1"/>
  <c r="B29" i="29"/>
  <c r="B30" i="29"/>
  <c r="B31" i="29"/>
  <c r="B32" i="29"/>
  <c r="K32" i="29" s="1"/>
  <c r="B33" i="29"/>
  <c r="K33" i="29" s="1"/>
  <c r="B34" i="29"/>
  <c r="K34" i="29" s="1"/>
  <c r="B35" i="29"/>
  <c r="K35" i="29" s="1"/>
  <c r="B36" i="29"/>
  <c r="K36" i="29" s="1"/>
  <c r="B37" i="29"/>
  <c r="B38" i="29"/>
  <c r="B39" i="29"/>
  <c r="K39" i="29" s="1"/>
  <c r="B40" i="29"/>
  <c r="K40" i="29" s="1"/>
  <c r="B41" i="29"/>
  <c r="K41" i="29" s="1"/>
  <c r="B42" i="29"/>
  <c r="K42" i="29" s="1"/>
  <c r="B43" i="29"/>
  <c r="K43" i="29" s="1"/>
  <c r="B44" i="29"/>
  <c r="K44" i="29" s="1"/>
  <c r="B45" i="29"/>
  <c r="B46" i="29"/>
  <c r="B47" i="29"/>
  <c r="B48" i="29"/>
  <c r="K48" i="29" s="1"/>
  <c r="B49" i="29"/>
  <c r="B50" i="29"/>
  <c r="K50" i="29" s="1"/>
  <c r="B51" i="29"/>
  <c r="K51" i="29" s="1"/>
  <c r="B52" i="29"/>
  <c r="K52" i="29" s="1"/>
  <c r="B53" i="29"/>
  <c r="B54" i="29"/>
  <c r="B55" i="29"/>
  <c r="B56" i="29"/>
  <c r="K56" i="29" s="1"/>
  <c r="B57" i="29"/>
  <c r="B58" i="29"/>
  <c r="K58" i="29" s="1"/>
  <c r="B59" i="29"/>
  <c r="K59" i="29" s="1"/>
  <c r="B60" i="29"/>
  <c r="K60" i="29" s="1"/>
  <c r="B61" i="29"/>
  <c r="B62" i="29"/>
  <c r="B63" i="29"/>
  <c r="K63" i="29" s="1"/>
  <c r="B64" i="29"/>
  <c r="K64" i="29" s="1"/>
  <c r="B65" i="29"/>
  <c r="K65" i="29" s="1"/>
  <c r="B66" i="29"/>
  <c r="K66" i="29" s="1"/>
  <c r="B67" i="29"/>
  <c r="K67" i="29" s="1"/>
  <c r="B68" i="29"/>
  <c r="K68" i="29" s="1"/>
  <c r="B69" i="29"/>
  <c r="B70" i="29"/>
  <c r="B71" i="29"/>
  <c r="K71" i="29" s="1"/>
  <c r="B72" i="29"/>
  <c r="K72" i="29" s="1"/>
  <c r="B73" i="29"/>
  <c r="K73" i="29" s="1"/>
  <c r="B74" i="29"/>
  <c r="K74" i="29" s="1"/>
  <c r="B75" i="29"/>
  <c r="K75" i="29" s="1"/>
  <c r="B76" i="29"/>
  <c r="K76" i="29" s="1"/>
  <c r="B77" i="29"/>
  <c r="K77" i="29" s="1"/>
  <c r="B78" i="29"/>
  <c r="K78" i="29" s="1"/>
  <c r="B79" i="29"/>
  <c r="K79" i="29" s="1"/>
  <c r="B80" i="29"/>
  <c r="K80" i="29" s="1"/>
  <c r="B81" i="29"/>
  <c r="K81" i="29" s="1"/>
  <c r="B82" i="29"/>
  <c r="K82" i="29" s="1"/>
  <c r="B83" i="29"/>
  <c r="K83" i="29" s="1"/>
  <c r="B11" i="29"/>
  <c r="K11" i="29" s="1"/>
  <c r="B12" i="24"/>
  <c r="B13" i="24"/>
  <c r="B14" i="24"/>
  <c r="B15" i="24"/>
  <c r="B16" i="24"/>
  <c r="B17" i="24"/>
  <c r="B19" i="24"/>
  <c r="B21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B82" i="24"/>
  <c r="B11" i="24"/>
  <c r="B12" i="4"/>
  <c r="B13" i="4"/>
  <c r="B14" i="4"/>
  <c r="B15" i="4"/>
  <c r="B16" i="4"/>
  <c r="B18" i="4"/>
  <c r="B20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H21" i="30"/>
  <c r="K21" i="30"/>
  <c r="H19" i="30"/>
  <c r="H18" i="30"/>
  <c r="K18" i="30"/>
  <c r="B6" i="30"/>
  <c r="F10" i="30" s="1"/>
  <c r="J18" i="30"/>
  <c r="H82" i="30"/>
  <c r="H81" i="30"/>
  <c r="H80" i="30"/>
  <c r="H79" i="30"/>
  <c r="K79" i="30"/>
  <c r="H78" i="30"/>
  <c r="K78" i="30"/>
  <c r="H77" i="30"/>
  <c r="H76" i="30"/>
  <c r="K76" i="30"/>
  <c r="H75" i="30"/>
  <c r="H74" i="30"/>
  <c r="K74" i="30"/>
  <c r="H73" i="30"/>
  <c r="H72" i="30"/>
  <c r="H71" i="30"/>
  <c r="K71" i="30"/>
  <c r="H70" i="30"/>
  <c r="K70" i="30"/>
  <c r="H69" i="30"/>
  <c r="H68" i="30"/>
  <c r="K68" i="30"/>
  <c r="H67" i="30"/>
  <c r="H66" i="30"/>
  <c r="H65" i="30"/>
  <c r="K65" i="30"/>
  <c r="H64" i="30"/>
  <c r="K64" i="30"/>
  <c r="H63" i="30"/>
  <c r="K63" i="30"/>
  <c r="H62" i="30"/>
  <c r="H61" i="30"/>
  <c r="K61" i="30"/>
  <c r="H60" i="30"/>
  <c r="K60" i="30"/>
  <c r="H59" i="30"/>
  <c r="H58" i="30"/>
  <c r="H57" i="30"/>
  <c r="K57" i="30"/>
  <c r="H56" i="30"/>
  <c r="H55" i="30"/>
  <c r="K55" i="30"/>
  <c r="H54" i="30"/>
  <c r="H53" i="30"/>
  <c r="K53" i="30"/>
  <c r="H52" i="30"/>
  <c r="K52" i="30"/>
  <c r="H51" i="30"/>
  <c r="H50" i="30"/>
  <c r="H49" i="30"/>
  <c r="K49" i="30"/>
  <c r="H48" i="30"/>
  <c r="K48" i="30"/>
  <c r="K47" i="30"/>
  <c r="H47" i="30"/>
  <c r="K46" i="30"/>
  <c r="H46" i="30"/>
  <c r="H45" i="30"/>
  <c r="K45" i="30"/>
  <c r="H44" i="30"/>
  <c r="H43" i="30"/>
  <c r="H42" i="30"/>
  <c r="H41" i="30"/>
  <c r="K41" i="30"/>
  <c r="H40" i="30"/>
  <c r="K40" i="30"/>
  <c r="H39" i="30"/>
  <c r="K39" i="30"/>
  <c r="H38" i="30"/>
  <c r="K38" i="30"/>
  <c r="H37" i="30"/>
  <c r="K37" i="30"/>
  <c r="H36" i="30"/>
  <c r="K36" i="30"/>
  <c r="H35" i="30"/>
  <c r="H34" i="30"/>
  <c r="K34" i="30"/>
  <c r="H33" i="30"/>
  <c r="K33" i="30"/>
  <c r="H32" i="30"/>
  <c r="K32" i="30"/>
  <c r="H31" i="30"/>
  <c r="K31" i="30"/>
  <c r="H30" i="30"/>
  <c r="K30" i="30"/>
  <c r="H29" i="30"/>
  <c r="K29" i="30"/>
  <c r="H28" i="30"/>
  <c r="K28" i="30"/>
  <c r="H27" i="30"/>
  <c r="H26" i="30"/>
  <c r="H25" i="30"/>
  <c r="K25" i="30"/>
  <c r="H24" i="30"/>
  <c r="K24" i="30"/>
  <c r="H23" i="30"/>
  <c r="K23" i="30"/>
  <c r="H22" i="30"/>
  <c r="K22" i="30"/>
  <c r="H20" i="30"/>
  <c r="K20" i="30"/>
  <c r="H17" i="30"/>
  <c r="K17" i="30"/>
  <c r="H16" i="30"/>
  <c r="K16" i="30"/>
  <c r="H15" i="30"/>
  <c r="K15" i="30"/>
  <c r="H14" i="30"/>
  <c r="K14" i="30"/>
  <c r="H13" i="30"/>
  <c r="K13" i="30"/>
  <c r="H12" i="30"/>
  <c r="K12" i="30"/>
  <c r="H11" i="30"/>
  <c r="I10" i="30"/>
  <c r="I1" i="30"/>
  <c r="J5" i="29"/>
  <c r="J72" i="29"/>
  <c r="H64" i="29"/>
  <c r="H59" i="29"/>
  <c r="H56" i="29"/>
  <c r="H23" i="29"/>
  <c r="H83" i="29"/>
  <c r="H82" i="29"/>
  <c r="H81" i="29"/>
  <c r="H80" i="29"/>
  <c r="H79" i="29"/>
  <c r="H78" i="29"/>
  <c r="H77" i="29"/>
  <c r="H76" i="29"/>
  <c r="H75" i="29"/>
  <c r="H74" i="29"/>
  <c r="H73" i="29"/>
  <c r="H72" i="29"/>
  <c r="H71" i="29"/>
  <c r="H70" i="29"/>
  <c r="K70" i="29"/>
  <c r="H69" i="29"/>
  <c r="K69" i="29"/>
  <c r="H68" i="29"/>
  <c r="H67" i="29"/>
  <c r="H66" i="29"/>
  <c r="H65" i="29"/>
  <c r="H63" i="29"/>
  <c r="H62" i="29"/>
  <c r="K62" i="29"/>
  <c r="H61" i="29"/>
  <c r="K61" i="29"/>
  <c r="H60" i="29"/>
  <c r="H58" i="29"/>
  <c r="H57" i="29"/>
  <c r="K57" i="29"/>
  <c r="H55" i="29"/>
  <c r="K55" i="29"/>
  <c r="H54" i="29"/>
  <c r="K54" i="29"/>
  <c r="H53" i="29"/>
  <c r="K53" i="29"/>
  <c r="H52" i="29"/>
  <c r="H51" i="29"/>
  <c r="H50" i="29"/>
  <c r="H49" i="29"/>
  <c r="H48" i="29"/>
  <c r="H47" i="29"/>
  <c r="K47" i="29"/>
  <c r="H46" i="29"/>
  <c r="K46" i="29"/>
  <c r="H45" i="29"/>
  <c r="K45" i="29"/>
  <c r="H44" i="29"/>
  <c r="H43" i="29"/>
  <c r="H42" i="29"/>
  <c r="H41" i="29"/>
  <c r="H40" i="29"/>
  <c r="H39" i="29"/>
  <c r="H38" i="29"/>
  <c r="K38" i="29"/>
  <c r="H37" i="29"/>
  <c r="K37" i="29"/>
  <c r="H36" i="29"/>
  <c r="H35" i="29"/>
  <c r="H34" i="29"/>
  <c r="H33" i="29"/>
  <c r="H32" i="29"/>
  <c r="H31" i="29"/>
  <c r="K31" i="29"/>
  <c r="H30" i="29"/>
  <c r="K30" i="29"/>
  <c r="H29" i="29"/>
  <c r="K29" i="29"/>
  <c r="H28" i="29"/>
  <c r="H27" i="29"/>
  <c r="H26" i="29"/>
  <c r="H25" i="29"/>
  <c r="H24" i="29"/>
  <c r="K24" i="29"/>
  <c r="H22" i="29"/>
  <c r="K22" i="29"/>
  <c r="H21" i="29"/>
  <c r="K21" i="29"/>
  <c r="H20" i="29"/>
  <c r="K20" i="29"/>
  <c r="H19" i="29"/>
  <c r="H18" i="29"/>
  <c r="H17" i="29"/>
  <c r="H16" i="29"/>
  <c r="H15" i="29"/>
  <c r="K15" i="29"/>
  <c r="H14" i="29"/>
  <c r="K14" i="29"/>
  <c r="H13" i="29"/>
  <c r="K13" i="29"/>
  <c r="H12" i="29"/>
  <c r="H11" i="29"/>
  <c r="I10" i="29"/>
  <c r="B6" i="29"/>
  <c r="F10" i="29" s="1"/>
  <c r="I1" i="29"/>
  <c r="J82" i="30" l="1"/>
  <c r="J21" i="30"/>
  <c r="L21" i="30"/>
  <c r="J19" i="30"/>
  <c r="L19" i="30"/>
  <c r="L18" i="30"/>
  <c r="L50" i="30"/>
  <c r="L63" i="30"/>
  <c r="L79" i="30"/>
  <c r="L59" i="30"/>
  <c r="L73" i="30"/>
  <c r="L60" i="30"/>
  <c r="L69" i="30"/>
  <c r="L54" i="30"/>
  <c r="L48" i="30"/>
  <c r="L62" i="30"/>
  <c r="L77" i="30"/>
  <c r="L75" i="30"/>
  <c r="L56" i="30"/>
  <c r="L67" i="30"/>
  <c r="L71" i="30"/>
  <c r="L52" i="30"/>
  <c r="L65" i="30"/>
  <c r="J25" i="30"/>
  <c r="J11" i="30"/>
  <c r="L13" i="30"/>
  <c r="J22" i="30"/>
  <c r="L24" i="30"/>
  <c r="J29" i="30"/>
  <c r="L31" i="30"/>
  <c r="J37" i="30"/>
  <c r="L39" i="30"/>
  <c r="J45" i="30"/>
  <c r="J47" i="30"/>
  <c r="J49" i="30"/>
  <c r="J51" i="30"/>
  <c r="J53" i="30"/>
  <c r="J55" i="30"/>
  <c r="J57" i="30"/>
  <c r="J58" i="30"/>
  <c r="J61" i="30"/>
  <c r="J64" i="30"/>
  <c r="J66" i="30"/>
  <c r="J68" i="30"/>
  <c r="J70" i="30"/>
  <c r="J72" i="30"/>
  <c r="J74" i="30"/>
  <c r="J76" i="30"/>
  <c r="J78" i="30"/>
  <c r="J80" i="30"/>
  <c r="L11" i="30"/>
  <c r="J14" i="30"/>
  <c r="L16" i="30"/>
  <c r="L26" i="30"/>
  <c r="J26" i="30"/>
  <c r="L28" i="30"/>
  <c r="J34" i="30"/>
  <c r="L36" i="30"/>
  <c r="J42" i="30"/>
  <c r="L44" i="30"/>
  <c r="L47" i="30"/>
  <c r="L49" i="30"/>
  <c r="L51" i="30"/>
  <c r="L53" i="30"/>
  <c r="L55" i="30"/>
  <c r="L57" i="30"/>
  <c r="L58" i="30"/>
  <c r="L61" i="30"/>
  <c r="L64" i="30"/>
  <c r="L66" i="30"/>
  <c r="L68" i="30"/>
  <c r="L70" i="30"/>
  <c r="L72" i="30"/>
  <c r="L74" i="30"/>
  <c r="L76" i="30"/>
  <c r="L78" i="30"/>
  <c r="L81" i="30"/>
  <c r="J13" i="30"/>
  <c r="L15" i="30"/>
  <c r="J24" i="30"/>
  <c r="J31" i="30"/>
  <c r="L33" i="30"/>
  <c r="J39" i="30"/>
  <c r="L41" i="30"/>
  <c r="J16" i="30"/>
  <c r="L20" i="30"/>
  <c r="L12" i="30"/>
  <c r="L23" i="30"/>
  <c r="J81" i="30"/>
  <c r="J20" i="30"/>
  <c r="K10" i="30"/>
  <c r="J15" i="30"/>
  <c r="L17" i="30"/>
  <c r="L27" i="30"/>
  <c r="J33" i="30"/>
  <c r="L35" i="30"/>
  <c r="J41" i="30"/>
  <c r="L43" i="30"/>
  <c r="J46" i="30"/>
  <c r="J48" i="30"/>
  <c r="J50" i="30"/>
  <c r="J52" i="30"/>
  <c r="J54" i="30"/>
  <c r="J56" i="30"/>
  <c r="J59" i="30"/>
  <c r="J60" i="30"/>
  <c r="J62" i="30"/>
  <c r="J63" i="30"/>
  <c r="J65" i="30"/>
  <c r="J67" i="30"/>
  <c r="J69" i="30"/>
  <c r="J71" i="30"/>
  <c r="J73" i="30"/>
  <c r="J75" i="30"/>
  <c r="J77" i="30"/>
  <c r="J79" i="30"/>
  <c r="L82" i="30"/>
  <c r="J32" i="30"/>
  <c r="L34" i="30"/>
  <c r="J40" i="30"/>
  <c r="L42" i="30"/>
  <c r="J28" i="30"/>
  <c r="L30" i="30"/>
  <c r="J36" i="30"/>
  <c r="L38" i="30"/>
  <c r="J44" i="30"/>
  <c r="J12" i="30"/>
  <c r="L14" i="30"/>
  <c r="J23" i="30"/>
  <c r="L25" i="30"/>
  <c r="J30" i="30"/>
  <c r="L32" i="30"/>
  <c r="J38" i="30"/>
  <c r="L40" i="30"/>
  <c r="L46" i="30"/>
  <c r="J17" i="30"/>
  <c r="L22" i="30"/>
  <c r="J27" i="30"/>
  <c r="L29" i="30"/>
  <c r="J35" i="30"/>
  <c r="L37" i="30"/>
  <c r="J43" i="30"/>
  <c r="L45" i="30"/>
  <c r="L80" i="30"/>
  <c r="J19" i="29"/>
  <c r="J16" i="29"/>
  <c r="J32" i="29"/>
  <c r="J52" i="29"/>
  <c r="J12" i="29"/>
  <c r="J18" i="29"/>
  <c r="J26" i="29"/>
  <c r="J77" i="29"/>
  <c r="J64" i="29"/>
  <c r="L64" i="29"/>
  <c r="J29" i="29"/>
  <c r="J35" i="29"/>
  <c r="J41" i="29"/>
  <c r="J44" i="29"/>
  <c r="J57" i="29"/>
  <c r="J80" i="29"/>
  <c r="J11" i="29"/>
  <c r="J17" i="29"/>
  <c r="J50" i="29"/>
  <c r="J20" i="29"/>
  <c r="J27" i="29"/>
  <c r="J33" i="29"/>
  <c r="J24" i="29"/>
  <c r="J15" i="29"/>
  <c r="J36" i="29"/>
  <c r="J42" i="29"/>
  <c r="J48" i="29"/>
  <c r="J58" i="29"/>
  <c r="J25" i="29"/>
  <c r="J45" i="29"/>
  <c r="J51" i="29"/>
  <c r="J71" i="29"/>
  <c r="J59" i="29"/>
  <c r="J28" i="29"/>
  <c r="J34" i="29"/>
  <c r="J40" i="29"/>
  <c r="J63" i="29"/>
  <c r="J37" i="29"/>
  <c r="J43" i="29"/>
  <c r="J49" i="29"/>
  <c r="J60" i="29"/>
  <c r="L59" i="29"/>
  <c r="J23" i="29"/>
  <c r="J56" i="29"/>
  <c r="L56" i="29"/>
  <c r="L23" i="29"/>
  <c r="M23" i="29" s="1"/>
  <c r="O23" i="29" s="1"/>
  <c r="J62" i="29"/>
  <c r="J69" i="29"/>
  <c r="J75" i="29"/>
  <c r="J78" i="29"/>
  <c r="J67" i="29"/>
  <c r="J70" i="29"/>
  <c r="J76" i="29"/>
  <c r="J79" i="29"/>
  <c r="J53" i="29"/>
  <c r="J61" i="29"/>
  <c r="J68" i="29"/>
  <c r="J83" i="29"/>
  <c r="J13" i="29"/>
  <c r="J21" i="29"/>
  <c r="J30" i="29"/>
  <c r="J38" i="29"/>
  <c r="J46" i="29"/>
  <c r="J54" i="29"/>
  <c r="J65" i="29"/>
  <c r="J73" i="29"/>
  <c r="J81" i="29"/>
  <c r="J14" i="29"/>
  <c r="J22" i="29"/>
  <c r="J31" i="29"/>
  <c r="J39" i="29"/>
  <c r="J47" i="29"/>
  <c r="J55" i="29"/>
  <c r="J66" i="29"/>
  <c r="J74" i="29"/>
  <c r="J82" i="29"/>
  <c r="L80" i="29"/>
  <c r="L24" i="29"/>
  <c r="L35" i="29"/>
  <c r="L78" i="29"/>
  <c r="L13" i="29"/>
  <c r="L38" i="29"/>
  <c r="L33" i="29"/>
  <c r="L68" i="29"/>
  <c r="L76" i="29"/>
  <c r="L19" i="29"/>
  <c r="L28" i="29"/>
  <c r="L36" i="29"/>
  <c r="L52" i="29"/>
  <c r="L62" i="29"/>
  <c r="L71" i="29"/>
  <c r="L79" i="29"/>
  <c r="L12" i="29"/>
  <c r="L37" i="29"/>
  <c r="L45" i="29"/>
  <c r="L63" i="29"/>
  <c r="L32" i="29"/>
  <c r="L48" i="29"/>
  <c r="L57" i="29"/>
  <c r="L75" i="29"/>
  <c r="L27" i="29"/>
  <c r="L51" i="29"/>
  <c r="L70" i="29"/>
  <c r="L30" i="29"/>
  <c r="L54" i="29"/>
  <c r="L73" i="29"/>
  <c r="L25" i="29"/>
  <c r="L49" i="29"/>
  <c r="K10" i="29"/>
  <c r="L11" i="29"/>
  <c r="L14" i="29"/>
  <c r="L22" i="29"/>
  <c r="L31" i="29"/>
  <c r="L39" i="29"/>
  <c r="L47" i="29"/>
  <c r="L55" i="29"/>
  <c r="L66" i="29"/>
  <c r="L74" i="29"/>
  <c r="L82" i="29"/>
  <c r="L20" i="29"/>
  <c r="L29" i="29"/>
  <c r="L53" i="29"/>
  <c r="L72" i="29"/>
  <c r="L15" i="29"/>
  <c r="L40" i="29"/>
  <c r="L67" i="29"/>
  <c r="L83" i="29"/>
  <c r="L18" i="29"/>
  <c r="L43" i="29"/>
  <c r="L61" i="29"/>
  <c r="L21" i="29"/>
  <c r="L46" i="29"/>
  <c r="L65" i="29"/>
  <c r="L81" i="29"/>
  <c r="L16" i="29"/>
  <c r="L41" i="29"/>
  <c r="L58" i="29"/>
  <c r="L17" i="29"/>
  <c r="L26" i="29"/>
  <c r="L34" i="29"/>
  <c r="L42" i="29"/>
  <c r="L44" i="29"/>
  <c r="L50" i="29"/>
  <c r="L60" i="29"/>
  <c r="L69" i="29"/>
  <c r="L77" i="29"/>
  <c r="N21" i="30" l="1"/>
  <c r="M21" i="30"/>
  <c r="O21" i="30" s="1"/>
  <c r="N19" i="30"/>
  <c r="M19" i="30"/>
  <c r="O19" i="30" s="1"/>
  <c r="N18" i="30"/>
  <c r="M18" i="30"/>
  <c r="O18" i="30" s="1"/>
  <c r="N69" i="30"/>
  <c r="M69" i="30"/>
  <c r="O69" i="30" s="1"/>
  <c r="N62" i="30"/>
  <c r="M62" i="30"/>
  <c r="O62" i="30" s="1"/>
  <c r="N23" i="30"/>
  <c r="M23" i="30"/>
  <c r="O23" i="30" s="1"/>
  <c r="J10" i="30"/>
  <c r="N60" i="30"/>
  <c r="M60" i="30"/>
  <c r="O60" i="30" s="1"/>
  <c r="N63" i="30"/>
  <c r="M63" i="30"/>
  <c r="O63" i="30" s="1"/>
  <c r="N29" i="30"/>
  <c r="M29" i="30"/>
  <c r="O29" i="30" s="1"/>
  <c r="N61" i="30"/>
  <c r="M61" i="30"/>
  <c r="O61" i="30" s="1"/>
  <c r="N39" i="30"/>
  <c r="M39" i="30"/>
  <c r="O39" i="30" s="1"/>
  <c r="N56" i="30"/>
  <c r="M56" i="30"/>
  <c r="O56" i="30" s="1"/>
  <c r="N48" i="30"/>
  <c r="M48" i="30"/>
  <c r="O48" i="30" s="1"/>
  <c r="N82" i="30"/>
  <c r="M82" i="30"/>
  <c r="O82" i="30" s="1"/>
  <c r="N30" i="30"/>
  <c r="M30" i="30"/>
  <c r="O30" i="30" s="1"/>
  <c r="N57" i="30"/>
  <c r="M57" i="30"/>
  <c r="O57" i="30" s="1"/>
  <c r="N80" i="30"/>
  <c r="M80" i="30"/>
  <c r="O80" i="30" s="1"/>
  <c r="N68" i="30"/>
  <c r="M68" i="30"/>
  <c r="O68" i="30" s="1"/>
  <c r="N26" i="30"/>
  <c r="M26" i="30"/>
  <c r="O26" i="30" s="1"/>
  <c r="N32" i="30"/>
  <c r="M32" i="30"/>
  <c r="O32" i="30" s="1"/>
  <c r="N42" i="30"/>
  <c r="M42" i="30"/>
  <c r="O42" i="30" s="1"/>
  <c r="N20" i="30"/>
  <c r="M20" i="30"/>
  <c r="O20" i="30" s="1"/>
  <c r="N15" i="30"/>
  <c r="M15" i="30"/>
  <c r="O15" i="30" s="1"/>
  <c r="N16" i="30"/>
  <c r="M16" i="30"/>
  <c r="O16" i="30" s="1"/>
  <c r="N65" i="30"/>
  <c r="M65" i="30"/>
  <c r="O65" i="30" s="1"/>
  <c r="N73" i="30"/>
  <c r="M73" i="30"/>
  <c r="O73" i="30" s="1"/>
  <c r="N50" i="30"/>
  <c r="M50" i="30"/>
  <c r="O50" i="30" s="1"/>
  <c r="N67" i="30"/>
  <c r="M67" i="30"/>
  <c r="O67" i="30" s="1"/>
  <c r="N27" i="30"/>
  <c r="M27" i="30"/>
  <c r="O27" i="30" s="1"/>
  <c r="N49" i="30"/>
  <c r="M49" i="30"/>
  <c r="O49" i="30" s="1"/>
  <c r="N76" i="30"/>
  <c r="M76" i="30"/>
  <c r="O76" i="30" s="1"/>
  <c r="N45" i="30"/>
  <c r="M45" i="30"/>
  <c r="O45" i="30" s="1"/>
  <c r="N43" i="30"/>
  <c r="M43" i="30"/>
  <c r="O43" i="30" s="1"/>
  <c r="N74" i="30"/>
  <c r="M74" i="30"/>
  <c r="O74" i="30" s="1"/>
  <c r="N66" i="30"/>
  <c r="M66" i="30"/>
  <c r="O66" i="30" s="1"/>
  <c r="N53" i="30"/>
  <c r="M53" i="30"/>
  <c r="O53" i="30" s="1"/>
  <c r="N44" i="30"/>
  <c r="M44" i="30"/>
  <c r="O44" i="30" s="1"/>
  <c r="N31" i="30"/>
  <c r="M31" i="30"/>
  <c r="O31" i="30" s="1"/>
  <c r="N75" i="30"/>
  <c r="M75" i="30"/>
  <c r="O75" i="30" s="1"/>
  <c r="N54" i="30"/>
  <c r="M54" i="30"/>
  <c r="O54" i="30" s="1"/>
  <c r="N79" i="30"/>
  <c r="M79" i="30"/>
  <c r="O79" i="30" s="1"/>
  <c r="N70" i="30"/>
  <c r="M70" i="30"/>
  <c r="O70" i="30" s="1"/>
  <c r="N13" i="30"/>
  <c r="M13" i="30"/>
  <c r="O13" i="30" s="1"/>
  <c r="N14" i="30"/>
  <c r="M14" i="30"/>
  <c r="O14" i="30" s="1"/>
  <c r="N17" i="30"/>
  <c r="M17" i="30"/>
  <c r="O17" i="30" s="1"/>
  <c r="N55" i="30"/>
  <c r="M55" i="30"/>
  <c r="O55" i="30" s="1"/>
  <c r="N46" i="30"/>
  <c r="M46" i="30"/>
  <c r="O46" i="30" s="1"/>
  <c r="N38" i="30"/>
  <c r="M38" i="30"/>
  <c r="O38" i="30" s="1"/>
  <c r="N34" i="30"/>
  <c r="M34" i="30"/>
  <c r="O34" i="30" s="1"/>
  <c r="N41" i="30"/>
  <c r="M41" i="30"/>
  <c r="O41" i="30" s="1"/>
  <c r="N11" i="30"/>
  <c r="M11" i="30"/>
  <c r="N52" i="30"/>
  <c r="M52" i="30"/>
  <c r="O52" i="30" s="1"/>
  <c r="N59" i="30"/>
  <c r="M59" i="30"/>
  <c r="O59" i="30" s="1"/>
  <c r="N33" i="30"/>
  <c r="M33" i="30"/>
  <c r="O33" i="30" s="1"/>
  <c r="N71" i="30"/>
  <c r="M71" i="30"/>
  <c r="O71" i="30" s="1"/>
  <c r="N40" i="30"/>
  <c r="M40" i="30"/>
  <c r="O40" i="30" s="1"/>
  <c r="N78" i="30"/>
  <c r="M78" i="30"/>
  <c r="O78" i="30" s="1"/>
  <c r="N28" i="30"/>
  <c r="M28" i="30"/>
  <c r="O28" i="30" s="1"/>
  <c r="N12" i="30"/>
  <c r="M12" i="30"/>
  <c r="O12" i="30" s="1"/>
  <c r="N47" i="30"/>
  <c r="M47" i="30"/>
  <c r="O47" i="30" s="1"/>
  <c r="N22" i="30"/>
  <c r="M22" i="30"/>
  <c r="O22" i="30" s="1"/>
  <c r="N37" i="30"/>
  <c r="M37" i="30"/>
  <c r="O37" i="30" s="1"/>
  <c r="N25" i="30"/>
  <c r="M25" i="30"/>
  <c r="O25" i="30" s="1"/>
  <c r="N35" i="30"/>
  <c r="M35" i="30"/>
  <c r="O35" i="30" s="1"/>
  <c r="N81" i="30"/>
  <c r="M81" i="30"/>
  <c r="O81" i="30" s="1"/>
  <c r="N72" i="30"/>
  <c r="M72" i="30"/>
  <c r="O72" i="30" s="1"/>
  <c r="N64" i="30"/>
  <c r="M64" i="30"/>
  <c r="O64" i="30" s="1"/>
  <c r="N58" i="30"/>
  <c r="M58" i="30"/>
  <c r="O58" i="30" s="1"/>
  <c r="N51" i="30"/>
  <c r="M51" i="30"/>
  <c r="O51" i="30" s="1"/>
  <c r="N36" i="30"/>
  <c r="M36" i="30"/>
  <c r="O36" i="30" s="1"/>
  <c r="N24" i="30"/>
  <c r="M24" i="30"/>
  <c r="O24" i="30" s="1"/>
  <c r="N77" i="30"/>
  <c r="M77" i="30"/>
  <c r="O77" i="30" s="1"/>
  <c r="M64" i="29"/>
  <c r="O64" i="29" s="1"/>
  <c r="N64" i="29"/>
  <c r="M59" i="29"/>
  <c r="O59" i="29" s="1"/>
  <c r="N59" i="29"/>
  <c r="M56" i="29"/>
  <c r="O56" i="29" s="1"/>
  <c r="N56" i="29"/>
  <c r="N23" i="29"/>
  <c r="J10" i="29"/>
  <c r="N34" i="29"/>
  <c r="M34" i="29"/>
  <c r="O34" i="29" s="1"/>
  <c r="N70" i="29"/>
  <c r="M70" i="29"/>
  <c r="O70" i="29" s="1"/>
  <c r="N57" i="29"/>
  <c r="M57" i="29"/>
  <c r="O57" i="29" s="1"/>
  <c r="N74" i="29"/>
  <c r="M74" i="29"/>
  <c r="O74" i="29" s="1"/>
  <c r="N19" i="29"/>
  <c r="M19" i="29"/>
  <c r="O19" i="29" s="1"/>
  <c r="N77" i="29"/>
  <c r="M77" i="29"/>
  <c r="O77" i="29" s="1"/>
  <c r="N65" i="29"/>
  <c r="M65" i="29"/>
  <c r="O65" i="29" s="1"/>
  <c r="N66" i="29"/>
  <c r="M66" i="29"/>
  <c r="O66" i="29" s="1"/>
  <c r="N32" i="29"/>
  <c r="M32" i="29"/>
  <c r="O32" i="29" s="1"/>
  <c r="N12" i="29"/>
  <c r="M12" i="29"/>
  <c r="O12" i="29" s="1"/>
  <c r="N42" i="29"/>
  <c r="M42" i="29"/>
  <c r="O42" i="29" s="1"/>
  <c r="N29" i="29"/>
  <c r="M29" i="29"/>
  <c r="O29" i="29" s="1"/>
  <c r="N49" i="29"/>
  <c r="M49" i="29"/>
  <c r="O49" i="29" s="1"/>
  <c r="N75" i="29"/>
  <c r="M75" i="29"/>
  <c r="O75" i="29" s="1"/>
  <c r="N63" i="29"/>
  <c r="M63" i="29"/>
  <c r="O63" i="29" s="1"/>
  <c r="N79" i="29"/>
  <c r="M79" i="29"/>
  <c r="O79" i="29" s="1"/>
  <c r="N36" i="29"/>
  <c r="M36" i="29"/>
  <c r="O36" i="29" s="1"/>
  <c r="N68" i="29"/>
  <c r="M68" i="29"/>
  <c r="O68" i="29" s="1"/>
  <c r="N78" i="29"/>
  <c r="M78" i="29"/>
  <c r="O78" i="29" s="1"/>
  <c r="N41" i="29"/>
  <c r="M41" i="29"/>
  <c r="O41" i="29" s="1"/>
  <c r="N71" i="29"/>
  <c r="M71" i="29"/>
  <c r="O71" i="29" s="1"/>
  <c r="N81" i="29"/>
  <c r="M81" i="29"/>
  <c r="O81" i="29" s="1"/>
  <c r="N37" i="29"/>
  <c r="M37" i="29"/>
  <c r="O37" i="29" s="1"/>
  <c r="N58" i="29"/>
  <c r="M58" i="29"/>
  <c r="O58" i="29" s="1"/>
  <c r="N40" i="29"/>
  <c r="M40" i="29"/>
  <c r="O40" i="29" s="1"/>
  <c r="N31" i="29"/>
  <c r="M31" i="29"/>
  <c r="O31" i="29" s="1"/>
  <c r="N27" i="29"/>
  <c r="M27" i="29"/>
  <c r="O27" i="29" s="1"/>
  <c r="N13" i="29"/>
  <c r="M13" i="29"/>
  <c r="O13" i="29" s="1"/>
  <c r="N69" i="29"/>
  <c r="M69" i="29"/>
  <c r="O69" i="29" s="1"/>
  <c r="N43" i="29"/>
  <c r="M43" i="29"/>
  <c r="O43" i="29" s="1"/>
  <c r="N46" i="29"/>
  <c r="M46" i="29"/>
  <c r="O46" i="29" s="1"/>
  <c r="N15" i="29"/>
  <c r="M15" i="29"/>
  <c r="O15" i="29" s="1"/>
  <c r="N55" i="29"/>
  <c r="M55" i="29"/>
  <c r="O55" i="29" s="1"/>
  <c r="N30" i="29"/>
  <c r="M30" i="29"/>
  <c r="O30" i="29" s="1"/>
  <c r="N83" i="29"/>
  <c r="M83" i="29"/>
  <c r="O83" i="29" s="1"/>
  <c r="N72" i="29"/>
  <c r="M72" i="29"/>
  <c r="O72" i="29" s="1"/>
  <c r="N82" i="29"/>
  <c r="M82" i="29"/>
  <c r="O82" i="29" s="1"/>
  <c r="N47" i="29"/>
  <c r="M47" i="29"/>
  <c r="O47" i="29" s="1"/>
  <c r="N25" i="29"/>
  <c r="M25" i="29"/>
  <c r="O25" i="29" s="1"/>
  <c r="N28" i="29"/>
  <c r="M28" i="29"/>
  <c r="O28" i="29" s="1"/>
  <c r="N33" i="29"/>
  <c r="M33" i="29"/>
  <c r="O33" i="29" s="1"/>
  <c r="N35" i="29"/>
  <c r="M35" i="29"/>
  <c r="O35" i="29" s="1"/>
  <c r="N50" i="29"/>
  <c r="M50" i="29"/>
  <c r="O50" i="29" s="1"/>
  <c r="N26" i="29"/>
  <c r="M26" i="29"/>
  <c r="O26" i="29" s="1"/>
  <c r="N16" i="29"/>
  <c r="M16" i="29"/>
  <c r="O16" i="29" s="1"/>
  <c r="N21" i="29"/>
  <c r="M21" i="29"/>
  <c r="O21" i="29" s="1"/>
  <c r="N14" i="29"/>
  <c r="M14" i="29"/>
  <c r="O14" i="29" s="1"/>
  <c r="N73" i="29"/>
  <c r="M73" i="29"/>
  <c r="O73" i="29" s="1"/>
  <c r="N51" i="29"/>
  <c r="M51" i="29"/>
  <c r="O51" i="29" s="1"/>
  <c r="N48" i="29"/>
  <c r="M48" i="29"/>
  <c r="O48" i="29" s="1"/>
  <c r="N62" i="29"/>
  <c r="M62" i="29"/>
  <c r="O62" i="29" s="1"/>
  <c r="N24" i="29"/>
  <c r="M24" i="29"/>
  <c r="O24" i="29" s="1"/>
  <c r="N18" i="29"/>
  <c r="M18" i="29"/>
  <c r="O18" i="29" s="1"/>
  <c r="N61" i="29"/>
  <c r="M61" i="29"/>
  <c r="O61" i="29" s="1"/>
  <c r="N60" i="29"/>
  <c r="M60" i="29"/>
  <c r="O60" i="29" s="1"/>
  <c r="N20" i="29"/>
  <c r="M20" i="29"/>
  <c r="O20" i="29" s="1"/>
  <c r="N45" i="29"/>
  <c r="M45" i="29"/>
  <c r="O45" i="29" s="1"/>
  <c r="N53" i="29"/>
  <c r="M53" i="29"/>
  <c r="O53" i="29" s="1"/>
  <c r="N38" i="29"/>
  <c r="M38" i="29"/>
  <c r="O38" i="29" s="1"/>
  <c r="N44" i="29"/>
  <c r="M44" i="29"/>
  <c r="O44" i="29" s="1"/>
  <c r="N17" i="29"/>
  <c r="M17" i="29"/>
  <c r="O17" i="29" s="1"/>
  <c r="N39" i="29"/>
  <c r="M39" i="29"/>
  <c r="O39" i="29" s="1"/>
  <c r="N11" i="29"/>
  <c r="M11" i="29"/>
  <c r="N54" i="29"/>
  <c r="M54" i="29"/>
  <c r="O54" i="29" s="1"/>
  <c r="N52" i="29"/>
  <c r="M52" i="29"/>
  <c r="O52" i="29" s="1"/>
  <c r="N76" i="29"/>
  <c r="M76" i="29"/>
  <c r="O76" i="29" s="1"/>
  <c r="N80" i="29"/>
  <c r="M80" i="29"/>
  <c r="O80" i="29" s="1"/>
  <c r="N22" i="29"/>
  <c r="M22" i="29"/>
  <c r="O22" i="29" s="1"/>
  <c r="N67" i="29"/>
  <c r="M67" i="29"/>
  <c r="O67" i="29" s="1"/>
  <c r="M10" i="30" l="1"/>
  <c r="L8" i="30" s="1"/>
  <c r="O11" i="30"/>
  <c r="O10" i="30" s="1"/>
  <c r="M10" i="29"/>
  <c r="L8" i="29" s="1"/>
  <c r="O11" i="29"/>
  <c r="O10" i="29" s="1"/>
  <c r="E15" i="28" l="1"/>
  <c r="F15" i="28" s="1"/>
  <c r="G15" i="28" s="1"/>
  <c r="D15" i="28"/>
  <c r="B67" i="28"/>
  <c r="D66" i="28"/>
  <c r="D65" i="28"/>
  <c r="D64" i="28"/>
  <c r="D63" i="28"/>
  <c r="M61" i="28"/>
  <c r="B59" i="28"/>
  <c r="B54" i="28"/>
  <c r="B48" i="28"/>
  <c r="D47" i="28"/>
  <c r="D46" i="28"/>
  <c r="B42" i="28"/>
  <c r="E46" i="28" s="1"/>
  <c r="F46" i="28" s="1"/>
  <c r="G46" i="28" s="1"/>
  <c r="B38" i="28"/>
  <c r="B32" i="28"/>
  <c r="D31" i="28"/>
  <c r="D32" i="28" s="1"/>
  <c r="B27" i="28"/>
  <c r="B23" i="28"/>
  <c r="B17" i="28"/>
  <c r="D16" i="28"/>
  <c r="D14" i="28"/>
  <c r="B10" i="28"/>
  <c r="B6" i="28"/>
  <c r="E31" i="28" l="1"/>
  <c r="F31" i="28" s="1"/>
  <c r="G31" i="28" s="1"/>
  <c r="G32" i="28" s="1"/>
  <c r="E65" i="28"/>
  <c r="F65" i="28" s="1"/>
  <c r="G65" i="28" s="1"/>
  <c r="D17" i="28"/>
  <c r="D67" i="28"/>
  <c r="D48" i="28"/>
  <c r="G29" i="28"/>
  <c r="E64" i="28"/>
  <c r="F64" i="28" s="1"/>
  <c r="G64" i="28" s="1"/>
  <c r="E66" i="28"/>
  <c r="F66" i="28" s="1"/>
  <c r="G66" i="28" s="1"/>
  <c r="E14" i="28"/>
  <c r="F14" i="28" s="1"/>
  <c r="G14" i="28" s="1"/>
  <c r="E47" i="28"/>
  <c r="F47" i="28" s="1"/>
  <c r="G47" i="28" s="1"/>
  <c r="G48" i="28" s="1"/>
  <c r="G44" i="28" s="1"/>
  <c r="E63" i="28"/>
  <c r="F63" i="28" s="1"/>
  <c r="G63" i="28" s="1"/>
  <c r="E16" i="28"/>
  <c r="F16" i="28" s="1"/>
  <c r="G16" i="28" s="1"/>
  <c r="G17" i="28" l="1"/>
  <c r="G12" i="28" s="1"/>
  <c r="G67" i="28"/>
  <c r="G61" i="28" s="1"/>
  <c r="B6" i="27" l="1"/>
  <c r="F10" i="27" s="1"/>
  <c r="J5" i="27"/>
  <c r="J20" i="27" s="1"/>
  <c r="H80" i="27"/>
  <c r="B80" i="27"/>
  <c r="K80" i="27" s="1"/>
  <c r="H79" i="27"/>
  <c r="B79" i="27"/>
  <c r="K79" i="27" s="1"/>
  <c r="H78" i="27"/>
  <c r="B78" i="27"/>
  <c r="K78" i="27" s="1"/>
  <c r="H77" i="27"/>
  <c r="B77" i="27"/>
  <c r="K77" i="27" s="1"/>
  <c r="J76" i="27"/>
  <c r="H76" i="27"/>
  <c r="B76" i="27"/>
  <c r="K76" i="27" s="1"/>
  <c r="H75" i="27"/>
  <c r="B75" i="27"/>
  <c r="K75" i="27" s="1"/>
  <c r="H74" i="27"/>
  <c r="B74" i="27"/>
  <c r="K74" i="27" s="1"/>
  <c r="J73" i="27"/>
  <c r="H73" i="27"/>
  <c r="B73" i="27"/>
  <c r="K73" i="27" s="1"/>
  <c r="H72" i="27"/>
  <c r="B72" i="27"/>
  <c r="K72" i="27" s="1"/>
  <c r="H71" i="27"/>
  <c r="B71" i="27"/>
  <c r="K71" i="27" s="1"/>
  <c r="H70" i="27"/>
  <c r="B70" i="27"/>
  <c r="K70" i="27" s="1"/>
  <c r="J69" i="27"/>
  <c r="H69" i="27"/>
  <c r="B69" i="27"/>
  <c r="K69" i="27" s="1"/>
  <c r="H68" i="27"/>
  <c r="B68" i="27"/>
  <c r="K68" i="27" s="1"/>
  <c r="J67" i="27"/>
  <c r="H67" i="27"/>
  <c r="B67" i="27"/>
  <c r="K67" i="27" s="1"/>
  <c r="H66" i="27"/>
  <c r="B66" i="27"/>
  <c r="K66" i="27" s="1"/>
  <c r="H65" i="27"/>
  <c r="B65" i="27"/>
  <c r="K65" i="27" s="1"/>
  <c r="J64" i="27"/>
  <c r="H64" i="27"/>
  <c r="B64" i="27"/>
  <c r="K64" i="27" s="1"/>
  <c r="J63" i="27"/>
  <c r="H63" i="27"/>
  <c r="B63" i="27"/>
  <c r="K63" i="27" s="1"/>
  <c r="H62" i="27"/>
  <c r="B62" i="27"/>
  <c r="K62" i="27" s="1"/>
  <c r="J61" i="27"/>
  <c r="H61" i="27"/>
  <c r="B61" i="27"/>
  <c r="K61" i="27" s="1"/>
  <c r="J60" i="27"/>
  <c r="H60" i="27"/>
  <c r="B60" i="27"/>
  <c r="K60" i="27" s="1"/>
  <c r="J59" i="27"/>
  <c r="H59" i="27"/>
  <c r="B59" i="27"/>
  <c r="K59" i="27" s="1"/>
  <c r="H58" i="27"/>
  <c r="B58" i="27"/>
  <c r="K58" i="27" s="1"/>
  <c r="J57" i="27"/>
  <c r="H57" i="27"/>
  <c r="B57" i="27"/>
  <c r="K57" i="27" s="1"/>
  <c r="J56" i="27"/>
  <c r="H56" i="27"/>
  <c r="B56" i="27"/>
  <c r="K56" i="27" s="1"/>
  <c r="J55" i="27"/>
  <c r="H55" i="27"/>
  <c r="B55" i="27"/>
  <c r="K55" i="27" s="1"/>
  <c r="H54" i="27"/>
  <c r="B54" i="27"/>
  <c r="K54" i="27" s="1"/>
  <c r="J53" i="27"/>
  <c r="H53" i="27"/>
  <c r="B53" i="27"/>
  <c r="K53" i="27" s="1"/>
  <c r="J52" i="27"/>
  <c r="H52" i="27"/>
  <c r="B52" i="27"/>
  <c r="K52" i="27" s="1"/>
  <c r="J51" i="27"/>
  <c r="H51" i="27"/>
  <c r="B51" i="27"/>
  <c r="K51" i="27" s="1"/>
  <c r="H50" i="27"/>
  <c r="B50" i="27"/>
  <c r="K50" i="27" s="1"/>
  <c r="J49" i="27"/>
  <c r="H49" i="27"/>
  <c r="B49" i="27"/>
  <c r="K49" i="27" s="1"/>
  <c r="J48" i="27"/>
  <c r="H48" i="27"/>
  <c r="B48" i="27"/>
  <c r="K48" i="27" s="1"/>
  <c r="J47" i="27"/>
  <c r="H47" i="27"/>
  <c r="B47" i="27"/>
  <c r="K47" i="27" s="1"/>
  <c r="H46" i="27"/>
  <c r="B46" i="27"/>
  <c r="K46" i="27" s="1"/>
  <c r="J45" i="27"/>
  <c r="H45" i="27"/>
  <c r="B45" i="27"/>
  <c r="K45" i="27" s="1"/>
  <c r="K44" i="27"/>
  <c r="J44" i="27"/>
  <c r="H44" i="27"/>
  <c r="J43" i="27"/>
  <c r="H43" i="27"/>
  <c r="B43" i="27"/>
  <c r="K43" i="27" s="1"/>
  <c r="H42" i="27"/>
  <c r="B42" i="27"/>
  <c r="K42" i="27" s="1"/>
  <c r="J41" i="27"/>
  <c r="H41" i="27"/>
  <c r="B41" i="27"/>
  <c r="K41" i="27" s="1"/>
  <c r="J40" i="27"/>
  <c r="H40" i="27"/>
  <c r="B40" i="27"/>
  <c r="K40" i="27" s="1"/>
  <c r="J39" i="27"/>
  <c r="H39" i="27"/>
  <c r="B39" i="27"/>
  <c r="K39" i="27" s="1"/>
  <c r="H38" i="27"/>
  <c r="B38" i="27"/>
  <c r="K38" i="27" s="1"/>
  <c r="J37" i="27"/>
  <c r="H37" i="27"/>
  <c r="B37" i="27"/>
  <c r="K37" i="27" s="1"/>
  <c r="J36" i="27"/>
  <c r="H36" i="27"/>
  <c r="B36" i="27"/>
  <c r="K36" i="27" s="1"/>
  <c r="J35" i="27"/>
  <c r="H35" i="27"/>
  <c r="B35" i="27"/>
  <c r="K35" i="27" s="1"/>
  <c r="H34" i="27"/>
  <c r="B34" i="27"/>
  <c r="K34" i="27" s="1"/>
  <c r="J33" i="27"/>
  <c r="H33" i="27"/>
  <c r="B33" i="27"/>
  <c r="K33" i="27" s="1"/>
  <c r="J32" i="27"/>
  <c r="H32" i="27"/>
  <c r="B32" i="27"/>
  <c r="K32" i="27" s="1"/>
  <c r="J31" i="27"/>
  <c r="H31" i="27"/>
  <c r="B31" i="27"/>
  <c r="K31" i="27" s="1"/>
  <c r="H30" i="27"/>
  <c r="B30" i="27"/>
  <c r="K30" i="27" s="1"/>
  <c r="J29" i="27"/>
  <c r="H29" i="27"/>
  <c r="B29" i="27"/>
  <c r="K29" i="27" s="1"/>
  <c r="J28" i="27"/>
  <c r="H28" i="27"/>
  <c r="B28" i="27"/>
  <c r="K28" i="27" s="1"/>
  <c r="J27" i="27"/>
  <c r="H27" i="27"/>
  <c r="B27" i="27"/>
  <c r="K27" i="27" s="1"/>
  <c r="H26" i="27"/>
  <c r="B26" i="27"/>
  <c r="K26" i="27" s="1"/>
  <c r="J25" i="27"/>
  <c r="H25" i="27"/>
  <c r="B25" i="27"/>
  <c r="K25" i="27" s="1"/>
  <c r="J24" i="27"/>
  <c r="H24" i="27"/>
  <c r="B24" i="27"/>
  <c r="K24" i="27" s="1"/>
  <c r="J23" i="27"/>
  <c r="H23" i="27"/>
  <c r="B23" i="27"/>
  <c r="K23" i="27" s="1"/>
  <c r="H22" i="27"/>
  <c r="B22" i="27"/>
  <c r="K22" i="27" s="1"/>
  <c r="J21" i="27"/>
  <c r="H21" i="27"/>
  <c r="B21" i="27"/>
  <c r="K21" i="27" s="1"/>
  <c r="J19" i="27"/>
  <c r="H19" i="27"/>
  <c r="B19" i="27"/>
  <c r="K19" i="27" s="1"/>
  <c r="H17" i="27"/>
  <c r="B17" i="27"/>
  <c r="K17" i="27" s="1"/>
  <c r="J16" i="27"/>
  <c r="H16" i="27"/>
  <c r="B16" i="27"/>
  <c r="K16" i="27" s="1"/>
  <c r="J15" i="27"/>
  <c r="H15" i="27"/>
  <c r="B15" i="27"/>
  <c r="K15" i="27" s="1"/>
  <c r="J14" i="27"/>
  <c r="H14" i="27"/>
  <c r="B14" i="27"/>
  <c r="K14" i="27" s="1"/>
  <c r="H13" i="27"/>
  <c r="B13" i="27"/>
  <c r="K13" i="27" s="1"/>
  <c r="J12" i="27"/>
  <c r="H12" i="27"/>
  <c r="B12" i="27"/>
  <c r="K12" i="27" s="1"/>
  <c r="J11" i="27"/>
  <c r="H11" i="27"/>
  <c r="B11" i="27"/>
  <c r="K11" i="27" s="1"/>
  <c r="I10" i="27"/>
  <c r="I1" i="27"/>
  <c r="H79" i="26"/>
  <c r="B79" i="26"/>
  <c r="K79" i="26" s="1"/>
  <c r="H78" i="26"/>
  <c r="B78" i="26"/>
  <c r="K78" i="26" s="1"/>
  <c r="H77" i="26"/>
  <c r="B77" i="26"/>
  <c r="K77" i="26" s="1"/>
  <c r="H76" i="26"/>
  <c r="B76" i="26"/>
  <c r="K76" i="26" s="1"/>
  <c r="H75" i="26"/>
  <c r="B75" i="26"/>
  <c r="K75" i="26" s="1"/>
  <c r="H74" i="26"/>
  <c r="B74" i="26"/>
  <c r="K74" i="26" s="1"/>
  <c r="H73" i="26"/>
  <c r="B73" i="26"/>
  <c r="K73" i="26" s="1"/>
  <c r="H72" i="26"/>
  <c r="B72" i="26"/>
  <c r="K72" i="26" s="1"/>
  <c r="H71" i="26"/>
  <c r="B71" i="26"/>
  <c r="K71" i="26" s="1"/>
  <c r="H70" i="26"/>
  <c r="B70" i="26"/>
  <c r="K70" i="26" s="1"/>
  <c r="H69" i="26"/>
  <c r="B69" i="26"/>
  <c r="K69" i="26" s="1"/>
  <c r="H68" i="26"/>
  <c r="B68" i="26"/>
  <c r="K68" i="26" s="1"/>
  <c r="H67" i="26"/>
  <c r="B67" i="26"/>
  <c r="K67" i="26" s="1"/>
  <c r="H66" i="26"/>
  <c r="B66" i="26"/>
  <c r="K66" i="26" s="1"/>
  <c r="H65" i="26"/>
  <c r="B65" i="26"/>
  <c r="K65" i="26" s="1"/>
  <c r="H64" i="26"/>
  <c r="B64" i="26"/>
  <c r="K64" i="26" s="1"/>
  <c r="H63" i="26"/>
  <c r="B63" i="26"/>
  <c r="K63" i="26" s="1"/>
  <c r="H62" i="26"/>
  <c r="B62" i="26"/>
  <c r="K62" i="26" s="1"/>
  <c r="H61" i="26"/>
  <c r="B61" i="26"/>
  <c r="K61" i="26" s="1"/>
  <c r="H60" i="26"/>
  <c r="B60" i="26"/>
  <c r="K60" i="26" s="1"/>
  <c r="H59" i="26"/>
  <c r="B59" i="26"/>
  <c r="K59" i="26" s="1"/>
  <c r="H58" i="26"/>
  <c r="B58" i="26"/>
  <c r="K58" i="26" s="1"/>
  <c r="H57" i="26"/>
  <c r="B57" i="26"/>
  <c r="K57" i="26" s="1"/>
  <c r="H56" i="26"/>
  <c r="B56" i="26"/>
  <c r="K56" i="26" s="1"/>
  <c r="H55" i="26"/>
  <c r="B55" i="26"/>
  <c r="K55" i="26" s="1"/>
  <c r="H54" i="26"/>
  <c r="B54" i="26"/>
  <c r="K54" i="26" s="1"/>
  <c r="H53" i="26"/>
  <c r="B53" i="26"/>
  <c r="K53" i="26" s="1"/>
  <c r="H52" i="26"/>
  <c r="B52" i="26"/>
  <c r="K52" i="26" s="1"/>
  <c r="H51" i="26"/>
  <c r="B51" i="26"/>
  <c r="K51" i="26" s="1"/>
  <c r="H50" i="26"/>
  <c r="B50" i="26"/>
  <c r="K50" i="26" s="1"/>
  <c r="H49" i="26"/>
  <c r="B49" i="26"/>
  <c r="K49" i="26" s="1"/>
  <c r="H48" i="26"/>
  <c r="B48" i="26"/>
  <c r="K48" i="26" s="1"/>
  <c r="H47" i="26"/>
  <c r="B47" i="26"/>
  <c r="K47" i="26" s="1"/>
  <c r="H46" i="26"/>
  <c r="B46" i="26"/>
  <c r="K46" i="26" s="1"/>
  <c r="H45" i="26"/>
  <c r="B45" i="26"/>
  <c r="K45" i="26" s="1"/>
  <c r="H44" i="26"/>
  <c r="B44" i="26"/>
  <c r="K44" i="26" s="1"/>
  <c r="K43" i="26"/>
  <c r="H43" i="26"/>
  <c r="H42" i="26"/>
  <c r="B42" i="26"/>
  <c r="K42" i="26" s="1"/>
  <c r="H41" i="26"/>
  <c r="B41" i="26"/>
  <c r="K41" i="26" s="1"/>
  <c r="H40" i="26"/>
  <c r="B40" i="26"/>
  <c r="K40" i="26" s="1"/>
  <c r="H39" i="26"/>
  <c r="B39" i="26"/>
  <c r="K39" i="26" s="1"/>
  <c r="H38" i="26"/>
  <c r="B38" i="26"/>
  <c r="K38" i="26" s="1"/>
  <c r="H37" i="26"/>
  <c r="B37" i="26"/>
  <c r="K37" i="26" s="1"/>
  <c r="H36" i="26"/>
  <c r="B36" i="26"/>
  <c r="K36" i="26" s="1"/>
  <c r="H35" i="26"/>
  <c r="B35" i="26"/>
  <c r="K35" i="26" s="1"/>
  <c r="H34" i="26"/>
  <c r="B34" i="26"/>
  <c r="K34" i="26" s="1"/>
  <c r="H33" i="26"/>
  <c r="B33" i="26"/>
  <c r="K33" i="26" s="1"/>
  <c r="H32" i="26"/>
  <c r="B32" i="26"/>
  <c r="K32" i="26" s="1"/>
  <c r="H31" i="26"/>
  <c r="B31" i="26"/>
  <c r="K31" i="26" s="1"/>
  <c r="H30" i="26"/>
  <c r="B30" i="26"/>
  <c r="K30" i="26" s="1"/>
  <c r="H29" i="26"/>
  <c r="B29" i="26"/>
  <c r="K29" i="26" s="1"/>
  <c r="H28" i="26"/>
  <c r="B28" i="26"/>
  <c r="K28" i="26" s="1"/>
  <c r="H27" i="26"/>
  <c r="B27" i="26"/>
  <c r="K27" i="26" s="1"/>
  <c r="H26" i="26"/>
  <c r="B26" i="26"/>
  <c r="K26" i="26" s="1"/>
  <c r="H25" i="26"/>
  <c r="B25" i="26"/>
  <c r="K25" i="26" s="1"/>
  <c r="H24" i="26"/>
  <c r="B24" i="26"/>
  <c r="K24" i="26" s="1"/>
  <c r="H23" i="26"/>
  <c r="B23" i="26"/>
  <c r="K23" i="26" s="1"/>
  <c r="H22" i="26"/>
  <c r="B22" i="26"/>
  <c r="K22" i="26" s="1"/>
  <c r="H21" i="26"/>
  <c r="B21" i="26"/>
  <c r="K21" i="26" s="1"/>
  <c r="H20" i="26"/>
  <c r="B20" i="26"/>
  <c r="K20" i="26" s="1"/>
  <c r="H19" i="26"/>
  <c r="B19" i="26"/>
  <c r="K19" i="26" s="1"/>
  <c r="H18" i="26"/>
  <c r="B18" i="26"/>
  <c r="K18" i="26" s="1"/>
  <c r="H17" i="26"/>
  <c r="B17" i="26"/>
  <c r="K17" i="26" s="1"/>
  <c r="H16" i="26"/>
  <c r="B16" i="26"/>
  <c r="K16" i="26" s="1"/>
  <c r="H15" i="26"/>
  <c r="B15" i="26"/>
  <c r="K15" i="26" s="1"/>
  <c r="H14" i="26"/>
  <c r="B14" i="26"/>
  <c r="K14" i="26" s="1"/>
  <c r="H13" i="26"/>
  <c r="B13" i="26"/>
  <c r="K13" i="26" s="1"/>
  <c r="H12" i="26"/>
  <c r="B12" i="26"/>
  <c r="K12" i="26" s="1"/>
  <c r="H11" i="26"/>
  <c r="B11" i="26"/>
  <c r="K11" i="26" s="1"/>
  <c r="I10" i="26"/>
  <c r="B6" i="26"/>
  <c r="F10" i="26" s="1"/>
  <c r="I1" i="26"/>
  <c r="J5" i="25"/>
  <c r="J64" i="25" s="1"/>
  <c r="B6" i="25"/>
  <c r="F10" i="25" s="1"/>
  <c r="J73" i="25"/>
  <c r="J79" i="25"/>
  <c r="H79" i="25"/>
  <c r="B79" i="25"/>
  <c r="K79" i="25" s="1"/>
  <c r="H78" i="25"/>
  <c r="B78" i="25"/>
  <c r="K78" i="25" s="1"/>
  <c r="H77" i="25"/>
  <c r="B77" i="25"/>
  <c r="K77" i="25" s="1"/>
  <c r="J76" i="25"/>
  <c r="H76" i="25"/>
  <c r="B76" i="25"/>
  <c r="K76" i="25" s="1"/>
  <c r="J75" i="25"/>
  <c r="H75" i="25"/>
  <c r="B75" i="25"/>
  <c r="K75" i="25" s="1"/>
  <c r="H74" i="25"/>
  <c r="B74" i="25"/>
  <c r="K74" i="25" s="1"/>
  <c r="H73" i="25"/>
  <c r="B73" i="25"/>
  <c r="K73" i="25" s="1"/>
  <c r="J72" i="25"/>
  <c r="H72" i="25"/>
  <c r="B72" i="25"/>
  <c r="K72" i="25" s="1"/>
  <c r="J71" i="25"/>
  <c r="H71" i="25"/>
  <c r="B71" i="25"/>
  <c r="K71" i="25" s="1"/>
  <c r="H70" i="25"/>
  <c r="B70" i="25"/>
  <c r="K70" i="25" s="1"/>
  <c r="H69" i="25"/>
  <c r="B69" i="25"/>
  <c r="K69" i="25" s="1"/>
  <c r="J68" i="25"/>
  <c r="H68" i="25"/>
  <c r="B68" i="25"/>
  <c r="K68" i="25" s="1"/>
  <c r="J67" i="25"/>
  <c r="H67" i="25"/>
  <c r="B67" i="25"/>
  <c r="K67" i="25" s="1"/>
  <c r="H66" i="25"/>
  <c r="B66" i="25"/>
  <c r="K66" i="25" s="1"/>
  <c r="H65" i="25"/>
  <c r="B65" i="25"/>
  <c r="K65" i="25" s="1"/>
  <c r="H64" i="25"/>
  <c r="B64" i="25"/>
  <c r="K64" i="25" s="1"/>
  <c r="J63" i="25"/>
  <c r="H63" i="25"/>
  <c r="B63" i="25"/>
  <c r="K63" i="25" s="1"/>
  <c r="J62" i="25"/>
  <c r="H62" i="25"/>
  <c r="B62" i="25"/>
  <c r="K62" i="25" s="1"/>
  <c r="J61" i="25"/>
  <c r="H61" i="25"/>
  <c r="B61" i="25"/>
  <c r="K61" i="25" s="1"/>
  <c r="H60" i="25"/>
  <c r="B60" i="25"/>
  <c r="K60" i="25" s="1"/>
  <c r="H59" i="25"/>
  <c r="B59" i="25"/>
  <c r="K59" i="25" s="1"/>
  <c r="H58" i="25"/>
  <c r="B58" i="25"/>
  <c r="K58" i="25" s="1"/>
  <c r="H57" i="25"/>
  <c r="B57" i="25"/>
  <c r="K57" i="25" s="1"/>
  <c r="H56" i="25"/>
  <c r="B56" i="25"/>
  <c r="K56" i="25" s="1"/>
  <c r="J55" i="25"/>
  <c r="H55" i="25"/>
  <c r="B55" i="25"/>
  <c r="K55" i="25" s="1"/>
  <c r="H54" i="25"/>
  <c r="B54" i="25"/>
  <c r="K54" i="25" s="1"/>
  <c r="H53" i="25"/>
  <c r="B53" i="25"/>
  <c r="K53" i="25" s="1"/>
  <c r="H52" i="25"/>
  <c r="B52" i="25"/>
  <c r="K52" i="25" s="1"/>
  <c r="J51" i="25"/>
  <c r="H51" i="25"/>
  <c r="B51" i="25"/>
  <c r="K51" i="25" s="1"/>
  <c r="J50" i="25"/>
  <c r="H50" i="25"/>
  <c r="B50" i="25"/>
  <c r="K50" i="25" s="1"/>
  <c r="J49" i="25"/>
  <c r="H49" i="25"/>
  <c r="B49" i="25"/>
  <c r="K49" i="25" s="1"/>
  <c r="J48" i="25"/>
  <c r="H48" i="25"/>
  <c r="B48" i="25"/>
  <c r="K48" i="25" s="1"/>
  <c r="J47" i="25"/>
  <c r="H47" i="25"/>
  <c r="B47" i="25"/>
  <c r="K47" i="25" s="1"/>
  <c r="J46" i="25"/>
  <c r="H46" i="25"/>
  <c r="B46" i="25"/>
  <c r="K46" i="25" s="1"/>
  <c r="J45" i="25"/>
  <c r="H45" i="25"/>
  <c r="B45" i="25"/>
  <c r="K45" i="25" s="1"/>
  <c r="H44" i="25"/>
  <c r="B44" i="25"/>
  <c r="K44" i="25" s="1"/>
  <c r="K43" i="25"/>
  <c r="H43" i="25"/>
  <c r="J42" i="25"/>
  <c r="H42" i="25"/>
  <c r="B42" i="25"/>
  <c r="K42" i="25" s="1"/>
  <c r="J41" i="25"/>
  <c r="H41" i="25"/>
  <c r="B41" i="25"/>
  <c r="K41" i="25" s="1"/>
  <c r="H40" i="25"/>
  <c r="B40" i="25"/>
  <c r="K40" i="25" s="1"/>
  <c r="J39" i="25"/>
  <c r="H39" i="25"/>
  <c r="B39" i="25"/>
  <c r="K39" i="25" s="1"/>
  <c r="J38" i="25"/>
  <c r="H38" i="25"/>
  <c r="B38" i="25"/>
  <c r="K38" i="25" s="1"/>
  <c r="J37" i="25"/>
  <c r="H37" i="25"/>
  <c r="B37" i="25"/>
  <c r="K37" i="25" s="1"/>
  <c r="H36" i="25"/>
  <c r="B36" i="25"/>
  <c r="K36" i="25" s="1"/>
  <c r="J35" i="25"/>
  <c r="H35" i="25"/>
  <c r="B35" i="25"/>
  <c r="K35" i="25" s="1"/>
  <c r="J34" i="25"/>
  <c r="H34" i="25"/>
  <c r="B34" i="25"/>
  <c r="K34" i="25" s="1"/>
  <c r="J33" i="25"/>
  <c r="H33" i="25"/>
  <c r="B33" i="25"/>
  <c r="K33" i="25" s="1"/>
  <c r="H32" i="25"/>
  <c r="B32" i="25"/>
  <c r="K32" i="25" s="1"/>
  <c r="J31" i="25"/>
  <c r="H31" i="25"/>
  <c r="B31" i="25"/>
  <c r="K31" i="25" s="1"/>
  <c r="J30" i="25"/>
  <c r="H30" i="25"/>
  <c r="B30" i="25"/>
  <c r="K30" i="25" s="1"/>
  <c r="J29" i="25"/>
  <c r="H29" i="25"/>
  <c r="B29" i="25"/>
  <c r="K29" i="25" s="1"/>
  <c r="H28" i="25"/>
  <c r="B28" i="25"/>
  <c r="K28" i="25" s="1"/>
  <c r="J27" i="25"/>
  <c r="H27" i="25"/>
  <c r="B27" i="25"/>
  <c r="K27" i="25" s="1"/>
  <c r="J26" i="25"/>
  <c r="H26" i="25"/>
  <c r="B26" i="25"/>
  <c r="K26" i="25" s="1"/>
  <c r="J25" i="25"/>
  <c r="H25" i="25"/>
  <c r="B25" i="25"/>
  <c r="K25" i="25" s="1"/>
  <c r="H24" i="25"/>
  <c r="B24" i="25"/>
  <c r="K24" i="25" s="1"/>
  <c r="J23" i="25"/>
  <c r="H23" i="25"/>
  <c r="B23" i="25"/>
  <c r="K23" i="25" s="1"/>
  <c r="J22" i="25"/>
  <c r="H22" i="25"/>
  <c r="B22" i="25"/>
  <c r="K22" i="25" s="1"/>
  <c r="J21" i="25"/>
  <c r="H21" i="25"/>
  <c r="B21" i="25"/>
  <c r="K21" i="25" s="1"/>
  <c r="H20" i="25"/>
  <c r="B20" i="25"/>
  <c r="K20" i="25" s="1"/>
  <c r="J19" i="25"/>
  <c r="H19" i="25"/>
  <c r="B19" i="25"/>
  <c r="K19" i="25" s="1"/>
  <c r="J18" i="25"/>
  <c r="H18" i="25"/>
  <c r="B18" i="25"/>
  <c r="K18" i="25" s="1"/>
  <c r="J17" i="25"/>
  <c r="H17" i="25"/>
  <c r="B17" i="25"/>
  <c r="K17" i="25" s="1"/>
  <c r="H16" i="25"/>
  <c r="B16" i="25"/>
  <c r="K16" i="25" s="1"/>
  <c r="J15" i="25"/>
  <c r="H15" i="25"/>
  <c r="B15" i="25"/>
  <c r="K15" i="25" s="1"/>
  <c r="J14" i="25"/>
  <c r="H14" i="25"/>
  <c r="B14" i="25"/>
  <c r="K14" i="25" s="1"/>
  <c r="J13" i="25"/>
  <c r="H13" i="25"/>
  <c r="B13" i="25"/>
  <c r="K13" i="25" s="1"/>
  <c r="H12" i="25"/>
  <c r="B12" i="25"/>
  <c r="K12" i="25" s="1"/>
  <c r="J11" i="25"/>
  <c r="H11" i="25"/>
  <c r="B11" i="25"/>
  <c r="K11" i="25" s="1"/>
  <c r="I10" i="25"/>
  <c r="I1" i="25"/>
  <c r="H11" i="24"/>
  <c r="H12" i="24"/>
  <c r="H47" i="24"/>
  <c r="H48" i="24"/>
  <c r="H53" i="24"/>
  <c r="H56" i="24"/>
  <c r="H61" i="24"/>
  <c r="H62" i="24"/>
  <c r="H64" i="24"/>
  <c r="H71" i="24"/>
  <c r="H72" i="24"/>
  <c r="H73" i="24"/>
  <c r="H77" i="24"/>
  <c r="H78" i="24"/>
  <c r="H79" i="24"/>
  <c r="H80" i="24"/>
  <c r="H81" i="24"/>
  <c r="H82" i="24"/>
  <c r="H13" i="24"/>
  <c r="H55" i="24"/>
  <c r="H57" i="24"/>
  <c r="H63" i="24"/>
  <c r="H65" i="24"/>
  <c r="H75" i="24"/>
  <c r="H76" i="24"/>
  <c r="K82" i="24"/>
  <c r="K81" i="24"/>
  <c r="K80" i="24"/>
  <c r="K79" i="24"/>
  <c r="K78" i="24"/>
  <c r="K77" i="24"/>
  <c r="K76" i="24"/>
  <c r="K75" i="24"/>
  <c r="H74" i="24"/>
  <c r="K74" i="24"/>
  <c r="K73" i="24"/>
  <c r="K72" i="24"/>
  <c r="K71" i="24"/>
  <c r="H70" i="24"/>
  <c r="K70" i="24"/>
  <c r="H69" i="24"/>
  <c r="K69" i="24"/>
  <c r="H68" i="24"/>
  <c r="K68" i="24"/>
  <c r="H67" i="24"/>
  <c r="K67" i="24"/>
  <c r="H66" i="24"/>
  <c r="K66" i="24"/>
  <c r="K65" i="24"/>
  <c r="K64" i="24"/>
  <c r="K63" i="24"/>
  <c r="K62" i="24"/>
  <c r="K61" i="24"/>
  <c r="H60" i="24"/>
  <c r="K60" i="24"/>
  <c r="H59" i="24"/>
  <c r="K59" i="24"/>
  <c r="H58" i="24"/>
  <c r="K58" i="24"/>
  <c r="K57" i="24"/>
  <c r="K56" i="24"/>
  <c r="K55" i="24"/>
  <c r="H54" i="24"/>
  <c r="K54" i="24"/>
  <c r="K53" i="24"/>
  <c r="H52" i="24"/>
  <c r="K52" i="24"/>
  <c r="H51" i="24"/>
  <c r="K51" i="24"/>
  <c r="H50" i="24"/>
  <c r="K50" i="24"/>
  <c r="H49" i="24"/>
  <c r="K49" i="24"/>
  <c r="K48" i="24"/>
  <c r="K47" i="24"/>
  <c r="K46" i="24"/>
  <c r="H46" i="24"/>
  <c r="H45" i="24"/>
  <c r="K45" i="24"/>
  <c r="H44" i="24"/>
  <c r="K44" i="24"/>
  <c r="H43" i="24"/>
  <c r="K43" i="24"/>
  <c r="H42" i="24"/>
  <c r="K42" i="24"/>
  <c r="H41" i="24"/>
  <c r="K41" i="24"/>
  <c r="H40" i="24"/>
  <c r="K40" i="24"/>
  <c r="H39" i="24"/>
  <c r="K39" i="24"/>
  <c r="H38" i="24"/>
  <c r="K38" i="24"/>
  <c r="H37" i="24"/>
  <c r="K37" i="24"/>
  <c r="H36" i="24"/>
  <c r="K36" i="24"/>
  <c r="H35" i="24"/>
  <c r="K35" i="24"/>
  <c r="H34" i="24"/>
  <c r="K34" i="24"/>
  <c r="H33" i="24"/>
  <c r="K33" i="24"/>
  <c r="H32" i="24"/>
  <c r="K32" i="24"/>
  <c r="H31" i="24"/>
  <c r="K31" i="24"/>
  <c r="H30" i="24"/>
  <c r="K30" i="24"/>
  <c r="H29" i="24"/>
  <c r="K29" i="24"/>
  <c r="H28" i="24"/>
  <c r="K28" i="24"/>
  <c r="H27" i="24"/>
  <c r="K27" i="24"/>
  <c r="H26" i="24"/>
  <c r="K26" i="24"/>
  <c r="H25" i="24"/>
  <c r="K25" i="24"/>
  <c r="H24" i="24"/>
  <c r="K24" i="24"/>
  <c r="H23" i="24"/>
  <c r="K23" i="24"/>
  <c r="H21" i="24"/>
  <c r="K21" i="24"/>
  <c r="H19" i="24"/>
  <c r="K19" i="24"/>
  <c r="H17" i="24"/>
  <c r="K17" i="24"/>
  <c r="H16" i="24"/>
  <c r="K16" i="24"/>
  <c r="H15" i="24"/>
  <c r="K15" i="24"/>
  <c r="H14" i="24"/>
  <c r="K14" i="24"/>
  <c r="K13" i="24"/>
  <c r="K12" i="24"/>
  <c r="K11" i="24"/>
  <c r="I10" i="24"/>
  <c r="B6" i="24"/>
  <c r="F10" i="24" s="1"/>
  <c r="J46" i="24"/>
  <c r="I1" i="24"/>
  <c r="L22" i="24" l="1"/>
  <c r="N22" i="24" s="1"/>
  <c r="L18" i="27"/>
  <c r="L20" i="24"/>
  <c r="N20" i="24" s="1"/>
  <c r="L18" i="24"/>
  <c r="N18" i="24" s="1"/>
  <c r="J72" i="27"/>
  <c r="J75" i="27"/>
  <c r="L20" i="27"/>
  <c r="M20" i="27" s="1"/>
  <c r="O20" i="27" s="1"/>
  <c r="J77" i="27"/>
  <c r="J74" i="27"/>
  <c r="L5" i="27"/>
  <c r="M5" i="27" s="1"/>
  <c r="C4" i="27"/>
  <c r="L35" i="26"/>
  <c r="N35" i="26" s="1"/>
  <c r="J65" i="27"/>
  <c r="J68" i="27"/>
  <c r="J71" i="27"/>
  <c r="J80" i="27"/>
  <c r="J13" i="27"/>
  <c r="J22" i="27"/>
  <c r="J30" i="27"/>
  <c r="J38" i="27"/>
  <c r="J46" i="27"/>
  <c r="J54" i="27"/>
  <c r="J62" i="27"/>
  <c r="J70" i="27"/>
  <c r="J78" i="27"/>
  <c r="J79" i="27"/>
  <c r="J17" i="27"/>
  <c r="J26" i="27"/>
  <c r="J34" i="27"/>
  <c r="J42" i="27"/>
  <c r="J50" i="27"/>
  <c r="J58" i="27"/>
  <c r="J66" i="27"/>
  <c r="L30" i="27"/>
  <c r="L78" i="27"/>
  <c r="L16" i="27"/>
  <c r="L25" i="27"/>
  <c r="L33" i="27"/>
  <c r="L41" i="27"/>
  <c r="L49" i="27"/>
  <c r="L57" i="27"/>
  <c r="L65" i="27"/>
  <c r="L73" i="27"/>
  <c r="L19" i="27"/>
  <c r="L51" i="27"/>
  <c r="L67" i="27"/>
  <c r="L13" i="27"/>
  <c r="L22" i="27"/>
  <c r="L38" i="27"/>
  <c r="L46" i="27"/>
  <c r="L54" i="27"/>
  <c r="L62" i="27"/>
  <c r="L70" i="27"/>
  <c r="K10" i="27"/>
  <c r="L11" i="27"/>
  <c r="L28" i="27"/>
  <c r="L36" i="27"/>
  <c r="L52" i="27"/>
  <c r="L60" i="27"/>
  <c r="L68" i="27"/>
  <c r="L76" i="27"/>
  <c r="L27" i="27"/>
  <c r="L43" i="27"/>
  <c r="L23" i="27"/>
  <c r="L39" i="27"/>
  <c r="L71" i="27"/>
  <c r="L17" i="27"/>
  <c r="L26" i="27"/>
  <c r="L34" i="27"/>
  <c r="L42" i="27"/>
  <c r="L50" i="27"/>
  <c r="L58" i="27"/>
  <c r="L66" i="27"/>
  <c r="L74" i="27"/>
  <c r="L59" i="27"/>
  <c r="L31" i="27"/>
  <c r="L47" i="27"/>
  <c r="L79" i="27"/>
  <c r="L12" i="27"/>
  <c r="L21" i="27"/>
  <c r="L29" i="27"/>
  <c r="L37" i="27"/>
  <c r="L45" i="27"/>
  <c r="L53" i="27"/>
  <c r="L61" i="27"/>
  <c r="L69" i="27"/>
  <c r="L77" i="27"/>
  <c r="L35" i="27"/>
  <c r="L75" i="27"/>
  <c r="L14" i="27"/>
  <c r="L55" i="27"/>
  <c r="L63" i="27"/>
  <c r="L15" i="27"/>
  <c r="L24" i="27"/>
  <c r="L32" i="27"/>
  <c r="L40" i="27"/>
  <c r="L48" i="27"/>
  <c r="L56" i="27"/>
  <c r="L64" i="27"/>
  <c r="L72" i="27"/>
  <c r="L80" i="27"/>
  <c r="L44" i="27"/>
  <c r="L11" i="26"/>
  <c r="N11" i="26" s="1"/>
  <c r="L19" i="26"/>
  <c r="M19" i="26" s="1"/>
  <c r="O19" i="26" s="1"/>
  <c r="L13" i="26"/>
  <c r="N13" i="26" s="1"/>
  <c r="L34" i="26"/>
  <c r="L52" i="26"/>
  <c r="L56" i="26"/>
  <c r="L64" i="26"/>
  <c r="L72" i="26"/>
  <c r="L76" i="26"/>
  <c r="K10" i="26"/>
  <c r="L15" i="26"/>
  <c r="L23" i="26"/>
  <c r="L31" i="26"/>
  <c r="L39" i="26"/>
  <c r="L20" i="26"/>
  <c r="L28" i="26"/>
  <c r="L36" i="26"/>
  <c r="L47" i="26"/>
  <c r="L53" i="26"/>
  <c r="L57" i="26"/>
  <c r="L61" i="26"/>
  <c r="L65" i="26"/>
  <c r="L69" i="26"/>
  <c r="L73" i="26"/>
  <c r="L77" i="26"/>
  <c r="L25" i="26"/>
  <c r="L33" i="26"/>
  <c r="L41" i="26"/>
  <c r="L45" i="26"/>
  <c r="L50" i="26"/>
  <c r="L17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79" i="26"/>
  <c r="J78" i="26"/>
  <c r="J77" i="26"/>
  <c r="J76" i="26"/>
  <c r="J75" i="26"/>
  <c r="J74" i="26"/>
  <c r="J73" i="26"/>
  <c r="J72" i="26"/>
  <c r="J71" i="26"/>
  <c r="J70" i="26"/>
  <c r="J69" i="26"/>
  <c r="J68" i="26"/>
  <c r="J67" i="26"/>
  <c r="J66" i="26"/>
  <c r="J65" i="26"/>
  <c r="J64" i="26"/>
  <c r="J63" i="26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L14" i="26"/>
  <c r="L22" i="26"/>
  <c r="L30" i="26"/>
  <c r="L38" i="26"/>
  <c r="L54" i="26"/>
  <c r="L58" i="26"/>
  <c r="L62" i="26"/>
  <c r="L66" i="26"/>
  <c r="L70" i="26"/>
  <c r="L74" i="26"/>
  <c r="L78" i="26"/>
  <c r="L27" i="26"/>
  <c r="L48" i="26"/>
  <c r="L18" i="26"/>
  <c r="L26" i="26"/>
  <c r="L42" i="26"/>
  <c r="L49" i="26"/>
  <c r="L60" i="26"/>
  <c r="L68" i="26"/>
  <c r="L12" i="26"/>
  <c r="L43" i="26"/>
  <c r="L16" i="26"/>
  <c r="L24" i="26"/>
  <c r="L32" i="26"/>
  <c r="L40" i="26"/>
  <c r="L51" i="26"/>
  <c r="L55" i="26"/>
  <c r="L59" i="26"/>
  <c r="L63" i="26"/>
  <c r="L67" i="26"/>
  <c r="L71" i="26"/>
  <c r="L75" i="26"/>
  <c r="L79" i="26"/>
  <c r="L21" i="26"/>
  <c r="L29" i="26"/>
  <c r="L37" i="26"/>
  <c r="L44" i="26"/>
  <c r="L46" i="26"/>
  <c r="J56" i="25"/>
  <c r="J54" i="25"/>
  <c r="J66" i="25"/>
  <c r="J74" i="25"/>
  <c r="J16" i="25"/>
  <c r="J24" i="25"/>
  <c r="J32" i="25"/>
  <c r="J40" i="25"/>
  <c r="J43" i="25"/>
  <c r="J52" i="25"/>
  <c r="J57" i="25"/>
  <c r="J59" i="25"/>
  <c r="J69" i="25"/>
  <c r="J77" i="25"/>
  <c r="J78" i="25"/>
  <c r="J53" i="25"/>
  <c r="J60" i="25"/>
  <c r="J70" i="25"/>
  <c r="J12" i="25"/>
  <c r="J20" i="25"/>
  <c r="J28" i="25"/>
  <c r="J36" i="25"/>
  <c r="J44" i="25"/>
  <c r="J58" i="25"/>
  <c r="J65" i="25"/>
  <c r="L54" i="25"/>
  <c r="L59" i="25"/>
  <c r="L48" i="25"/>
  <c r="L55" i="25"/>
  <c r="L62" i="25"/>
  <c r="L52" i="25"/>
  <c r="L46" i="25"/>
  <c r="L60" i="25"/>
  <c r="L44" i="25"/>
  <c r="L51" i="25"/>
  <c r="L56" i="25"/>
  <c r="L70" i="25"/>
  <c r="L74" i="25"/>
  <c r="L76" i="25"/>
  <c r="L78" i="25"/>
  <c r="L16" i="25"/>
  <c r="L24" i="25"/>
  <c r="L32" i="25"/>
  <c r="L40" i="25"/>
  <c r="L35" i="25"/>
  <c r="L49" i="25"/>
  <c r="L57" i="25"/>
  <c r="L21" i="25"/>
  <c r="L29" i="25"/>
  <c r="L37" i="25"/>
  <c r="L43" i="25"/>
  <c r="L66" i="25"/>
  <c r="L72" i="25"/>
  <c r="L13" i="25"/>
  <c r="L18" i="25"/>
  <c r="L26" i="25"/>
  <c r="L34" i="25"/>
  <c r="L42" i="25"/>
  <c r="L14" i="25"/>
  <c r="L19" i="25"/>
  <c r="L64" i="25"/>
  <c r="L23" i="25"/>
  <c r="L31" i="25"/>
  <c r="L39" i="25"/>
  <c r="L45" i="25"/>
  <c r="L53" i="25"/>
  <c r="L61" i="25"/>
  <c r="L65" i="25"/>
  <c r="L67" i="25"/>
  <c r="L69" i="25"/>
  <c r="L71" i="25"/>
  <c r="L73" i="25"/>
  <c r="L75" i="25"/>
  <c r="L77" i="25"/>
  <c r="L79" i="25"/>
  <c r="L20" i="25"/>
  <c r="L28" i="25"/>
  <c r="L36" i="25"/>
  <c r="L50" i="25"/>
  <c r="L58" i="25"/>
  <c r="K10" i="25"/>
  <c r="L11" i="25"/>
  <c r="L27" i="25"/>
  <c r="L68" i="25"/>
  <c r="L15" i="25"/>
  <c r="L12" i="25"/>
  <c r="L17" i="25"/>
  <c r="L25" i="25"/>
  <c r="L33" i="25"/>
  <c r="L41" i="25"/>
  <c r="L47" i="25"/>
  <c r="L63" i="25"/>
  <c r="L22" i="25"/>
  <c r="L30" i="25"/>
  <c r="L38" i="25"/>
  <c r="K10" i="24"/>
  <c r="L44" i="24"/>
  <c r="M44" i="24" s="1"/>
  <c r="O44" i="24" s="1"/>
  <c r="L11" i="24"/>
  <c r="N11" i="24" s="1"/>
  <c r="L14" i="24"/>
  <c r="N14" i="24" s="1"/>
  <c r="L67" i="24"/>
  <c r="L75" i="24"/>
  <c r="L53" i="24"/>
  <c r="L56" i="24"/>
  <c r="L64" i="24"/>
  <c r="L72" i="24"/>
  <c r="L80" i="24"/>
  <c r="J82" i="24"/>
  <c r="J77" i="24"/>
  <c r="J74" i="24"/>
  <c r="J71" i="24"/>
  <c r="J69" i="24"/>
  <c r="J67" i="24"/>
  <c r="J64" i="24"/>
  <c r="J62" i="24"/>
  <c r="J60" i="24"/>
  <c r="J59" i="24"/>
  <c r="J57" i="24"/>
  <c r="J55" i="24"/>
  <c r="J54" i="24"/>
  <c r="J52" i="24"/>
  <c r="J45" i="24"/>
  <c r="J44" i="24"/>
  <c r="J43" i="24"/>
  <c r="J42" i="24"/>
  <c r="J41" i="24"/>
  <c r="J40" i="24"/>
  <c r="J39" i="24"/>
  <c r="J38" i="24"/>
  <c r="J37" i="24"/>
  <c r="J36" i="24"/>
  <c r="J35" i="24"/>
  <c r="J34" i="24"/>
  <c r="J33" i="24"/>
  <c r="J32" i="24"/>
  <c r="J31" i="24"/>
  <c r="J30" i="24"/>
  <c r="J29" i="24"/>
  <c r="J28" i="24"/>
  <c r="J27" i="24"/>
  <c r="J26" i="24"/>
  <c r="J25" i="24"/>
  <c r="J24" i="24"/>
  <c r="J23" i="24"/>
  <c r="J21" i="24"/>
  <c r="J19" i="24"/>
  <c r="J17" i="24"/>
  <c r="J16" i="24"/>
  <c r="J15" i="24"/>
  <c r="J14" i="24"/>
  <c r="J13" i="24"/>
  <c r="J12" i="24"/>
  <c r="J11" i="24"/>
  <c r="J81" i="24"/>
  <c r="J80" i="24"/>
  <c r="J79" i="24"/>
  <c r="J78" i="24"/>
  <c r="J76" i="24"/>
  <c r="J75" i="24"/>
  <c r="J73" i="24"/>
  <c r="J72" i="24"/>
  <c r="J70" i="24"/>
  <c r="J68" i="24"/>
  <c r="J66" i="24"/>
  <c r="J65" i="24"/>
  <c r="J63" i="24"/>
  <c r="J61" i="24"/>
  <c r="J58" i="24"/>
  <c r="J56" i="24"/>
  <c r="L12" i="24"/>
  <c r="L16" i="24"/>
  <c r="L23" i="24"/>
  <c r="L27" i="24"/>
  <c r="L31" i="24"/>
  <c r="L35" i="24"/>
  <c r="L39" i="24"/>
  <c r="L43" i="24"/>
  <c r="J47" i="24"/>
  <c r="L50" i="24"/>
  <c r="J51" i="24"/>
  <c r="L59" i="24"/>
  <c r="L15" i="24"/>
  <c r="L21" i="24"/>
  <c r="L26" i="24"/>
  <c r="L30" i="24"/>
  <c r="L34" i="24"/>
  <c r="L38" i="24"/>
  <c r="L42" i="24"/>
  <c r="L46" i="24"/>
  <c r="L49" i="24"/>
  <c r="J50" i="24"/>
  <c r="L61" i="24"/>
  <c r="L69" i="24"/>
  <c r="L77" i="24"/>
  <c r="J53" i="24"/>
  <c r="L58" i="24"/>
  <c r="L66" i="24"/>
  <c r="L74" i="24"/>
  <c r="L82" i="24"/>
  <c r="L19" i="24"/>
  <c r="L25" i="24"/>
  <c r="L29" i="24"/>
  <c r="L33" i="24"/>
  <c r="L37" i="24"/>
  <c r="L41" i="24"/>
  <c r="L45" i="24"/>
  <c r="L48" i="24"/>
  <c r="J49" i="24"/>
  <c r="L52" i="24"/>
  <c r="L55" i="24"/>
  <c r="L63" i="24"/>
  <c r="L71" i="24"/>
  <c r="L79" i="24"/>
  <c r="L60" i="24"/>
  <c r="L68" i="24"/>
  <c r="L76" i="24"/>
  <c r="L13" i="24"/>
  <c r="L17" i="24"/>
  <c r="L24" i="24"/>
  <c r="L28" i="24"/>
  <c r="L32" i="24"/>
  <c r="L36" i="24"/>
  <c r="L40" i="24"/>
  <c r="L47" i="24"/>
  <c r="J48" i="24"/>
  <c r="L51" i="24"/>
  <c r="L57" i="24"/>
  <c r="L65" i="24"/>
  <c r="L73" i="24"/>
  <c r="L81" i="24"/>
  <c r="L54" i="24"/>
  <c r="L62" i="24"/>
  <c r="L70" i="24"/>
  <c r="L78" i="24"/>
  <c r="M22" i="24" l="1"/>
  <c r="O22" i="24" s="1"/>
  <c r="N18" i="27"/>
  <c r="M18" i="27"/>
  <c r="O18" i="27" s="1"/>
  <c r="M20" i="24"/>
  <c r="O20" i="24" s="1"/>
  <c r="M18" i="24"/>
  <c r="O18" i="24" s="1"/>
  <c r="N20" i="27"/>
  <c r="M35" i="26"/>
  <c r="O35" i="26" s="1"/>
  <c r="J10" i="27"/>
  <c r="N29" i="27"/>
  <c r="M29" i="27"/>
  <c r="O29" i="27" s="1"/>
  <c r="N76" i="27"/>
  <c r="M76" i="27"/>
  <c r="O76" i="27" s="1"/>
  <c r="N33" i="27"/>
  <c r="M33" i="27"/>
  <c r="O33" i="27" s="1"/>
  <c r="N72" i="27"/>
  <c r="M72" i="27"/>
  <c r="O72" i="27" s="1"/>
  <c r="N63" i="27"/>
  <c r="M63" i="27"/>
  <c r="O63" i="27" s="1"/>
  <c r="N53" i="27"/>
  <c r="M53" i="27"/>
  <c r="O53" i="27" s="1"/>
  <c r="N58" i="27"/>
  <c r="M58" i="27"/>
  <c r="O58" i="27" s="1"/>
  <c r="N39" i="27"/>
  <c r="M39" i="27"/>
  <c r="O39" i="27" s="1"/>
  <c r="N36" i="27"/>
  <c r="M36" i="27"/>
  <c r="O36" i="27" s="1"/>
  <c r="N70" i="27"/>
  <c r="M70" i="27"/>
  <c r="O70" i="27" s="1"/>
  <c r="N51" i="27"/>
  <c r="M51" i="27"/>
  <c r="O51" i="27" s="1"/>
  <c r="N57" i="27"/>
  <c r="M57" i="27"/>
  <c r="O57" i="27" s="1"/>
  <c r="N40" i="27"/>
  <c r="M40" i="27"/>
  <c r="O40" i="27" s="1"/>
  <c r="N35" i="27"/>
  <c r="M35" i="27"/>
  <c r="O35" i="27" s="1"/>
  <c r="N21" i="27"/>
  <c r="M21" i="27"/>
  <c r="O21" i="27" s="1"/>
  <c r="N31" i="27"/>
  <c r="M31" i="27"/>
  <c r="O31" i="27" s="1"/>
  <c r="N68" i="27"/>
  <c r="M68" i="27"/>
  <c r="O68" i="27" s="1"/>
  <c r="N38" i="27"/>
  <c r="M38" i="27"/>
  <c r="O38" i="27" s="1"/>
  <c r="N25" i="27"/>
  <c r="M25" i="27"/>
  <c r="O25" i="27" s="1"/>
  <c r="N55" i="27"/>
  <c r="M55" i="27"/>
  <c r="O55" i="27" s="1"/>
  <c r="N50" i="27"/>
  <c r="M50" i="27"/>
  <c r="O50" i="27" s="1"/>
  <c r="N28" i="27"/>
  <c r="M28" i="27"/>
  <c r="O28" i="27" s="1"/>
  <c r="N49" i="27"/>
  <c r="M49" i="27"/>
  <c r="O49" i="27" s="1"/>
  <c r="N12" i="27"/>
  <c r="M12" i="27"/>
  <c r="O12" i="27" s="1"/>
  <c r="N60" i="27"/>
  <c r="M60" i="27"/>
  <c r="O60" i="27" s="1"/>
  <c r="N22" i="27"/>
  <c r="M22" i="27"/>
  <c r="O22" i="27" s="1"/>
  <c r="N19" i="27"/>
  <c r="M19" i="27"/>
  <c r="O19" i="27" s="1"/>
  <c r="N64" i="27"/>
  <c r="M64" i="27"/>
  <c r="O64" i="27" s="1"/>
  <c r="N45" i="27"/>
  <c r="M45" i="27"/>
  <c r="O45" i="27" s="1"/>
  <c r="N23" i="27"/>
  <c r="M23" i="27"/>
  <c r="O23" i="27" s="1"/>
  <c r="N16" i="27"/>
  <c r="M16" i="27"/>
  <c r="O16" i="27" s="1"/>
  <c r="N56" i="27"/>
  <c r="M56" i="27"/>
  <c r="O56" i="27" s="1"/>
  <c r="N74" i="27"/>
  <c r="M74" i="27"/>
  <c r="O74" i="27" s="1"/>
  <c r="N43" i="27"/>
  <c r="M43" i="27"/>
  <c r="O43" i="27" s="1"/>
  <c r="N54" i="27"/>
  <c r="M54" i="27"/>
  <c r="O54" i="27" s="1"/>
  <c r="N73" i="27"/>
  <c r="M73" i="27"/>
  <c r="O73" i="27" s="1"/>
  <c r="N44" i="27"/>
  <c r="M44" i="27"/>
  <c r="O44" i="27" s="1"/>
  <c r="N24" i="27"/>
  <c r="M24" i="27"/>
  <c r="O24" i="27" s="1"/>
  <c r="N14" i="27"/>
  <c r="M14" i="27"/>
  <c r="O14" i="27" s="1"/>
  <c r="N37" i="27"/>
  <c r="M37" i="27"/>
  <c r="O37" i="27" s="1"/>
  <c r="N71" i="27"/>
  <c r="M71" i="27"/>
  <c r="O71" i="27" s="1"/>
  <c r="N52" i="27"/>
  <c r="M52" i="27"/>
  <c r="O52" i="27" s="1"/>
  <c r="N13" i="27"/>
  <c r="M13" i="27"/>
  <c r="O13" i="27" s="1"/>
  <c r="N41" i="27"/>
  <c r="M41" i="27"/>
  <c r="O41" i="27" s="1"/>
  <c r="N15" i="27"/>
  <c r="M15" i="27"/>
  <c r="O15" i="27" s="1"/>
  <c r="N77" i="27"/>
  <c r="M77" i="27"/>
  <c r="O77" i="27" s="1"/>
  <c r="N59" i="27"/>
  <c r="M59" i="27"/>
  <c r="O59" i="27" s="1"/>
  <c r="N26" i="27"/>
  <c r="M26" i="27"/>
  <c r="O26" i="27" s="1"/>
  <c r="N62" i="27"/>
  <c r="M62" i="27"/>
  <c r="O62" i="27" s="1"/>
  <c r="N32" i="27"/>
  <c r="M32" i="27"/>
  <c r="O32" i="27" s="1"/>
  <c r="N69" i="27"/>
  <c r="M69" i="27"/>
  <c r="O69" i="27" s="1"/>
  <c r="N79" i="27"/>
  <c r="M79" i="27"/>
  <c r="O79" i="27" s="1"/>
  <c r="N17" i="27"/>
  <c r="M17" i="27"/>
  <c r="O17" i="27" s="1"/>
  <c r="N78" i="27"/>
  <c r="M78" i="27"/>
  <c r="O78" i="27" s="1"/>
  <c r="N80" i="27"/>
  <c r="M80" i="27"/>
  <c r="O80" i="27" s="1"/>
  <c r="N48" i="27"/>
  <c r="M48" i="27"/>
  <c r="O48" i="27" s="1"/>
  <c r="N75" i="27"/>
  <c r="M75" i="27"/>
  <c r="O75" i="27" s="1"/>
  <c r="N61" i="27"/>
  <c r="M61" i="27"/>
  <c r="O61" i="27" s="1"/>
  <c r="N47" i="27"/>
  <c r="M47" i="27"/>
  <c r="O47" i="27" s="1"/>
  <c r="N66" i="27"/>
  <c r="M66" i="27"/>
  <c r="O66" i="27" s="1"/>
  <c r="N42" i="27"/>
  <c r="M42" i="27"/>
  <c r="O42" i="27" s="1"/>
  <c r="N27" i="27"/>
  <c r="M27" i="27"/>
  <c r="O27" i="27" s="1"/>
  <c r="N11" i="27"/>
  <c r="M11" i="27"/>
  <c r="N46" i="27"/>
  <c r="M46" i="27"/>
  <c r="O46" i="27" s="1"/>
  <c r="N67" i="27"/>
  <c r="M67" i="27"/>
  <c r="O67" i="27" s="1"/>
  <c r="N65" i="27"/>
  <c r="M65" i="27"/>
  <c r="O65" i="27" s="1"/>
  <c r="N34" i="27"/>
  <c r="M34" i="27"/>
  <c r="O34" i="27" s="1"/>
  <c r="N30" i="27"/>
  <c r="M30" i="27"/>
  <c r="O30" i="27" s="1"/>
  <c r="N19" i="26"/>
  <c r="M11" i="26"/>
  <c r="O11" i="26" s="1"/>
  <c r="M13" i="26"/>
  <c r="O13" i="26" s="1"/>
  <c r="N57" i="26"/>
  <c r="M57" i="26"/>
  <c r="O57" i="26" s="1"/>
  <c r="N60" i="26"/>
  <c r="M60" i="26"/>
  <c r="O60" i="26" s="1"/>
  <c r="N41" i="26"/>
  <c r="M41" i="26"/>
  <c r="O41" i="26" s="1"/>
  <c r="N46" i="26"/>
  <c r="M46" i="26"/>
  <c r="O46" i="26" s="1"/>
  <c r="N32" i="26"/>
  <c r="M32" i="26"/>
  <c r="O32" i="26" s="1"/>
  <c r="N27" i="26"/>
  <c r="M27" i="26"/>
  <c r="O27" i="26" s="1"/>
  <c r="N38" i="26"/>
  <c r="M38" i="26"/>
  <c r="O38" i="26" s="1"/>
  <c r="N33" i="26"/>
  <c r="M33" i="26"/>
  <c r="O33" i="26" s="1"/>
  <c r="N65" i="26"/>
  <c r="M65" i="26"/>
  <c r="O65" i="26" s="1"/>
  <c r="N47" i="26"/>
  <c r="M47" i="26"/>
  <c r="O47" i="26" s="1"/>
  <c r="N15" i="26"/>
  <c r="M15" i="26"/>
  <c r="O15" i="26" s="1"/>
  <c r="N56" i="26"/>
  <c r="M56" i="26"/>
  <c r="O56" i="26" s="1"/>
  <c r="N37" i="26"/>
  <c r="M37" i="26"/>
  <c r="O37" i="26" s="1"/>
  <c r="N72" i="26"/>
  <c r="M72" i="26"/>
  <c r="O72" i="26" s="1"/>
  <c r="N40" i="26"/>
  <c r="M40" i="26"/>
  <c r="O40" i="26" s="1"/>
  <c r="N59" i="26"/>
  <c r="M59" i="26"/>
  <c r="O59" i="26" s="1"/>
  <c r="N24" i="26"/>
  <c r="M24" i="26"/>
  <c r="O24" i="26" s="1"/>
  <c r="N49" i="26"/>
  <c r="M49" i="26"/>
  <c r="O49" i="26" s="1"/>
  <c r="N78" i="26"/>
  <c r="M78" i="26"/>
  <c r="O78" i="26" s="1"/>
  <c r="N62" i="26"/>
  <c r="M62" i="26"/>
  <c r="O62" i="26" s="1"/>
  <c r="N30" i="26"/>
  <c r="M30" i="26"/>
  <c r="O30" i="26" s="1"/>
  <c r="N25" i="26"/>
  <c r="M25" i="26"/>
  <c r="O25" i="26" s="1"/>
  <c r="N12" i="26"/>
  <c r="M12" i="26"/>
  <c r="O12" i="26" s="1"/>
  <c r="N34" i="26"/>
  <c r="M34" i="26"/>
  <c r="O34" i="26" s="1"/>
  <c r="N63" i="26"/>
  <c r="M63" i="26"/>
  <c r="O63" i="26" s="1"/>
  <c r="N23" i="26"/>
  <c r="M23" i="26"/>
  <c r="O23" i="26" s="1"/>
  <c r="N75" i="26"/>
  <c r="M75" i="26"/>
  <c r="O75" i="26" s="1"/>
  <c r="N44" i="26"/>
  <c r="M44" i="26"/>
  <c r="O44" i="26" s="1"/>
  <c r="N16" i="26"/>
  <c r="M16" i="26"/>
  <c r="O16" i="26" s="1"/>
  <c r="N22" i="26"/>
  <c r="M22" i="26"/>
  <c r="O22" i="26" s="1"/>
  <c r="J10" i="26"/>
  <c r="N17" i="26"/>
  <c r="M17" i="26"/>
  <c r="O17" i="26" s="1"/>
  <c r="N77" i="26"/>
  <c r="M77" i="26"/>
  <c r="O77" i="26" s="1"/>
  <c r="N61" i="26"/>
  <c r="M61" i="26"/>
  <c r="O61" i="26" s="1"/>
  <c r="N36" i="26"/>
  <c r="M36" i="26"/>
  <c r="O36" i="26" s="1"/>
  <c r="N76" i="26"/>
  <c r="M76" i="26"/>
  <c r="O76" i="26" s="1"/>
  <c r="N52" i="26"/>
  <c r="M52" i="26"/>
  <c r="O52" i="26" s="1"/>
  <c r="N73" i="26"/>
  <c r="M73" i="26"/>
  <c r="O73" i="26" s="1"/>
  <c r="N79" i="26"/>
  <c r="M79" i="26"/>
  <c r="O79" i="26" s="1"/>
  <c r="N66" i="26"/>
  <c r="M66" i="26"/>
  <c r="O66" i="26" s="1"/>
  <c r="N71" i="26"/>
  <c r="M71" i="26"/>
  <c r="O71" i="26" s="1"/>
  <c r="N55" i="26"/>
  <c r="M55" i="26"/>
  <c r="O55" i="26" s="1"/>
  <c r="N43" i="26"/>
  <c r="M43" i="26"/>
  <c r="O43" i="26" s="1"/>
  <c r="N42" i="26"/>
  <c r="M42" i="26"/>
  <c r="O42" i="26" s="1"/>
  <c r="N74" i="26"/>
  <c r="M74" i="26"/>
  <c r="O74" i="26" s="1"/>
  <c r="N58" i="26"/>
  <c r="M58" i="26"/>
  <c r="O58" i="26" s="1"/>
  <c r="N14" i="26"/>
  <c r="M14" i="26"/>
  <c r="O14" i="26" s="1"/>
  <c r="N50" i="26"/>
  <c r="M50" i="26"/>
  <c r="O50" i="26" s="1"/>
  <c r="N28" i="26"/>
  <c r="M28" i="26"/>
  <c r="O28" i="26" s="1"/>
  <c r="N26" i="26"/>
  <c r="M26" i="26"/>
  <c r="O26" i="26" s="1"/>
  <c r="N20" i="26"/>
  <c r="M20" i="26"/>
  <c r="O20" i="26" s="1"/>
  <c r="N29" i="26"/>
  <c r="M29" i="26"/>
  <c r="O29" i="26" s="1"/>
  <c r="N67" i="26"/>
  <c r="M67" i="26"/>
  <c r="O67" i="26" s="1"/>
  <c r="N51" i="26"/>
  <c r="M51" i="26"/>
  <c r="O51" i="26" s="1"/>
  <c r="N68" i="26"/>
  <c r="M68" i="26"/>
  <c r="O68" i="26" s="1"/>
  <c r="N18" i="26"/>
  <c r="M18" i="26"/>
  <c r="O18" i="26" s="1"/>
  <c r="N70" i="26"/>
  <c r="M70" i="26"/>
  <c r="O70" i="26" s="1"/>
  <c r="N54" i="26"/>
  <c r="M54" i="26"/>
  <c r="O54" i="26" s="1"/>
  <c r="N45" i="26"/>
  <c r="M45" i="26"/>
  <c r="O45" i="26" s="1"/>
  <c r="N39" i="26"/>
  <c r="M39" i="26"/>
  <c r="O39" i="26" s="1"/>
  <c r="N21" i="26"/>
  <c r="M21" i="26"/>
  <c r="O21" i="26" s="1"/>
  <c r="N48" i="26"/>
  <c r="M48" i="26"/>
  <c r="O48" i="26" s="1"/>
  <c r="N69" i="26"/>
  <c r="M69" i="26"/>
  <c r="O69" i="26" s="1"/>
  <c r="N53" i="26"/>
  <c r="M53" i="26"/>
  <c r="O53" i="26" s="1"/>
  <c r="N31" i="26"/>
  <c r="M31" i="26"/>
  <c r="O31" i="26" s="1"/>
  <c r="N64" i="26"/>
  <c r="M64" i="26"/>
  <c r="O64" i="26" s="1"/>
  <c r="J10" i="25"/>
  <c r="M41" i="25"/>
  <c r="O41" i="25" s="1"/>
  <c r="N41" i="25"/>
  <c r="M26" i="25"/>
  <c r="O26" i="25" s="1"/>
  <c r="N26" i="25"/>
  <c r="M27" i="25"/>
  <c r="O27" i="25" s="1"/>
  <c r="N27" i="25"/>
  <c r="M18" i="25"/>
  <c r="O18" i="25" s="1"/>
  <c r="N18" i="25"/>
  <c r="M22" i="25"/>
  <c r="O22" i="25" s="1"/>
  <c r="N22" i="25"/>
  <c r="M25" i="25"/>
  <c r="O25" i="25" s="1"/>
  <c r="N25" i="25"/>
  <c r="M11" i="25"/>
  <c r="N11" i="25"/>
  <c r="M28" i="25"/>
  <c r="O28" i="25" s="1"/>
  <c r="N28" i="25"/>
  <c r="N69" i="25"/>
  <c r="M69" i="25"/>
  <c r="O69" i="25" s="1"/>
  <c r="M31" i="25"/>
  <c r="O31" i="25" s="1"/>
  <c r="N31" i="25"/>
  <c r="M13" i="25"/>
  <c r="O13" i="25" s="1"/>
  <c r="N13" i="25"/>
  <c r="N57" i="25"/>
  <c r="M57" i="25"/>
  <c r="O57" i="25" s="1"/>
  <c r="N76" i="25"/>
  <c r="M76" i="25"/>
  <c r="O76" i="25" s="1"/>
  <c r="N60" i="25"/>
  <c r="M60" i="25"/>
  <c r="O60" i="25" s="1"/>
  <c r="N48" i="25"/>
  <c r="M48" i="25"/>
  <c r="O48" i="25" s="1"/>
  <c r="N73" i="25"/>
  <c r="M73" i="25"/>
  <c r="O73" i="25" s="1"/>
  <c r="M16" i="25"/>
  <c r="O16" i="25" s="1"/>
  <c r="N16" i="25"/>
  <c r="M33" i="25"/>
  <c r="O33" i="25" s="1"/>
  <c r="N33" i="25"/>
  <c r="M21" i="25"/>
  <c r="O21" i="25" s="1"/>
  <c r="N21" i="25"/>
  <c r="M20" i="25"/>
  <c r="O20" i="25" s="1"/>
  <c r="N20" i="25"/>
  <c r="N44" i="25"/>
  <c r="M44" i="25"/>
  <c r="O44" i="25" s="1"/>
  <c r="N63" i="25"/>
  <c r="M63" i="25"/>
  <c r="O63" i="25" s="1"/>
  <c r="N65" i="25"/>
  <c r="M65" i="25"/>
  <c r="O65" i="25" s="1"/>
  <c r="N72" i="25"/>
  <c r="M72" i="25"/>
  <c r="O72" i="25" s="1"/>
  <c r="M35" i="25"/>
  <c r="O35" i="25" s="1"/>
  <c r="N35" i="25"/>
  <c r="N70" i="25"/>
  <c r="M70" i="25"/>
  <c r="O70" i="25" s="1"/>
  <c r="N52" i="25"/>
  <c r="M52" i="25"/>
  <c r="O52" i="25" s="1"/>
  <c r="N68" i="25"/>
  <c r="M68" i="25"/>
  <c r="O68" i="25" s="1"/>
  <c r="M29" i="25"/>
  <c r="O29" i="25" s="1"/>
  <c r="N29" i="25"/>
  <c r="N78" i="25"/>
  <c r="M78" i="25"/>
  <c r="O78" i="25" s="1"/>
  <c r="M17" i="25"/>
  <c r="O17" i="25" s="1"/>
  <c r="N17" i="25"/>
  <c r="N67" i="25"/>
  <c r="M67" i="25"/>
  <c r="O67" i="25" s="1"/>
  <c r="N74" i="25"/>
  <c r="M74" i="25"/>
  <c r="O74" i="25" s="1"/>
  <c r="M12" i="25"/>
  <c r="O12" i="25" s="1"/>
  <c r="N12" i="25"/>
  <c r="N58" i="25"/>
  <c r="M58" i="25"/>
  <c r="O58" i="25" s="1"/>
  <c r="N79" i="25"/>
  <c r="M79" i="25"/>
  <c r="O79" i="25" s="1"/>
  <c r="N61" i="25"/>
  <c r="M61" i="25"/>
  <c r="O61" i="25" s="1"/>
  <c r="N64" i="25"/>
  <c r="M64" i="25"/>
  <c r="O64" i="25" s="1"/>
  <c r="N66" i="25"/>
  <c r="M66" i="25"/>
  <c r="O66" i="25" s="1"/>
  <c r="M40" i="25"/>
  <c r="O40" i="25" s="1"/>
  <c r="N40" i="25"/>
  <c r="N46" i="25"/>
  <c r="M46" i="25"/>
  <c r="O46" i="25" s="1"/>
  <c r="M39" i="25"/>
  <c r="O39" i="25" s="1"/>
  <c r="N39" i="25"/>
  <c r="N54" i="25"/>
  <c r="M54" i="25"/>
  <c r="O54" i="25" s="1"/>
  <c r="N71" i="25"/>
  <c r="M71" i="25"/>
  <c r="O71" i="25" s="1"/>
  <c r="N49" i="25"/>
  <c r="M49" i="25"/>
  <c r="O49" i="25" s="1"/>
  <c r="M38" i="25"/>
  <c r="O38" i="25" s="1"/>
  <c r="N38" i="25"/>
  <c r="M15" i="25"/>
  <c r="O15" i="25" s="1"/>
  <c r="N15" i="25"/>
  <c r="N77" i="25"/>
  <c r="M77" i="25"/>
  <c r="O77" i="25" s="1"/>
  <c r="N53" i="25"/>
  <c r="M53" i="25"/>
  <c r="O53" i="25" s="1"/>
  <c r="M19" i="25"/>
  <c r="O19" i="25" s="1"/>
  <c r="N19" i="25"/>
  <c r="M42" i="25"/>
  <c r="O42" i="25" s="1"/>
  <c r="N42" i="25"/>
  <c r="N43" i="25"/>
  <c r="M43" i="25"/>
  <c r="O43" i="25" s="1"/>
  <c r="M32" i="25"/>
  <c r="O32" i="25" s="1"/>
  <c r="N32" i="25"/>
  <c r="N62" i="25"/>
  <c r="M62" i="25"/>
  <c r="O62" i="25" s="1"/>
  <c r="N59" i="25"/>
  <c r="M59" i="25"/>
  <c r="O59" i="25" s="1"/>
  <c r="M30" i="25"/>
  <c r="O30" i="25" s="1"/>
  <c r="N30" i="25"/>
  <c r="N55" i="25"/>
  <c r="M55" i="25"/>
  <c r="O55" i="25" s="1"/>
  <c r="M36" i="25"/>
  <c r="O36" i="25" s="1"/>
  <c r="N36" i="25"/>
  <c r="N51" i="25"/>
  <c r="M51" i="25"/>
  <c r="O51" i="25" s="1"/>
  <c r="M23" i="25"/>
  <c r="O23" i="25" s="1"/>
  <c r="N23" i="25"/>
  <c r="N47" i="25"/>
  <c r="M47" i="25"/>
  <c r="O47" i="25" s="1"/>
  <c r="N50" i="25"/>
  <c r="M50" i="25"/>
  <c r="O50" i="25" s="1"/>
  <c r="N75" i="25"/>
  <c r="M75" i="25"/>
  <c r="O75" i="25" s="1"/>
  <c r="N45" i="25"/>
  <c r="M45" i="25"/>
  <c r="O45" i="25" s="1"/>
  <c r="M14" i="25"/>
  <c r="O14" i="25" s="1"/>
  <c r="N14" i="25"/>
  <c r="M34" i="25"/>
  <c r="O34" i="25" s="1"/>
  <c r="N34" i="25"/>
  <c r="M37" i="25"/>
  <c r="O37" i="25" s="1"/>
  <c r="N37" i="25"/>
  <c r="M24" i="25"/>
  <c r="O24" i="25" s="1"/>
  <c r="N24" i="25"/>
  <c r="N56" i="25"/>
  <c r="M56" i="25"/>
  <c r="O56" i="25" s="1"/>
  <c r="M11" i="24"/>
  <c r="O11" i="24" s="1"/>
  <c r="N44" i="24"/>
  <c r="M14" i="24"/>
  <c r="O14" i="24" s="1"/>
  <c r="M24" i="24"/>
  <c r="O24" i="24" s="1"/>
  <c r="N24" i="24"/>
  <c r="N34" i="24"/>
  <c r="M34" i="24"/>
  <c r="O34" i="24" s="1"/>
  <c r="M17" i="24"/>
  <c r="O17" i="24" s="1"/>
  <c r="N17" i="24"/>
  <c r="N69" i="24"/>
  <c r="M69" i="24"/>
  <c r="O69" i="24" s="1"/>
  <c r="J10" i="24"/>
  <c r="N64" i="24"/>
  <c r="M64" i="24"/>
  <c r="O64" i="24" s="1"/>
  <c r="N81" i="24"/>
  <c r="M81" i="24"/>
  <c r="O81" i="24" s="1"/>
  <c r="N79" i="24"/>
  <c r="M79" i="24"/>
  <c r="O79" i="24" s="1"/>
  <c r="N61" i="24"/>
  <c r="M61" i="24"/>
  <c r="O61" i="24" s="1"/>
  <c r="N56" i="24"/>
  <c r="M56" i="24"/>
  <c r="O56" i="24" s="1"/>
  <c r="N47" i="24"/>
  <c r="M47" i="24"/>
  <c r="O47" i="24" s="1"/>
  <c r="M48" i="24"/>
  <c r="O48" i="24" s="1"/>
  <c r="N48" i="24"/>
  <c r="N82" i="24"/>
  <c r="M82" i="24"/>
  <c r="O82" i="24" s="1"/>
  <c r="N21" i="24"/>
  <c r="M21" i="24"/>
  <c r="O21" i="24" s="1"/>
  <c r="N35" i="24"/>
  <c r="M35" i="24"/>
  <c r="O35" i="24" s="1"/>
  <c r="N53" i="24"/>
  <c r="M53" i="24"/>
  <c r="O53" i="24" s="1"/>
  <c r="M57" i="24"/>
  <c r="O57" i="24" s="1"/>
  <c r="N57" i="24"/>
  <c r="N29" i="24"/>
  <c r="M29" i="24"/>
  <c r="O29" i="24" s="1"/>
  <c r="N52" i="24"/>
  <c r="M52" i="24"/>
  <c r="O52" i="24" s="1"/>
  <c r="N30" i="24"/>
  <c r="M30" i="24"/>
  <c r="O30" i="24" s="1"/>
  <c r="N13" i="24"/>
  <c r="M13" i="24"/>
  <c r="O13" i="24" s="1"/>
  <c r="N26" i="24"/>
  <c r="M26" i="24"/>
  <c r="O26" i="24" s="1"/>
  <c r="N78" i="24"/>
  <c r="M78" i="24"/>
  <c r="O78" i="24" s="1"/>
  <c r="M40" i="24"/>
  <c r="O40" i="24" s="1"/>
  <c r="N40" i="24"/>
  <c r="N71" i="24"/>
  <c r="M71" i="24"/>
  <c r="O71" i="24" s="1"/>
  <c r="N45" i="24"/>
  <c r="M45" i="24"/>
  <c r="O45" i="24" s="1"/>
  <c r="N74" i="24"/>
  <c r="M74" i="24"/>
  <c r="O74" i="24" s="1"/>
  <c r="N49" i="24"/>
  <c r="M49" i="24"/>
  <c r="O49" i="24" s="1"/>
  <c r="N15" i="24"/>
  <c r="M15" i="24"/>
  <c r="O15" i="24" s="1"/>
  <c r="N31" i="24"/>
  <c r="M31" i="24"/>
  <c r="O31" i="24" s="1"/>
  <c r="N75" i="24"/>
  <c r="M75" i="24"/>
  <c r="O75" i="24" s="1"/>
  <c r="N55" i="24"/>
  <c r="M55" i="24"/>
  <c r="O55" i="24" s="1"/>
  <c r="N12" i="24"/>
  <c r="M12" i="24"/>
  <c r="O12" i="24" s="1"/>
  <c r="N51" i="24"/>
  <c r="M51" i="24"/>
  <c r="O51" i="24" s="1"/>
  <c r="N25" i="24"/>
  <c r="M25" i="24"/>
  <c r="O25" i="24" s="1"/>
  <c r="N43" i="24"/>
  <c r="M43" i="24"/>
  <c r="O43" i="24" s="1"/>
  <c r="N19" i="24"/>
  <c r="M19" i="24"/>
  <c r="O19" i="24" s="1"/>
  <c r="N39" i="24"/>
  <c r="M39" i="24"/>
  <c r="O39" i="24" s="1"/>
  <c r="N73" i="24"/>
  <c r="M73" i="24"/>
  <c r="O73" i="24" s="1"/>
  <c r="M76" i="24"/>
  <c r="O76" i="24" s="1"/>
  <c r="N76" i="24"/>
  <c r="N70" i="24"/>
  <c r="M70" i="24"/>
  <c r="O70" i="24" s="1"/>
  <c r="M36" i="24"/>
  <c r="O36" i="24" s="1"/>
  <c r="N36" i="24"/>
  <c r="N41" i="24"/>
  <c r="M41" i="24"/>
  <c r="O41" i="24" s="1"/>
  <c r="N66" i="24"/>
  <c r="M66" i="24"/>
  <c r="O66" i="24" s="1"/>
  <c r="N46" i="24"/>
  <c r="M46" i="24"/>
  <c r="O46" i="24" s="1"/>
  <c r="N59" i="24"/>
  <c r="M59" i="24"/>
  <c r="O59" i="24" s="1"/>
  <c r="N27" i="24"/>
  <c r="M27" i="24"/>
  <c r="O27" i="24" s="1"/>
  <c r="N67" i="24"/>
  <c r="M67" i="24"/>
  <c r="O67" i="24" s="1"/>
  <c r="N54" i="24"/>
  <c r="M54" i="24"/>
  <c r="O54" i="24" s="1"/>
  <c r="M60" i="24"/>
  <c r="O60" i="24" s="1"/>
  <c r="N60" i="24"/>
  <c r="N77" i="24"/>
  <c r="M77" i="24"/>
  <c r="O77" i="24" s="1"/>
  <c r="N72" i="24"/>
  <c r="M72" i="24"/>
  <c r="O72" i="24" s="1"/>
  <c r="N62" i="24"/>
  <c r="M62" i="24"/>
  <c r="O62" i="24" s="1"/>
  <c r="N65" i="24"/>
  <c r="M65" i="24"/>
  <c r="O65" i="24" s="1"/>
  <c r="M32" i="24"/>
  <c r="O32" i="24" s="1"/>
  <c r="N32" i="24"/>
  <c r="M68" i="24"/>
  <c r="O68" i="24" s="1"/>
  <c r="N68" i="24"/>
  <c r="N63" i="24"/>
  <c r="M63" i="24"/>
  <c r="O63" i="24" s="1"/>
  <c r="N37" i="24"/>
  <c r="M37" i="24"/>
  <c r="O37" i="24" s="1"/>
  <c r="N58" i="24"/>
  <c r="M58" i="24"/>
  <c r="O58" i="24" s="1"/>
  <c r="N42" i="24"/>
  <c r="M42" i="24"/>
  <c r="O42" i="24" s="1"/>
  <c r="N23" i="24"/>
  <c r="M23" i="24"/>
  <c r="O23" i="24" s="1"/>
  <c r="M28" i="24"/>
  <c r="O28" i="24" s="1"/>
  <c r="N28" i="24"/>
  <c r="N33" i="24"/>
  <c r="M33" i="24"/>
  <c r="O33" i="24" s="1"/>
  <c r="N38" i="24"/>
  <c r="M38" i="24"/>
  <c r="O38" i="24" s="1"/>
  <c r="N50" i="24"/>
  <c r="M50" i="24"/>
  <c r="O50" i="24" s="1"/>
  <c r="M16" i="24"/>
  <c r="O16" i="24" s="1"/>
  <c r="N16" i="24"/>
  <c r="N80" i="24"/>
  <c r="M80" i="24"/>
  <c r="O80" i="24" s="1"/>
  <c r="M10" i="27" l="1"/>
  <c r="L8" i="27" s="1"/>
  <c r="O11" i="27"/>
  <c r="O10" i="27" s="1"/>
  <c r="O10" i="26"/>
  <c r="M10" i="26"/>
  <c r="L8" i="26" s="1"/>
  <c r="M10" i="25"/>
  <c r="L8" i="25" s="1"/>
  <c r="O11" i="25"/>
  <c r="O10" i="25" s="1"/>
  <c r="O10" i="24"/>
  <c r="M10" i="24"/>
  <c r="L8" i="24" s="1"/>
  <c r="J5" i="4" l="1"/>
  <c r="H79" i="23"/>
  <c r="B79" i="23"/>
  <c r="K79" i="23" s="1"/>
  <c r="H78" i="23"/>
  <c r="B78" i="23"/>
  <c r="K78" i="23" s="1"/>
  <c r="H77" i="23"/>
  <c r="B77" i="23"/>
  <c r="K77" i="23" s="1"/>
  <c r="H76" i="23"/>
  <c r="B76" i="23"/>
  <c r="K76" i="23" s="1"/>
  <c r="H75" i="23"/>
  <c r="B75" i="23"/>
  <c r="K75" i="23" s="1"/>
  <c r="H74" i="23"/>
  <c r="B74" i="23"/>
  <c r="K74" i="23" s="1"/>
  <c r="H73" i="23"/>
  <c r="B73" i="23"/>
  <c r="K73" i="23" s="1"/>
  <c r="H72" i="23"/>
  <c r="B72" i="23"/>
  <c r="K72" i="23" s="1"/>
  <c r="H71" i="23"/>
  <c r="B71" i="23"/>
  <c r="K71" i="23" s="1"/>
  <c r="H70" i="23"/>
  <c r="B70" i="23"/>
  <c r="K70" i="23" s="1"/>
  <c r="H69" i="23"/>
  <c r="B69" i="23"/>
  <c r="K69" i="23" s="1"/>
  <c r="H68" i="23"/>
  <c r="B68" i="23"/>
  <c r="K68" i="23" s="1"/>
  <c r="H67" i="23"/>
  <c r="B67" i="23"/>
  <c r="K67" i="23" s="1"/>
  <c r="H66" i="23"/>
  <c r="B66" i="23"/>
  <c r="K66" i="23" s="1"/>
  <c r="H65" i="23"/>
  <c r="B65" i="23"/>
  <c r="K65" i="23" s="1"/>
  <c r="H64" i="23"/>
  <c r="B64" i="23"/>
  <c r="K64" i="23" s="1"/>
  <c r="H63" i="23"/>
  <c r="B63" i="23"/>
  <c r="K63" i="23" s="1"/>
  <c r="H62" i="23"/>
  <c r="B62" i="23"/>
  <c r="K62" i="23" s="1"/>
  <c r="H61" i="23"/>
  <c r="B61" i="23"/>
  <c r="K61" i="23" s="1"/>
  <c r="H60" i="23"/>
  <c r="B60" i="23"/>
  <c r="K60" i="23" s="1"/>
  <c r="H59" i="23"/>
  <c r="B59" i="23"/>
  <c r="K59" i="23" s="1"/>
  <c r="H58" i="23"/>
  <c r="B58" i="23"/>
  <c r="K58" i="23" s="1"/>
  <c r="H57" i="23"/>
  <c r="B57" i="23"/>
  <c r="K57" i="23" s="1"/>
  <c r="H56" i="23"/>
  <c r="B56" i="23"/>
  <c r="K56" i="23" s="1"/>
  <c r="H55" i="23"/>
  <c r="B55" i="23"/>
  <c r="K55" i="23" s="1"/>
  <c r="H54" i="23"/>
  <c r="B54" i="23"/>
  <c r="K54" i="23" s="1"/>
  <c r="H53" i="23"/>
  <c r="B53" i="23"/>
  <c r="K53" i="23" s="1"/>
  <c r="H52" i="23"/>
  <c r="B52" i="23"/>
  <c r="K52" i="23" s="1"/>
  <c r="H51" i="23"/>
  <c r="B51" i="23"/>
  <c r="K51" i="23" s="1"/>
  <c r="H50" i="23"/>
  <c r="B50" i="23"/>
  <c r="K50" i="23" s="1"/>
  <c r="H49" i="23"/>
  <c r="B49" i="23"/>
  <c r="K49" i="23" s="1"/>
  <c r="H48" i="23"/>
  <c r="B48" i="23"/>
  <c r="K48" i="23" s="1"/>
  <c r="H47" i="23"/>
  <c r="B47" i="23"/>
  <c r="K47" i="23" s="1"/>
  <c r="H46" i="23"/>
  <c r="B46" i="23"/>
  <c r="K46" i="23" s="1"/>
  <c r="H45" i="23"/>
  <c r="B45" i="23"/>
  <c r="K45" i="23" s="1"/>
  <c r="H44" i="23"/>
  <c r="B44" i="23"/>
  <c r="K44" i="23" s="1"/>
  <c r="K43" i="23"/>
  <c r="H43" i="23"/>
  <c r="H42" i="23"/>
  <c r="B42" i="23"/>
  <c r="K42" i="23" s="1"/>
  <c r="H41" i="23"/>
  <c r="B41" i="23"/>
  <c r="K41" i="23" s="1"/>
  <c r="H40" i="23"/>
  <c r="B40" i="23"/>
  <c r="K40" i="23" s="1"/>
  <c r="H39" i="23"/>
  <c r="B39" i="23"/>
  <c r="K39" i="23" s="1"/>
  <c r="H38" i="23"/>
  <c r="B38" i="23"/>
  <c r="K38" i="23" s="1"/>
  <c r="H37" i="23"/>
  <c r="B37" i="23"/>
  <c r="K37" i="23" s="1"/>
  <c r="H36" i="23"/>
  <c r="B36" i="23"/>
  <c r="K36" i="23" s="1"/>
  <c r="H35" i="23"/>
  <c r="B35" i="23"/>
  <c r="K35" i="23" s="1"/>
  <c r="H34" i="23"/>
  <c r="B34" i="23"/>
  <c r="K34" i="23" s="1"/>
  <c r="H33" i="23"/>
  <c r="B33" i="23"/>
  <c r="K33" i="23" s="1"/>
  <c r="H32" i="23"/>
  <c r="B32" i="23"/>
  <c r="K32" i="23" s="1"/>
  <c r="H31" i="23"/>
  <c r="B31" i="23"/>
  <c r="K31" i="23" s="1"/>
  <c r="H30" i="23"/>
  <c r="B30" i="23"/>
  <c r="K30" i="23" s="1"/>
  <c r="H29" i="23"/>
  <c r="B29" i="23"/>
  <c r="K29" i="23" s="1"/>
  <c r="H28" i="23"/>
  <c r="B28" i="23"/>
  <c r="K28" i="23" s="1"/>
  <c r="H27" i="23"/>
  <c r="B27" i="23"/>
  <c r="K27" i="23" s="1"/>
  <c r="H26" i="23"/>
  <c r="B26" i="23"/>
  <c r="K26" i="23" s="1"/>
  <c r="H25" i="23"/>
  <c r="B25" i="23"/>
  <c r="K25" i="23" s="1"/>
  <c r="H24" i="23"/>
  <c r="B24" i="23"/>
  <c r="K24" i="23" s="1"/>
  <c r="H23" i="23"/>
  <c r="B23" i="23"/>
  <c r="K23" i="23" s="1"/>
  <c r="H22" i="23"/>
  <c r="B22" i="23"/>
  <c r="K22" i="23" s="1"/>
  <c r="H21" i="23"/>
  <c r="B21" i="23"/>
  <c r="K21" i="23" s="1"/>
  <c r="H20" i="23"/>
  <c r="B20" i="23"/>
  <c r="K20" i="23" s="1"/>
  <c r="H19" i="23"/>
  <c r="B19" i="23"/>
  <c r="K19" i="23" s="1"/>
  <c r="H18" i="23"/>
  <c r="B18" i="23"/>
  <c r="K18" i="23" s="1"/>
  <c r="H17" i="23"/>
  <c r="B17" i="23"/>
  <c r="K17" i="23" s="1"/>
  <c r="H16" i="23"/>
  <c r="B16" i="23"/>
  <c r="K16" i="23" s="1"/>
  <c r="H15" i="23"/>
  <c r="B15" i="23"/>
  <c r="K15" i="23" s="1"/>
  <c r="H14" i="23"/>
  <c r="B14" i="23"/>
  <c r="K14" i="23" s="1"/>
  <c r="H13" i="23"/>
  <c r="B13" i="23"/>
  <c r="K13" i="23" s="1"/>
  <c r="H12" i="23"/>
  <c r="B12" i="23"/>
  <c r="K12" i="23" s="1"/>
  <c r="H11" i="23"/>
  <c r="B11" i="23"/>
  <c r="K11" i="23" s="1"/>
  <c r="I10" i="23"/>
  <c r="E10" i="23"/>
  <c r="B6" i="23"/>
  <c r="F10" i="23" s="1"/>
  <c r="Q5" i="23"/>
  <c r="I3" i="23"/>
  <c r="I1" i="23"/>
  <c r="B5" i="21"/>
  <c r="H79" i="21"/>
  <c r="B79" i="21"/>
  <c r="K79" i="21" s="1"/>
  <c r="H78" i="21"/>
  <c r="B78" i="21"/>
  <c r="K78" i="21" s="1"/>
  <c r="H77" i="21"/>
  <c r="B77" i="21"/>
  <c r="K77" i="21" s="1"/>
  <c r="H76" i="21"/>
  <c r="B76" i="21"/>
  <c r="K76" i="21" s="1"/>
  <c r="H75" i="21"/>
  <c r="B75" i="21"/>
  <c r="K75" i="21" s="1"/>
  <c r="H74" i="21"/>
  <c r="B74" i="21"/>
  <c r="K74" i="21" s="1"/>
  <c r="H73" i="21"/>
  <c r="B73" i="21"/>
  <c r="K73" i="21" s="1"/>
  <c r="H72" i="21"/>
  <c r="B72" i="21"/>
  <c r="K72" i="21" s="1"/>
  <c r="H71" i="21"/>
  <c r="B71" i="21"/>
  <c r="K71" i="21" s="1"/>
  <c r="H70" i="21"/>
  <c r="B70" i="21"/>
  <c r="K70" i="21" s="1"/>
  <c r="H69" i="21"/>
  <c r="B69" i="21"/>
  <c r="K69" i="21" s="1"/>
  <c r="H68" i="21"/>
  <c r="B68" i="21"/>
  <c r="K68" i="21" s="1"/>
  <c r="H67" i="21"/>
  <c r="B67" i="21"/>
  <c r="K67" i="21" s="1"/>
  <c r="H66" i="21"/>
  <c r="B66" i="21"/>
  <c r="K66" i="21" s="1"/>
  <c r="H65" i="21"/>
  <c r="B65" i="21"/>
  <c r="K65" i="21" s="1"/>
  <c r="H64" i="21"/>
  <c r="B64" i="21"/>
  <c r="K64" i="21" s="1"/>
  <c r="H63" i="21"/>
  <c r="B63" i="21"/>
  <c r="K63" i="21" s="1"/>
  <c r="H62" i="21"/>
  <c r="B62" i="21"/>
  <c r="K62" i="21" s="1"/>
  <c r="H61" i="21"/>
  <c r="B61" i="21"/>
  <c r="K61" i="21" s="1"/>
  <c r="H60" i="21"/>
  <c r="B60" i="21"/>
  <c r="K60" i="21" s="1"/>
  <c r="H59" i="21"/>
  <c r="B59" i="21"/>
  <c r="K59" i="21" s="1"/>
  <c r="H58" i="21"/>
  <c r="B58" i="21"/>
  <c r="K58" i="21" s="1"/>
  <c r="H57" i="21"/>
  <c r="B57" i="21"/>
  <c r="K57" i="21" s="1"/>
  <c r="H56" i="21"/>
  <c r="B56" i="21"/>
  <c r="K56" i="21" s="1"/>
  <c r="H55" i="21"/>
  <c r="B55" i="21"/>
  <c r="K55" i="21" s="1"/>
  <c r="H54" i="21"/>
  <c r="B54" i="21"/>
  <c r="K54" i="21" s="1"/>
  <c r="H53" i="21"/>
  <c r="B53" i="21"/>
  <c r="K53" i="21" s="1"/>
  <c r="H52" i="21"/>
  <c r="B52" i="21"/>
  <c r="K52" i="21" s="1"/>
  <c r="H51" i="21"/>
  <c r="B51" i="21"/>
  <c r="K51" i="21" s="1"/>
  <c r="H50" i="21"/>
  <c r="B50" i="21"/>
  <c r="K50" i="21" s="1"/>
  <c r="H49" i="21"/>
  <c r="B49" i="21"/>
  <c r="K49" i="21" s="1"/>
  <c r="H48" i="21"/>
  <c r="B48" i="21"/>
  <c r="K48" i="21" s="1"/>
  <c r="H47" i="21"/>
  <c r="B47" i="21"/>
  <c r="K47" i="21" s="1"/>
  <c r="H46" i="21"/>
  <c r="B46" i="21"/>
  <c r="K46" i="21" s="1"/>
  <c r="H45" i="21"/>
  <c r="B45" i="21"/>
  <c r="K45" i="21" s="1"/>
  <c r="H44" i="21"/>
  <c r="B44" i="21"/>
  <c r="K44" i="21" s="1"/>
  <c r="H43" i="21"/>
  <c r="B43" i="21"/>
  <c r="K43" i="21" s="1"/>
  <c r="H42" i="21"/>
  <c r="B42" i="21"/>
  <c r="K42" i="21" s="1"/>
  <c r="H41" i="21"/>
  <c r="B41" i="21"/>
  <c r="K41" i="21" s="1"/>
  <c r="H40" i="21"/>
  <c r="B40" i="21"/>
  <c r="K40" i="21" s="1"/>
  <c r="H39" i="21"/>
  <c r="B39" i="21"/>
  <c r="K39" i="21" s="1"/>
  <c r="H38" i="21"/>
  <c r="B38" i="21"/>
  <c r="K38" i="21" s="1"/>
  <c r="H37" i="21"/>
  <c r="B37" i="21"/>
  <c r="K37" i="21" s="1"/>
  <c r="H36" i="21"/>
  <c r="B36" i="21"/>
  <c r="K36" i="21" s="1"/>
  <c r="H35" i="21"/>
  <c r="B35" i="21"/>
  <c r="K35" i="21" s="1"/>
  <c r="H34" i="21"/>
  <c r="B34" i="21"/>
  <c r="K34" i="21" s="1"/>
  <c r="H33" i="21"/>
  <c r="B33" i="21"/>
  <c r="K33" i="21" s="1"/>
  <c r="H32" i="21"/>
  <c r="B32" i="21"/>
  <c r="K32" i="21" s="1"/>
  <c r="H31" i="21"/>
  <c r="B31" i="21"/>
  <c r="K31" i="21" s="1"/>
  <c r="H30" i="21"/>
  <c r="B30" i="21"/>
  <c r="K30" i="21" s="1"/>
  <c r="H29" i="21"/>
  <c r="B29" i="21"/>
  <c r="K29" i="21" s="1"/>
  <c r="H28" i="21"/>
  <c r="B28" i="21"/>
  <c r="K28" i="21" s="1"/>
  <c r="H27" i="21"/>
  <c r="B27" i="21"/>
  <c r="K27" i="21" s="1"/>
  <c r="H26" i="21"/>
  <c r="B26" i="21"/>
  <c r="K26" i="21" s="1"/>
  <c r="H25" i="21"/>
  <c r="B25" i="21"/>
  <c r="K25" i="21" s="1"/>
  <c r="H24" i="21"/>
  <c r="B24" i="21"/>
  <c r="K24" i="21" s="1"/>
  <c r="H23" i="21"/>
  <c r="B23" i="21"/>
  <c r="K23" i="21" s="1"/>
  <c r="H22" i="21"/>
  <c r="B22" i="21"/>
  <c r="K22" i="21" s="1"/>
  <c r="H21" i="21"/>
  <c r="B21" i="21"/>
  <c r="K21" i="21" s="1"/>
  <c r="H20" i="21"/>
  <c r="B20" i="21"/>
  <c r="K20" i="21" s="1"/>
  <c r="H19" i="21"/>
  <c r="B19" i="21"/>
  <c r="K19" i="21" s="1"/>
  <c r="H18" i="21"/>
  <c r="B18" i="21"/>
  <c r="K18" i="21" s="1"/>
  <c r="H17" i="21"/>
  <c r="B17" i="21"/>
  <c r="K17" i="21" s="1"/>
  <c r="H16" i="21"/>
  <c r="B16" i="21"/>
  <c r="K16" i="21" s="1"/>
  <c r="H15" i="21"/>
  <c r="B15" i="21"/>
  <c r="K15" i="21" s="1"/>
  <c r="H14" i="21"/>
  <c r="B14" i="21"/>
  <c r="K14" i="21" s="1"/>
  <c r="H13" i="21"/>
  <c r="B13" i="21"/>
  <c r="K13" i="21" s="1"/>
  <c r="H12" i="21"/>
  <c r="B12" i="21"/>
  <c r="K12" i="21" s="1"/>
  <c r="H11" i="21"/>
  <c r="B11" i="21"/>
  <c r="K11" i="21" s="1"/>
  <c r="I10" i="21"/>
  <c r="E10" i="21"/>
  <c r="B6" i="21"/>
  <c r="F10" i="21" s="1"/>
  <c r="I3" i="21"/>
  <c r="I1" i="21"/>
  <c r="H79" i="20"/>
  <c r="B79" i="20"/>
  <c r="K79" i="20" s="1"/>
  <c r="H78" i="20"/>
  <c r="B78" i="20"/>
  <c r="K78" i="20" s="1"/>
  <c r="H77" i="20"/>
  <c r="B77" i="20"/>
  <c r="K77" i="20" s="1"/>
  <c r="H76" i="20"/>
  <c r="B76" i="20"/>
  <c r="K76" i="20" s="1"/>
  <c r="H75" i="20"/>
  <c r="B75" i="20"/>
  <c r="K75" i="20" s="1"/>
  <c r="H74" i="20"/>
  <c r="B74" i="20"/>
  <c r="K74" i="20" s="1"/>
  <c r="H73" i="20"/>
  <c r="B73" i="20"/>
  <c r="K73" i="20" s="1"/>
  <c r="H72" i="20"/>
  <c r="B72" i="20"/>
  <c r="K72" i="20" s="1"/>
  <c r="H71" i="20"/>
  <c r="B71" i="20"/>
  <c r="K71" i="20" s="1"/>
  <c r="H70" i="20"/>
  <c r="B70" i="20"/>
  <c r="K70" i="20" s="1"/>
  <c r="H69" i="20"/>
  <c r="B69" i="20"/>
  <c r="K69" i="20" s="1"/>
  <c r="H68" i="20"/>
  <c r="B68" i="20"/>
  <c r="K68" i="20" s="1"/>
  <c r="H67" i="20"/>
  <c r="B67" i="20"/>
  <c r="K67" i="20" s="1"/>
  <c r="H66" i="20"/>
  <c r="B66" i="20"/>
  <c r="K66" i="20" s="1"/>
  <c r="H65" i="20"/>
  <c r="B65" i="20"/>
  <c r="K65" i="20" s="1"/>
  <c r="H64" i="20"/>
  <c r="B64" i="20"/>
  <c r="K64" i="20" s="1"/>
  <c r="H63" i="20"/>
  <c r="B63" i="20"/>
  <c r="K63" i="20" s="1"/>
  <c r="H62" i="20"/>
  <c r="B62" i="20"/>
  <c r="K62" i="20" s="1"/>
  <c r="H61" i="20"/>
  <c r="B61" i="20"/>
  <c r="K61" i="20" s="1"/>
  <c r="H60" i="20"/>
  <c r="B60" i="20"/>
  <c r="K60" i="20" s="1"/>
  <c r="H59" i="20"/>
  <c r="B59" i="20"/>
  <c r="K59" i="20" s="1"/>
  <c r="H58" i="20"/>
  <c r="B58" i="20"/>
  <c r="K58" i="20" s="1"/>
  <c r="H57" i="20"/>
  <c r="B57" i="20"/>
  <c r="K57" i="20" s="1"/>
  <c r="H56" i="20"/>
  <c r="B56" i="20"/>
  <c r="K56" i="20" s="1"/>
  <c r="H55" i="20"/>
  <c r="B55" i="20"/>
  <c r="K55" i="20" s="1"/>
  <c r="H54" i="20"/>
  <c r="B54" i="20"/>
  <c r="K54" i="20" s="1"/>
  <c r="H53" i="20"/>
  <c r="B53" i="20"/>
  <c r="K53" i="20" s="1"/>
  <c r="H52" i="20"/>
  <c r="B52" i="20"/>
  <c r="K52" i="20" s="1"/>
  <c r="H51" i="20"/>
  <c r="B51" i="20"/>
  <c r="K51" i="20" s="1"/>
  <c r="H50" i="20"/>
  <c r="B50" i="20"/>
  <c r="K50" i="20" s="1"/>
  <c r="H49" i="20"/>
  <c r="B49" i="20"/>
  <c r="K49" i="20" s="1"/>
  <c r="H48" i="20"/>
  <c r="B48" i="20"/>
  <c r="K48" i="20" s="1"/>
  <c r="H47" i="20"/>
  <c r="B47" i="20"/>
  <c r="K47" i="20" s="1"/>
  <c r="H46" i="20"/>
  <c r="B46" i="20"/>
  <c r="K46" i="20" s="1"/>
  <c r="H45" i="20"/>
  <c r="B45" i="20"/>
  <c r="K45" i="20" s="1"/>
  <c r="H44" i="20"/>
  <c r="B44" i="20"/>
  <c r="K44" i="20" s="1"/>
  <c r="H43" i="20"/>
  <c r="B43" i="20"/>
  <c r="K43" i="20" s="1"/>
  <c r="H42" i="20"/>
  <c r="B42" i="20"/>
  <c r="K42" i="20" s="1"/>
  <c r="H41" i="20"/>
  <c r="B41" i="20"/>
  <c r="K41" i="20" s="1"/>
  <c r="H40" i="20"/>
  <c r="B40" i="20"/>
  <c r="K40" i="20" s="1"/>
  <c r="H39" i="20"/>
  <c r="B39" i="20"/>
  <c r="K39" i="20" s="1"/>
  <c r="H38" i="20"/>
  <c r="B38" i="20"/>
  <c r="K38" i="20" s="1"/>
  <c r="H37" i="20"/>
  <c r="B37" i="20"/>
  <c r="K37" i="20" s="1"/>
  <c r="H36" i="20"/>
  <c r="B36" i="20"/>
  <c r="K36" i="20" s="1"/>
  <c r="H35" i="20"/>
  <c r="B35" i="20"/>
  <c r="K35" i="20" s="1"/>
  <c r="H34" i="20"/>
  <c r="B34" i="20"/>
  <c r="K34" i="20" s="1"/>
  <c r="H33" i="20"/>
  <c r="B33" i="20"/>
  <c r="K33" i="20" s="1"/>
  <c r="H32" i="20"/>
  <c r="B32" i="20"/>
  <c r="K32" i="20" s="1"/>
  <c r="H31" i="20"/>
  <c r="B31" i="20"/>
  <c r="K31" i="20" s="1"/>
  <c r="H30" i="20"/>
  <c r="B30" i="20"/>
  <c r="K30" i="20" s="1"/>
  <c r="H29" i="20"/>
  <c r="B29" i="20"/>
  <c r="K29" i="20" s="1"/>
  <c r="H28" i="20"/>
  <c r="B28" i="20"/>
  <c r="K28" i="20" s="1"/>
  <c r="H27" i="20"/>
  <c r="B27" i="20"/>
  <c r="K27" i="20" s="1"/>
  <c r="H26" i="20"/>
  <c r="B26" i="20"/>
  <c r="K26" i="20" s="1"/>
  <c r="H25" i="20"/>
  <c r="B25" i="20"/>
  <c r="K25" i="20" s="1"/>
  <c r="H24" i="20"/>
  <c r="B24" i="20"/>
  <c r="K24" i="20" s="1"/>
  <c r="H23" i="20"/>
  <c r="B23" i="20"/>
  <c r="K23" i="20" s="1"/>
  <c r="H22" i="20"/>
  <c r="B22" i="20"/>
  <c r="K22" i="20" s="1"/>
  <c r="H21" i="20"/>
  <c r="B21" i="20"/>
  <c r="K21" i="20" s="1"/>
  <c r="H20" i="20"/>
  <c r="B20" i="20"/>
  <c r="K20" i="20" s="1"/>
  <c r="H19" i="20"/>
  <c r="B19" i="20"/>
  <c r="K19" i="20" s="1"/>
  <c r="H18" i="20"/>
  <c r="B18" i="20"/>
  <c r="K18" i="20" s="1"/>
  <c r="H17" i="20"/>
  <c r="B17" i="20"/>
  <c r="K17" i="20" s="1"/>
  <c r="H16" i="20"/>
  <c r="B16" i="20"/>
  <c r="K16" i="20" s="1"/>
  <c r="H15" i="20"/>
  <c r="B15" i="20"/>
  <c r="K15" i="20" s="1"/>
  <c r="H14" i="20"/>
  <c r="B14" i="20"/>
  <c r="K14" i="20" s="1"/>
  <c r="H13" i="20"/>
  <c r="B13" i="20"/>
  <c r="K13" i="20" s="1"/>
  <c r="H12" i="20"/>
  <c r="B12" i="20"/>
  <c r="K12" i="20" s="1"/>
  <c r="H11" i="20"/>
  <c r="B11" i="20"/>
  <c r="K11" i="20" s="1"/>
  <c r="I10" i="20"/>
  <c r="B5" i="20"/>
  <c r="C3" i="20"/>
  <c r="B3" i="20"/>
  <c r="B6" i="20" s="1"/>
  <c r="F10" i="20" s="1"/>
  <c r="I10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8" i="4"/>
  <c r="H16" i="4"/>
  <c r="H15" i="4"/>
  <c r="H14" i="4"/>
  <c r="H13" i="4"/>
  <c r="H12" i="4"/>
  <c r="H11" i="4"/>
  <c r="K12" i="4"/>
  <c r="K14" i="4"/>
  <c r="K15" i="4"/>
  <c r="K16" i="4"/>
  <c r="K18" i="4"/>
  <c r="K20" i="4"/>
  <c r="K22" i="4"/>
  <c r="K23" i="4"/>
  <c r="K24" i="4"/>
  <c r="K25" i="4"/>
  <c r="K26" i="4"/>
  <c r="K27" i="4"/>
  <c r="K28" i="4"/>
  <c r="K29" i="4"/>
  <c r="K30" i="4"/>
  <c r="K44" i="4"/>
  <c r="K51" i="4"/>
  <c r="K52" i="4"/>
  <c r="K53" i="4"/>
  <c r="K54" i="4"/>
  <c r="K55" i="4"/>
  <c r="K56" i="4"/>
  <c r="K57" i="4"/>
  <c r="K58" i="4"/>
  <c r="K61" i="4"/>
  <c r="K62" i="4"/>
  <c r="K63" i="4"/>
  <c r="K64" i="4"/>
  <c r="K65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11" i="4"/>
  <c r="B6" i="4"/>
  <c r="F10" i="4" s="1"/>
  <c r="H35" i="10"/>
  <c r="H73" i="10"/>
  <c r="H72" i="10"/>
  <c r="H71" i="10"/>
  <c r="H70" i="10"/>
  <c r="H69" i="10"/>
  <c r="H38" i="10"/>
  <c r="H37" i="10"/>
  <c r="R110" i="10"/>
  <c r="R111" i="10"/>
  <c r="R112" i="10"/>
  <c r="R113" i="10"/>
  <c r="R114" i="10"/>
  <c r="R115" i="10"/>
  <c r="R116" i="10"/>
  <c r="R117" i="10"/>
  <c r="R118" i="10"/>
  <c r="R109" i="10"/>
  <c r="K105" i="10"/>
  <c r="O110" i="10"/>
  <c r="O114" i="10"/>
  <c r="O115" i="10"/>
  <c r="K110" i="10"/>
  <c r="K111" i="10"/>
  <c r="K112" i="10"/>
  <c r="K113" i="10"/>
  <c r="K114" i="10"/>
  <c r="K115" i="10"/>
  <c r="K116" i="10"/>
  <c r="K117" i="10"/>
  <c r="K118" i="10"/>
  <c r="K109" i="10"/>
  <c r="M104" i="10"/>
  <c r="O104" i="10" s="1"/>
  <c r="P104" i="10" s="1"/>
  <c r="P108" i="10" s="1"/>
  <c r="O108" i="10" s="1"/>
  <c r="J104" i="10"/>
  <c r="J103" i="10"/>
  <c r="K106" i="10"/>
  <c r="B188" i="11"/>
  <c r="B187" i="11"/>
  <c r="J187" i="11" s="1"/>
  <c r="B186" i="11"/>
  <c r="B185" i="11"/>
  <c r="J185" i="11" s="1"/>
  <c r="B184" i="11"/>
  <c r="B183" i="11"/>
  <c r="B182" i="11"/>
  <c r="B181" i="11"/>
  <c r="B180" i="11"/>
  <c r="B179" i="11"/>
  <c r="B178" i="11"/>
  <c r="B177" i="11"/>
  <c r="B176" i="11"/>
  <c r="B175" i="11"/>
  <c r="J175" i="11" s="1"/>
  <c r="B174" i="11"/>
  <c r="J174" i="11" s="1"/>
  <c r="B173" i="11"/>
  <c r="B172" i="11"/>
  <c r="J172" i="11" s="1"/>
  <c r="B171" i="11"/>
  <c r="J171" i="11" s="1"/>
  <c r="B170" i="11"/>
  <c r="J170" i="11" s="1"/>
  <c r="B169" i="11"/>
  <c r="J169" i="11" s="1"/>
  <c r="B168" i="11"/>
  <c r="J168" i="11" s="1"/>
  <c r="B167" i="11"/>
  <c r="J167" i="11" s="1"/>
  <c r="B166" i="11"/>
  <c r="J166" i="11" s="1"/>
  <c r="B165" i="11"/>
  <c r="J165" i="11" s="1"/>
  <c r="B164" i="11"/>
  <c r="J164" i="11" s="1"/>
  <c r="B163" i="11"/>
  <c r="J163" i="11" s="1"/>
  <c r="B162" i="11"/>
  <c r="J162" i="11" s="1"/>
  <c r="B161" i="11"/>
  <c r="J161" i="11" s="1"/>
  <c r="B160" i="11"/>
  <c r="J160" i="11" s="1"/>
  <c r="B159" i="11"/>
  <c r="J159" i="11" s="1"/>
  <c r="B158" i="11"/>
  <c r="J158" i="11" s="1"/>
  <c r="B157" i="11"/>
  <c r="J157" i="11" s="1"/>
  <c r="B156" i="11"/>
  <c r="J156" i="11" s="1"/>
  <c r="B155" i="11"/>
  <c r="J155" i="11" s="1"/>
  <c r="B154" i="11"/>
  <c r="J154" i="11" s="1"/>
  <c r="B153" i="11"/>
  <c r="J153" i="11" s="1"/>
  <c r="B152" i="11"/>
  <c r="J152" i="11" s="1"/>
  <c r="B151" i="11"/>
  <c r="J151" i="11" s="1"/>
  <c r="B150" i="11"/>
  <c r="J150" i="11" s="1"/>
  <c r="B149" i="11"/>
  <c r="J149" i="11" s="1"/>
  <c r="B148" i="11"/>
  <c r="J148" i="11" s="1"/>
  <c r="B147" i="11"/>
  <c r="J147" i="11" s="1"/>
  <c r="B146" i="11"/>
  <c r="J146" i="11" s="1"/>
  <c r="B145" i="11"/>
  <c r="J145" i="11" s="1"/>
  <c r="B144" i="11"/>
  <c r="J144" i="11" s="1"/>
  <c r="B143" i="11"/>
  <c r="J143" i="11" s="1"/>
  <c r="B142" i="11"/>
  <c r="J142" i="11" s="1"/>
  <c r="B141" i="11"/>
  <c r="J141" i="11" s="1"/>
  <c r="B140" i="11"/>
  <c r="J140" i="11" s="1"/>
  <c r="B139" i="11"/>
  <c r="J139" i="11" s="1"/>
  <c r="B138" i="11"/>
  <c r="J138" i="11" s="1"/>
  <c r="B137" i="11"/>
  <c r="J137" i="11" s="1"/>
  <c r="B136" i="11"/>
  <c r="J136" i="11" s="1"/>
  <c r="B135" i="11"/>
  <c r="J135" i="11" s="1"/>
  <c r="K134" i="11" s="1"/>
  <c r="B134" i="11"/>
  <c r="J134" i="11" s="1"/>
  <c r="B70" i="11"/>
  <c r="B124" i="11"/>
  <c r="J124" i="11" s="1"/>
  <c r="B123" i="11"/>
  <c r="J123" i="11" s="1"/>
  <c r="B122" i="11"/>
  <c r="J122" i="11" s="1"/>
  <c r="B121" i="11"/>
  <c r="J121" i="11" s="1"/>
  <c r="B120" i="11"/>
  <c r="J120" i="11" s="1"/>
  <c r="B119" i="11"/>
  <c r="J119" i="11" s="1"/>
  <c r="B118" i="11"/>
  <c r="J118" i="11" s="1"/>
  <c r="B117" i="11"/>
  <c r="J117" i="11" s="1"/>
  <c r="B116" i="11"/>
  <c r="J116" i="11" s="1"/>
  <c r="B115" i="11"/>
  <c r="J115" i="11" s="1"/>
  <c r="B114" i="11"/>
  <c r="J114" i="11" s="1"/>
  <c r="B113" i="11"/>
  <c r="J113" i="11" s="1"/>
  <c r="B112" i="11"/>
  <c r="J112" i="11" s="1"/>
  <c r="B111" i="11"/>
  <c r="J111" i="11" s="1"/>
  <c r="B110" i="11"/>
  <c r="J110" i="11" s="1"/>
  <c r="B109" i="11"/>
  <c r="J109" i="11" s="1"/>
  <c r="B108" i="11"/>
  <c r="J108" i="11" s="1"/>
  <c r="B107" i="11"/>
  <c r="J107" i="11" s="1"/>
  <c r="B106" i="11"/>
  <c r="J106" i="11" s="1"/>
  <c r="B105" i="11"/>
  <c r="J105" i="11" s="1"/>
  <c r="B104" i="11"/>
  <c r="J104" i="11" s="1"/>
  <c r="B103" i="11"/>
  <c r="J103" i="11" s="1"/>
  <c r="B102" i="11"/>
  <c r="J102" i="11" s="1"/>
  <c r="B101" i="11"/>
  <c r="J101" i="11" s="1"/>
  <c r="B100" i="11"/>
  <c r="J100" i="11" s="1"/>
  <c r="B99" i="11"/>
  <c r="J99" i="11" s="1"/>
  <c r="B98" i="11"/>
  <c r="J98" i="11" s="1"/>
  <c r="B97" i="11"/>
  <c r="J97" i="11" s="1"/>
  <c r="B96" i="11"/>
  <c r="J96" i="11" s="1"/>
  <c r="B95" i="11"/>
  <c r="J95" i="11" s="1"/>
  <c r="B94" i="11"/>
  <c r="J94" i="11" s="1"/>
  <c r="B93" i="11"/>
  <c r="J93" i="11" s="1"/>
  <c r="B92" i="11"/>
  <c r="J92" i="11" s="1"/>
  <c r="B91" i="11"/>
  <c r="J91" i="11" s="1"/>
  <c r="B90" i="11"/>
  <c r="J90" i="11" s="1"/>
  <c r="B89" i="11"/>
  <c r="J89" i="11" s="1"/>
  <c r="B88" i="11"/>
  <c r="J88" i="11" s="1"/>
  <c r="B87" i="11"/>
  <c r="J87" i="11" s="1"/>
  <c r="B86" i="11"/>
  <c r="J86" i="11" s="1"/>
  <c r="B85" i="11"/>
  <c r="J85" i="11" s="1"/>
  <c r="B84" i="11"/>
  <c r="J84" i="11" s="1"/>
  <c r="B83" i="11"/>
  <c r="J83" i="11" s="1"/>
  <c r="B82" i="11"/>
  <c r="J82" i="11" s="1"/>
  <c r="B81" i="11"/>
  <c r="J81" i="11" s="1"/>
  <c r="B80" i="11"/>
  <c r="J80" i="11" s="1"/>
  <c r="B79" i="11"/>
  <c r="J79" i="11" s="1"/>
  <c r="B78" i="11"/>
  <c r="J78" i="11" s="1"/>
  <c r="B77" i="11"/>
  <c r="J77" i="11" s="1"/>
  <c r="B76" i="11"/>
  <c r="J76" i="11" s="1"/>
  <c r="B75" i="11"/>
  <c r="J75" i="11" s="1"/>
  <c r="B74" i="11"/>
  <c r="J74" i="11" s="1"/>
  <c r="B73" i="11"/>
  <c r="J73" i="11" s="1"/>
  <c r="B72" i="11"/>
  <c r="J72" i="11" s="1"/>
  <c r="B71" i="11"/>
  <c r="J71" i="11" s="1"/>
  <c r="B60" i="11"/>
  <c r="J60" i="11" s="1"/>
  <c r="B59" i="11"/>
  <c r="J59" i="11" s="1"/>
  <c r="B58" i="11"/>
  <c r="J58" i="11" s="1"/>
  <c r="B57" i="11"/>
  <c r="J57" i="11" s="1"/>
  <c r="B56" i="11"/>
  <c r="J56" i="11" s="1"/>
  <c r="B55" i="11"/>
  <c r="J55" i="11" s="1"/>
  <c r="B54" i="11"/>
  <c r="J54" i="11" s="1"/>
  <c r="B53" i="11"/>
  <c r="B52" i="11"/>
  <c r="B51" i="11"/>
  <c r="J51" i="11" s="1"/>
  <c r="B50" i="11"/>
  <c r="J50" i="11" s="1"/>
  <c r="B49" i="11"/>
  <c r="J49" i="11" s="1"/>
  <c r="B48" i="11"/>
  <c r="J48" i="11" s="1"/>
  <c r="B47" i="11"/>
  <c r="J47" i="11" s="1"/>
  <c r="B46" i="11"/>
  <c r="J46" i="11" s="1"/>
  <c r="B45" i="11"/>
  <c r="J45" i="11" s="1"/>
  <c r="B44" i="11"/>
  <c r="J44" i="11" s="1"/>
  <c r="B43" i="11"/>
  <c r="B42" i="11"/>
  <c r="B41" i="11"/>
  <c r="J41" i="11" s="1"/>
  <c r="B40" i="11"/>
  <c r="B39" i="11"/>
  <c r="B38" i="11"/>
  <c r="J38" i="11" s="1"/>
  <c r="B37" i="11"/>
  <c r="J37" i="11" s="1"/>
  <c r="B36" i="11"/>
  <c r="B35" i="11"/>
  <c r="J35" i="11" s="1"/>
  <c r="B34" i="11"/>
  <c r="J34" i="11" s="1"/>
  <c r="B33" i="11"/>
  <c r="J33" i="11" s="1"/>
  <c r="B32" i="11"/>
  <c r="J32" i="11" s="1"/>
  <c r="B31" i="11"/>
  <c r="J31" i="11" s="1"/>
  <c r="B30" i="11"/>
  <c r="J30" i="11" s="1"/>
  <c r="B29" i="11"/>
  <c r="J29" i="11" s="1"/>
  <c r="B28" i="11"/>
  <c r="J28" i="11" s="1"/>
  <c r="B27" i="11"/>
  <c r="J27" i="11" s="1"/>
  <c r="B26" i="11"/>
  <c r="J26" i="11" s="1"/>
  <c r="B25" i="11"/>
  <c r="J25" i="11" s="1"/>
  <c r="B24" i="11"/>
  <c r="J24" i="11" s="1"/>
  <c r="B23" i="11"/>
  <c r="J23" i="11" s="1"/>
  <c r="B22" i="11"/>
  <c r="J22" i="11" s="1"/>
  <c r="B21" i="11"/>
  <c r="J21" i="11" s="1"/>
  <c r="B20" i="11"/>
  <c r="J20" i="11" s="1"/>
  <c r="B19" i="11"/>
  <c r="J19" i="11" s="1"/>
  <c r="B18" i="11"/>
  <c r="J18" i="11" s="1"/>
  <c r="B17" i="11"/>
  <c r="J17" i="11" s="1"/>
  <c r="B16" i="11"/>
  <c r="J16" i="11" s="1"/>
  <c r="B15" i="11"/>
  <c r="J15" i="11" s="1"/>
  <c r="B14" i="11"/>
  <c r="J14" i="11" s="1"/>
  <c r="B13" i="11"/>
  <c r="J13" i="11" s="1"/>
  <c r="B12" i="11"/>
  <c r="J12" i="11" s="1"/>
  <c r="B11" i="11"/>
  <c r="J11" i="11" s="1"/>
  <c r="B10" i="11"/>
  <c r="J10" i="11" s="1"/>
  <c r="B9" i="11"/>
  <c r="J9" i="11" s="1"/>
  <c r="B8" i="11"/>
  <c r="J8" i="11" s="1"/>
  <c r="B7" i="11"/>
  <c r="J36" i="11"/>
  <c r="J39" i="11"/>
  <c r="J40" i="11"/>
  <c r="J42" i="11"/>
  <c r="J43" i="11"/>
  <c r="J52" i="11"/>
  <c r="J53" i="11"/>
  <c r="J314" i="11"/>
  <c r="I314" i="11"/>
  <c r="R313" i="11"/>
  <c r="J313" i="11"/>
  <c r="I313" i="11"/>
  <c r="R312" i="11"/>
  <c r="J312" i="11"/>
  <c r="I312" i="11"/>
  <c r="R311" i="11"/>
  <c r="J311" i="11"/>
  <c r="I311" i="11"/>
  <c r="R310" i="11"/>
  <c r="J310" i="11"/>
  <c r="I310" i="11"/>
  <c r="R309" i="11"/>
  <c r="J309" i="11"/>
  <c r="I309" i="11"/>
  <c r="R308" i="11"/>
  <c r="J308" i="11"/>
  <c r="I308" i="11"/>
  <c r="R307" i="11"/>
  <c r="I307" i="11"/>
  <c r="B307" i="11"/>
  <c r="J307" i="11" s="1"/>
  <c r="R306" i="11"/>
  <c r="I306" i="11"/>
  <c r="B306" i="11"/>
  <c r="J306" i="11" s="1"/>
  <c r="R305" i="11"/>
  <c r="J305" i="11"/>
  <c r="I305" i="11"/>
  <c r="R304" i="11"/>
  <c r="J304" i="11"/>
  <c r="I304" i="11"/>
  <c r="R303" i="11"/>
  <c r="J303" i="11"/>
  <c r="I303" i="11"/>
  <c r="R302" i="11"/>
  <c r="J302" i="11"/>
  <c r="I302" i="11"/>
  <c r="R301" i="11"/>
  <c r="J301" i="11"/>
  <c r="I301" i="11"/>
  <c r="R300" i="11"/>
  <c r="J300" i="11"/>
  <c r="I300" i="11"/>
  <c r="R299" i="11"/>
  <c r="J299" i="11"/>
  <c r="I299" i="11"/>
  <c r="R298" i="11"/>
  <c r="J298" i="11"/>
  <c r="I298" i="11"/>
  <c r="R297" i="11"/>
  <c r="I297" i="11"/>
  <c r="B297" i="11"/>
  <c r="J297" i="11" s="1"/>
  <c r="R296" i="11"/>
  <c r="I296" i="11"/>
  <c r="B296" i="11"/>
  <c r="J296" i="11" s="1"/>
  <c r="R295" i="11"/>
  <c r="J295" i="11"/>
  <c r="I295" i="11"/>
  <c r="R294" i="11"/>
  <c r="I294" i="11"/>
  <c r="B294" i="11"/>
  <c r="J294" i="11" s="1"/>
  <c r="R293" i="11"/>
  <c r="I293" i="11"/>
  <c r="B293" i="11"/>
  <c r="J293" i="11" s="1"/>
  <c r="R292" i="11"/>
  <c r="I292" i="11"/>
  <c r="B292" i="11"/>
  <c r="J292" i="11" s="1"/>
  <c r="R291" i="11"/>
  <c r="J291" i="11"/>
  <c r="I291" i="11"/>
  <c r="R290" i="11"/>
  <c r="I290" i="11"/>
  <c r="B290" i="11"/>
  <c r="J290" i="11" s="1"/>
  <c r="R289" i="11"/>
  <c r="I289" i="11"/>
  <c r="B289" i="11"/>
  <c r="J289" i="11" s="1"/>
  <c r="R288" i="11"/>
  <c r="I288" i="11"/>
  <c r="B288" i="11"/>
  <c r="J288" i="11" s="1"/>
  <c r="R287" i="11"/>
  <c r="I287" i="11"/>
  <c r="B287" i="11"/>
  <c r="J287" i="11" s="1"/>
  <c r="R286" i="11"/>
  <c r="I286" i="11"/>
  <c r="B286" i="11"/>
  <c r="J286" i="11" s="1"/>
  <c r="R285" i="11"/>
  <c r="I285" i="11"/>
  <c r="B285" i="11"/>
  <c r="J285" i="11" s="1"/>
  <c r="R284" i="11"/>
  <c r="I284" i="11"/>
  <c r="B284" i="11"/>
  <c r="J284" i="11" s="1"/>
  <c r="R283" i="11"/>
  <c r="I283" i="11"/>
  <c r="B283" i="11"/>
  <c r="J283" i="11" s="1"/>
  <c r="R282" i="11"/>
  <c r="I282" i="11"/>
  <c r="B282" i="11"/>
  <c r="J282" i="11" s="1"/>
  <c r="R281" i="11"/>
  <c r="I281" i="11"/>
  <c r="B281" i="11"/>
  <c r="J281" i="11" s="1"/>
  <c r="R280" i="11"/>
  <c r="I280" i="11"/>
  <c r="B280" i="11"/>
  <c r="J280" i="11" s="1"/>
  <c r="R279" i="11"/>
  <c r="I279" i="11"/>
  <c r="B279" i="11"/>
  <c r="J279" i="11" s="1"/>
  <c r="R278" i="11"/>
  <c r="I278" i="11"/>
  <c r="B278" i="11"/>
  <c r="J278" i="11" s="1"/>
  <c r="R277" i="11"/>
  <c r="J277" i="11"/>
  <c r="I277" i="11"/>
  <c r="R276" i="11"/>
  <c r="J276" i="11"/>
  <c r="I276" i="11"/>
  <c r="R275" i="11"/>
  <c r="J275" i="11"/>
  <c r="I275" i="11"/>
  <c r="R274" i="11"/>
  <c r="I274" i="11"/>
  <c r="B274" i="11"/>
  <c r="J274" i="11" s="1"/>
  <c r="R273" i="11"/>
  <c r="I273" i="11"/>
  <c r="B273" i="11"/>
  <c r="J273" i="11" s="1"/>
  <c r="R272" i="11"/>
  <c r="J272" i="11"/>
  <c r="I272" i="11"/>
  <c r="R271" i="11"/>
  <c r="J271" i="11"/>
  <c r="I271" i="11"/>
  <c r="R270" i="11"/>
  <c r="J270" i="11"/>
  <c r="I270" i="11"/>
  <c r="R269" i="11"/>
  <c r="I269" i="11"/>
  <c r="B269" i="11"/>
  <c r="J269" i="11" s="1"/>
  <c r="R268" i="11"/>
  <c r="I268" i="11"/>
  <c r="B268" i="11"/>
  <c r="J268" i="11" s="1"/>
  <c r="R267" i="11"/>
  <c r="J267" i="11"/>
  <c r="I267" i="11"/>
  <c r="R266" i="11"/>
  <c r="J266" i="11"/>
  <c r="I266" i="11"/>
  <c r="R265" i="11"/>
  <c r="J265" i="11"/>
  <c r="I265" i="11"/>
  <c r="R264" i="11"/>
  <c r="J264" i="11"/>
  <c r="I264" i="11"/>
  <c r="R263" i="11"/>
  <c r="J263" i="11"/>
  <c r="I263" i="11"/>
  <c r="R262" i="11"/>
  <c r="J262" i="11"/>
  <c r="I262" i="11"/>
  <c r="R261" i="11"/>
  <c r="J261" i="11"/>
  <c r="I261" i="11"/>
  <c r="R260" i="11"/>
  <c r="J260" i="11"/>
  <c r="I260" i="11"/>
  <c r="F259" i="11"/>
  <c r="H255" i="11"/>
  <c r="F255" i="11"/>
  <c r="J250" i="11"/>
  <c r="I250" i="11"/>
  <c r="R249" i="11"/>
  <c r="J249" i="11"/>
  <c r="I249" i="11"/>
  <c r="R248" i="11"/>
  <c r="J248" i="11"/>
  <c r="I248" i="11"/>
  <c r="R247" i="11"/>
  <c r="J247" i="11"/>
  <c r="I247" i="11"/>
  <c r="R246" i="11"/>
  <c r="J246" i="11"/>
  <c r="I246" i="11"/>
  <c r="R245" i="11"/>
  <c r="J245" i="11"/>
  <c r="I245" i="11"/>
  <c r="R244" i="11"/>
  <c r="J244" i="11"/>
  <c r="I244" i="11"/>
  <c r="R243" i="11"/>
  <c r="I243" i="11"/>
  <c r="B243" i="11"/>
  <c r="J243" i="11" s="1"/>
  <c r="R242" i="11"/>
  <c r="I242" i="11"/>
  <c r="B242" i="11"/>
  <c r="J242" i="11" s="1"/>
  <c r="R241" i="11"/>
  <c r="J241" i="11"/>
  <c r="I241" i="11"/>
  <c r="R240" i="11"/>
  <c r="J240" i="11"/>
  <c r="I240" i="11"/>
  <c r="R239" i="11"/>
  <c r="J239" i="11"/>
  <c r="I239" i="11"/>
  <c r="R238" i="11"/>
  <c r="J238" i="11"/>
  <c r="I238" i="11"/>
  <c r="R237" i="11"/>
  <c r="J237" i="11"/>
  <c r="I237" i="11"/>
  <c r="R236" i="11"/>
  <c r="J236" i="11"/>
  <c r="I236" i="11"/>
  <c r="R235" i="11"/>
  <c r="J235" i="11"/>
  <c r="I235" i="11"/>
  <c r="R234" i="11"/>
  <c r="J234" i="11"/>
  <c r="I234" i="11"/>
  <c r="R233" i="11"/>
  <c r="I233" i="11"/>
  <c r="B233" i="11"/>
  <c r="J233" i="11" s="1"/>
  <c r="R232" i="11"/>
  <c r="I232" i="11"/>
  <c r="B232" i="11"/>
  <c r="J232" i="11" s="1"/>
  <c r="R231" i="11"/>
  <c r="J231" i="11"/>
  <c r="I231" i="11"/>
  <c r="R230" i="11"/>
  <c r="I230" i="11"/>
  <c r="B230" i="11"/>
  <c r="J230" i="11" s="1"/>
  <c r="R229" i="11"/>
  <c r="I229" i="11"/>
  <c r="B229" i="11"/>
  <c r="J229" i="11" s="1"/>
  <c r="R228" i="11"/>
  <c r="I228" i="11"/>
  <c r="B228" i="11"/>
  <c r="J228" i="11" s="1"/>
  <c r="R227" i="11"/>
  <c r="J227" i="11"/>
  <c r="I227" i="11"/>
  <c r="R226" i="11"/>
  <c r="I226" i="11"/>
  <c r="B226" i="11"/>
  <c r="J226" i="11" s="1"/>
  <c r="R225" i="11"/>
  <c r="I225" i="11"/>
  <c r="B225" i="11"/>
  <c r="J225" i="11" s="1"/>
  <c r="R224" i="11"/>
  <c r="I224" i="11"/>
  <c r="B224" i="11"/>
  <c r="J224" i="11" s="1"/>
  <c r="R223" i="11"/>
  <c r="I223" i="11"/>
  <c r="B223" i="11"/>
  <c r="J223" i="11" s="1"/>
  <c r="R222" i="11"/>
  <c r="I222" i="11"/>
  <c r="B222" i="11"/>
  <c r="J222" i="11" s="1"/>
  <c r="R221" i="11"/>
  <c r="I221" i="11"/>
  <c r="B221" i="11"/>
  <c r="J221" i="11" s="1"/>
  <c r="R220" i="11"/>
  <c r="I220" i="11"/>
  <c r="B220" i="11"/>
  <c r="J220" i="11" s="1"/>
  <c r="R219" i="11"/>
  <c r="I219" i="11"/>
  <c r="B219" i="11"/>
  <c r="J219" i="11" s="1"/>
  <c r="R218" i="11"/>
  <c r="I218" i="11"/>
  <c r="B218" i="11"/>
  <c r="J218" i="11" s="1"/>
  <c r="R217" i="11"/>
  <c r="I217" i="11"/>
  <c r="B217" i="11"/>
  <c r="J217" i="11" s="1"/>
  <c r="R216" i="11"/>
  <c r="I216" i="11"/>
  <c r="B216" i="11"/>
  <c r="J216" i="11" s="1"/>
  <c r="R215" i="11"/>
  <c r="I215" i="11"/>
  <c r="B215" i="11"/>
  <c r="J215" i="11" s="1"/>
  <c r="R214" i="11"/>
  <c r="I214" i="11"/>
  <c r="B214" i="11"/>
  <c r="J214" i="11" s="1"/>
  <c r="R213" i="11"/>
  <c r="J213" i="11"/>
  <c r="I213" i="11"/>
  <c r="R212" i="11"/>
  <c r="J212" i="11"/>
  <c r="I212" i="11"/>
  <c r="R211" i="11"/>
  <c r="J211" i="11"/>
  <c r="I211" i="11"/>
  <c r="R210" i="11"/>
  <c r="I210" i="11"/>
  <c r="B210" i="11"/>
  <c r="J210" i="11" s="1"/>
  <c r="R209" i="11"/>
  <c r="I209" i="11"/>
  <c r="B209" i="11"/>
  <c r="J209" i="11" s="1"/>
  <c r="R208" i="11"/>
  <c r="J208" i="11"/>
  <c r="I208" i="11"/>
  <c r="R207" i="11"/>
  <c r="J207" i="11"/>
  <c r="I207" i="11"/>
  <c r="R206" i="11"/>
  <c r="J206" i="11"/>
  <c r="I206" i="11"/>
  <c r="R205" i="11"/>
  <c r="I205" i="11"/>
  <c r="B205" i="11"/>
  <c r="J205" i="11" s="1"/>
  <c r="R204" i="11"/>
  <c r="I204" i="11"/>
  <c r="B204" i="11"/>
  <c r="J204" i="11" s="1"/>
  <c r="R203" i="11"/>
  <c r="J203" i="11"/>
  <c r="I203" i="11"/>
  <c r="R202" i="11"/>
  <c r="J202" i="11"/>
  <c r="I202" i="11"/>
  <c r="R201" i="11"/>
  <c r="J201" i="11"/>
  <c r="I201" i="11"/>
  <c r="R200" i="11"/>
  <c r="J200" i="11"/>
  <c r="I200" i="11"/>
  <c r="R199" i="11"/>
  <c r="J199" i="11"/>
  <c r="I199" i="11"/>
  <c r="R198" i="11"/>
  <c r="J198" i="11"/>
  <c r="I198" i="11"/>
  <c r="R197" i="11"/>
  <c r="J197" i="11"/>
  <c r="I197" i="11"/>
  <c r="R196" i="11"/>
  <c r="J196" i="11"/>
  <c r="I196" i="11"/>
  <c r="F195" i="11"/>
  <c r="H191" i="11"/>
  <c r="F191" i="11"/>
  <c r="J188" i="11"/>
  <c r="I188" i="11"/>
  <c r="R187" i="11"/>
  <c r="I187" i="11"/>
  <c r="R186" i="11"/>
  <c r="J186" i="11"/>
  <c r="I186" i="11"/>
  <c r="R185" i="11"/>
  <c r="I185" i="11"/>
  <c r="R184" i="11"/>
  <c r="J184" i="11"/>
  <c r="I184" i="11"/>
  <c r="R183" i="11"/>
  <c r="J183" i="11"/>
  <c r="I183" i="11"/>
  <c r="R182" i="11"/>
  <c r="J182" i="11"/>
  <c r="I182" i="11"/>
  <c r="R181" i="11"/>
  <c r="I181" i="11"/>
  <c r="J181" i="11"/>
  <c r="R180" i="11"/>
  <c r="I180" i="11"/>
  <c r="J180" i="11"/>
  <c r="R179" i="11"/>
  <c r="J179" i="11"/>
  <c r="I179" i="11"/>
  <c r="R178" i="11"/>
  <c r="J178" i="11"/>
  <c r="I178" i="11"/>
  <c r="R177" i="11"/>
  <c r="J177" i="11"/>
  <c r="I177" i="11"/>
  <c r="R176" i="11"/>
  <c r="J176" i="11"/>
  <c r="I176" i="11"/>
  <c r="R175" i="11"/>
  <c r="I175" i="11"/>
  <c r="R174" i="11"/>
  <c r="I174" i="11"/>
  <c r="R173" i="11"/>
  <c r="J173" i="11"/>
  <c r="I173" i="11"/>
  <c r="R172" i="11"/>
  <c r="I172" i="11"/>
  <c r="R171" i="11"/>
  <c r="I171" i="11"/>
  <c r="R170" i="11"/>
  <c r="I170" i="11"/>
  <c r="R169" i="11"/>
  <c r="I169" i="11"/>
  <c r="R168" i="11"/>
  <c r="I168" i="11"/>
  <c r="R167" i="11"/>
  <c r="I167" i="11"/>
  <c r="R166" i="11"/>
  <c r="I166" i="11"/>
  <c r="R165" i="11"/>
  <c r="I165" i="11"/>
  <c r="R164" i="11"/>
  <c r="I164" i="11"/>
  <c r="R163" i="11"/>
  <c r="I163" i="11"/>
  <c r="R162" i="11"/>
  <c r="I162" i="11"/>
  <c r="R161" i="11"/>
  <c r="I161" i="11"/>
  <c r="R160" i="11"/>
  <c r="I160" i="11"/>
  <c r="R159" i="11"/>
  <c r="I159" i="11"/>
  <c r="R158" i="11"/>
  <c r="I158" i="11"/>
  <c r="R157" i="11"/>
  <c r="I157" i="11"/>
  <c r="R156" i="11"/>
  <c r="I156" i="11"/>
  <c r="R155" i="11"/>
  <c r="I155" i="11"/>
  <c r="R154" i="11"/>
  <c r="I154" i="11"/>
  <c r="R153" i="11"/>
  <c r="I153" i="11"/>
  <c r="R152" i="11"/>
  <c r="I152" i="11"/>
  <c r="R151" i="11"/>
  <c r="I151" i="11"/>
  <c r="R150" i="11"/>
  <c r="I150" i="11"/>
  <c r="R149" i="11"/>
  <c r="I149" i="11"/>
  <c r="R148" i="11"/>
  <c r="I148" i="11"/>
  <c r="R147" i="11"/>
  <c r="I147" i="11"/>
  <c r="R146" i="11"/>
  <c r="I146" i="11"/>
  <c r="R145" i="11"/>
  <c r="I145" i="11"/>
  <c r="R144" i="11"/>
  <c r="I144" i="11"/>
  <c r="R143" i="11"/>
  <c r="I143" i="11"/>
  <c r="R142" i="11"/>
  <c r="I142" i="11"/>
  <c r="R141" i="11"/>
  <c r="I141" i="11"/>
  <c r="R140" i="11"/>
  <c r="I140" i="11"/>
  <c r="R139" i="11"/>
  <c r="I139" i="11"/>
  <c r="R138" i="11"/>
  <c r="I138" i="11"/>
  <c r="R137" i="11"/>
  <c r="I137" i="11"/>
  <c r="R136" i="11"/>
  <c r="I136" i="11"/>
  <c r="R135" i="11"/>
  <c r="I135" i="11"/>
  <c r="R134" i="11"/>
  <c r="I134" i="11"/>
  <c r="F133" i="11"/>
  <c r="H129" i="11"/>
  <c r="F129" i="11"/>
  <c r="H128" i="11"/>
  <c r="AB124" i="11"/>
  <c r="AC124" i="11" s="1"/>
  <c r="AA124" i="11"/>
  <c r="I124" i="11"/>
  <c r="AB123" i="11"/>
  <c r="AC123" i="11" s="1"/>
  <c r="AA123" i="11"/>
  <c r="R123" i="11"/>
  <c r="I123" i="11"/>
  <c r="AB122" i="11"/>
  <c r="AC122" i="11" s="1"/>
  <c r="AA122" i="11"/>
  <c r="R122" i="11"/>
  <c r="I122" i="11"/>
  <c r="AB121" i="11"/>
  <c r="AC121" i="11" s="1"/>
  <c r="AA121" i="11"/>
  <c r="R121" i="11"/>
  <c r="I121" i="11"/>
  <c r="AB120" i="11"/>
  <c r="AC120" i="11" s="1"/>
  <c r="AA120" i="11"/>
  <c r="R120" i="11"/>
  <c r="I120" i="11"/>
  <c r="AB119" i="11"/>
  <c r="AC119" i="11" s="1"/>
  <c r="AA119" i="11"/>
  <c r="R119" i="11"/>
  <c r="I119" i="11"/>
  <c r="AB118" i="11"/>
  <c r="AC118" i="11" s="1"/>
  <c r="AA118" i="11"/>
  <c r="R118" i="11"/>
  <c r="I118" i="11"/>
  <c r="AB117" i="11"/>
  <c r="AC117" i="11" s="1"/>
  <c r="AA117" i="11"/>
  <c r="R117" i="11"/>
  <c r="I117" i="11"/>
  <c r="AB116" i="11"/>
  <c r="AC116" i="11" s="1"/>
  <c r="AA116" i="11"/>
  <c r="R116" i="11"/>
  <c r="I116" i="11"/>
  <c r="AB115" i="11"/>
  <c r="AA115" i="11"/>
  <c r="R115" i="11"/>
  <c r="I115" i="11"/>
  <c r="AB114" i="11"/>
  <c r="AC114" i="11" s="1"/>
  <c r="AA114" i="11"/>
  <c r="R114" i="11"/>
  <c r="AB113" i="11"/>
  <c r="AC113" i="11" s="1"/>
  <c r="AA113" i="11"/>
  <c r="R113" i="11"/>
  <c r="AB112" i="11"/>
  <c r="AC112" i="11" s="1"/>
  <c r="AA112" i="11"/>
  <c r="R112" i="11"/>
  <c r="AB111" i="11"/>
  <c r="AC111" i="11" s="1"/>
  <c r="AA111" i="11"/>
  <c r="R111" i="11"/>
  <c r="AB110" i="11"/>
  <c r="AC110" i="11" s="1"/>
  <c r="AA110" i="11"/>
  <c r="R110" i="11"/>
  <c r="AB109" i="11"/>
  <c r="AC109" i="11" s="1"/>
  <c r="AA109" i="11"/>
  <c r="R109" i="11"/>
  <c r="AB108" i="11"/>
  <c r="AC108" i="11" s="1"/>
  <c r="AA108" i="11"/>
  <c r="R108" i="11"/>
  <c r="AB107" i="11"/>
  <c r="AC107" i="11" s="1"/>
  <c r="AA107" i="11"/>
  <c r="R107" i="11"/>
  <c r="AB106" i="11"/>
  <c r="AC106" i="11" s="1"/>
  <c r="AA106" i="11"/>
  <c r="R106" i="11"/>
  <c r="AB105" i="11"/>
  <c r="AC105" i="11" s="1"/>
  <c r="AA105" i="11"/>
  <c r="R105" i="11"/>
  <c r="AB104" i="11"/>
  <c r="AC104" i="11" s="1"/>
  <c r="AA104" i="11"/>
  <c r="R104" i="11"/>
  <c r="AB103" i="11"/>
  <c r="AC103" i="11" s="1"/>
  <c r="AA103" i="11"/>
  <c r="R103" i="11"/>
  <c r="AB102" i="11"/>
  <c r="AC102" i="11" s="1"/>
  <c r="AA102" i="11"/>
  <c r="R102" i="11"/>
  <c r="AB101" i="11"/>
  <c r="AC101" i="11" s="1"/>
  <c r="AA101" i="11"/>
  <c r="R101" i="11"/>
  <c r="AB100" i="11"/>
  <c r="AC100" i="11" s="1"/>
  <c r="AA100" i="11"/>
  <c r="R100" i="11"/>
  <c r="AB99" i="11"/>
  <c r="AC99" i="11" s="1"/>
  <c r="AA99" i="11"/>
  <c r="R99" i="11"/>
  <c r="AB98" i="11"/>
  <c r="AC98" i="11" s="1"/>
  <c r="AA98" i="11"/>
  <c r="R98" i="11"/>
  <c r="AB97" i="11"/>
  <c r="AC97" i="11" s="1"/>
  <c r="AA97" i="11"/>
  <c r="R97" i="11"/>
  <c r="AB96" i="11"/>
  <c r="AC96" i="11" s="1"/>
  <c r="AA96" i="11"/>
  <c r="R96" i="11"/>
  <c r="AB95" i="11"/>
  <c r="AC95" i="11" s="1"/>
  <c r="AA95" i="11"/>
  <c r="R95" i="11"/>
  <c r="AB94" i="11"/>
  <c r="AC94" i="11" s="1"/>
  <c r="AA94" i="11"/>
  <c r="R94" i="11"/>
  <c r="AB93" i="11"/>
  <c r="AC93" i="11" s="1"/>
  <c r="AA93" i="11"/>
  <c r="R93" i="11"/>
  <c r="AB92" i="11"/>
  <c r="AC92" i="11" s="1"/>
  <c r="AA92" i="11"/>
  <c r="R92" i="11"/>
  <c r="AB91" i="11"/>
  <c r="AC91" i="11" s="1"/>
  <c r="AA91" i="11"/>
  <c r="R91" i="11"/>
  <c r="AB90" i="11"/>
  <c r="AC90" i="11" s="1"/>
  <c r="AA90" i="11"/>
  <c r="R90" i="11"/>
  <c r="AB89" i="11"/>
  <c r="AC89" i="11" s="1"/>
  <c r="AA89" i="11"/>
  <c r="R89" i="11"/>
  <c r="AB88" i="11"/>
  <c r="AC88" i="11" s="1"/>
  <c r="AA88" i="11"/>
  <c r="R88" i="11"/>
  <c r="AB87" i="11"/>
  <c r="AC87" i="11" s="1"/>
  <c r="AA87" i="11"/>
  <c r="R87" i="11"/>
  <c r="AB86" i="11"/>
  <c r="AC86" i="11" s="1"/>
  <c r="AA86" i="11"/>
  <c r="R86" i="11"/>
  <c r="AB85" i="11"/>
  <c r="AC85" i="11" s="1"/>
  <c r="AA85" i="11"/>
  <c r="R85" i="11"/>
  <c r="AB84" i="11"/>
  <c r="AC84" i="11" s="1"/>
  <c r="AA84" i="11"/>
  <c r="R84" i="11"/>
  <c r="AB83" i="11"/>
  <c r="AC83" i="11" s="1"/>
  <c r="AA83" i="11"/>
  <c r="R83" i="11"/>
  <c r="AB82" i="11"/>
  <c r="AC82" i="11" s="1"/>
  <c r="AA82" i="11"/>
  <c r="R82" i="11"/>
  <c r="AB81" i="11"/>
  <c r="AC81" i="11" s="1"/>
  <c r="AA81" i="11"/>
  <c r="R81" i="11"/>
  <c r="AB80" i="11"/>
  <c r="AA80" i="11"/>
  <c r="R80" i="11"/>
  <c r="AB79" i="11"/>
  <c r="AC79" i="11" s="1"/>
  <c r="AA79" i="11"/>
  <c r="R79" i="11"/>
  <c r="AB78" i="11"/>
  <c r="AC78" i="11" s="1"/>
  <c r="AA78" i="11"/>
  <c r="R78" i="11"/>
  <c r="AB77" i="11"/>
  <c r="AC77" i="11" s="1"/>
  <c r="AA77" i="11"/>
  <c r="R77" i="11"/>
  <c r="AB76" i="11"/>
  <c r="AC76" i="11" s="1"/>
  <c r="AA76" i="11"/>
  <c r="R76" i="11"/>
  <c r="AB75" i="11"/>
  <c r="AC75" i="11" s="1"/>
  <c r="AA75" i="11"/>
  <c r="R75" i="11"/>
  <c r="AB74" i="11"/>
  <c r="AC74" i="11" s="1"/>
  <c r="AA74" i="11"/>
  <c r="R74" i="11"/>
  <c r="AB73" i="11"/>
  <c r="AC73" i="11" s="1"/>
  <c r="AA73" i="11"/>
  <c r="R73" i="11"/>
  <c r="AB72" i="11"/>
  <c r="AC72" i="11" s="1"/>
  <c r="AA72" i="11"/>
  <c r="R72" i="11"/>
  <c r="AB71" i="11"/>
  <c r="AC71" i="11" s="1"/>
  <c r="AA71" i="11"/>
  <c r="R71" i="11"/>
  <c r="AB70" i="11"/>
  <c r="AA70" i="11"/>
  <c r="R70" i="11"/>
  <c r="J70" i="11"/>
  <c r="F69" i="11"/>
  <c r="E69" i="11"/>
  <c r="Z65" i="11"/>
  <c r="X65" i="11"/>
  <c r="H65" i="11"/>
  <c r="F65" i="11"/>
  <c r="H64" i="11"/>
  <c r="W62" i="11"/>
  <c r="R60" i="11"/>
  <c r="I60" i="11"/>
  <c r="R59" i="11"/>
  <c r="I59" i="11"/>
  <c r="R58" i="11"/>
  <c r="I58" i="11"/>
  <c r="R57" i="11"/>
  <c r="I57" i="11"/>
  <c r="R56" i="11"/>
  <c r="I56" i="11"/>
  <c r="R55" i="11"/>
  <c r="I55" i="11"/>
  <c r="R54" i="11"/>
  <c r="I54" i="11"/>
  <c r="R53" i="11"/>
  <c r="I53" i="11"/>
  <c r="R52" i="11"/>
  <c r="I52" i="11"/>
  <c r="R51" i="11"/>
  <c r="I51" i="11"/>
  <c r="R50" i="11"/>
  <c r="I50" i="11"/>
  <c r="R49" i="11"/>
  <c r="I49" i="11"/>
  <c r="R48" i="11"/>
  <c r="I48" i="11"/>
  <c r="R47" i="11"/>
  <c r="I47" i="11"/>
  <c r="R46" i="11"/>
  <c r="I46" i="11"/>
  <c r="R45" i="11"/>
  <c r="I45" i="11"/>
  <c r="R44" i="11"/>
  <c r="I44" i="11"/>
  <c r="R43" i="11"/>
  <c r="I43" i="11"/>
  <c r="R42" i="11"/>
  <c r="I42" i="11"/>
  <c r="R41" i="11"/>
  <c r="I41" i="11"/>
  <c r="R40" i="11"/>
  <c r="I40" i="11"/>
  <c r="R39" i="11"/>
  <c r="I39" i="11"/>
  <c r="R38" i="11"/>
  <c r="I38" i="11"/>
  <c r="R37" i="11"/>
  <c r="I37" i="11"/>
  <c r="R36" i="11"/>
  <c r="I36" i="11"/>
  <c r="R35" i="11"/>
  <c r="I35" i="11"/>
  <c r="R34" i="11"/>
  <c r="I34" i="11"/>
  <c r="R33" i="11"/>
  <c r="I33" i="11"/>
  <c r="R32" i="11"/>
  <c r="I32" i="11"/>
  <c r="R31" i="11"/>
  <c r="I31" i="11"/>
  <c r="R30" i="11"/>
  <c r="I30" i="11"/>
  <c r="R29" i="11"/>
  <c r="I29" i="11"/>
  <c r="R28" i="11"/>
  <c r="I28" i="11"/>
  <c r="R27" i="11"/>
  <c r="I27" i="11"/>
  <c r="R26" i="11"/>
  <c r="I26" i="11"/>
  <c r="R25" i="11"/>
  <c r="I25" i="11"/>
  <c r="R24" i="11"/>
  <c r="I24" i="11"/>
  <c r="R23" i="11"/>
  <c r="I23" i="11"/>
  <c r="R22" i="11"/>
  <c r="I22" i="11"/>
  <c r="R21" i="11"/>
  <c r="I21" i="11"/>
  <c r="R20" i="11"/>
  <c r="I20" i="11"/>
  <c r="R19" i="11"/>
  <c r="I19" i="11"/>
  <c r="R18" i="11"/>
  <c r="I18" i="11"/>
  <c r="R17" i="11"/>
  <c r="I17" i="11"/>
  <c r="R16" i="11"/>
  <c r="I16" i="11"/>
  <c r="R15" i="11"/>
  <c r="I15" i="11"/>
  <c r="R14" i="11"/>
  <c r="I14" i="11"/>
  <c r="R13" i="11"/>
  <c r="I13" i="11"/>
  <c r="R12" i="11"/>
  <c r="I12" i="11"/>
  <c r="R11" i="11"/>
  <c r="I11" i="11"/>
  <c r="R10" i="11"/>
  <c r="I10" i="11"/>
  <c r="U9" i="11"/>
  <c r="R9" i="11"/>
  <c r="I9" i="11"/>
  <c r="U8" i="11"/>
  <c r="R8" i="11"/>
  <c r="I8" i="11"/>
  <c r="R7" i="11"/>
  <c r="I7" i="11"/>
  <c r="F6" i="11"/>
  <c r="H2" i="11"/>
  <c r="F2" i="11"/>
  <c r="H1" i="11"/>
  <c r="H106" i="10"/>
  <c r="C105" i="10"/>
  <c r="H7" i="10"/>
  <c r="C39" i="10"/>
  <c r="H40" i="10"/>
  <c r="C74" i="10"/>
  <c r="H75" i="10"/>
  <c r="C6" i="10"/>
  <c r="O15" i="3"/>
  <c r="K15" i="3"/>
  <c r="J30" i="4" l="1"/>
  <c r="J19" i="4"/>
  <c r="J78" i="4"/>
  <c r="J70" i="4"/>
  <c r="J62" i="4"/>
  <c r="J54" i="4"/>
  <c r="J46" i="4"/>
  <c r="J38" i="4"/>
  <c r="J20" i="4"/>
  <c r="J17" i="4"/>
  <c r="J22" i="4"/>
  <c r="J77" i="4"/>
  <c r="J69" i="4"/>
  <c r="J61" i="4"/>
  <c r="J53" i="4"/>
  <c r="J45" i="4"/>
  <c r="J37" i="4"/>
  <c r="J29" i="4"/>
  <c r="L5" i="4"/>
  <c r="M5" i="4" s="1"/>
  <c r="J76" i="4"/>
  <c r="J68" i="4"/>
  <c r="J60" i="4"/>
  <c r="J52" i="4"/>
  <c r="J44" i="4"/>
  <c r="J36" i="4"/>
  <c r="J28" i="4"/>
  <c r="J18" i="4"/>
  <c r="J11" i="4"/>
  <c r="J75" i="4"/>
  <c r="J67" i="4"/>
  <c r="J59" i="4"/>
  <c r="J51" i="4"/>
  <c r="J43" i="4"/>
  <c r="J35" i="4"/>
  <c r="J27" i="4"/>
  <c r="J16" i="4"/>
  <c r="J82" i="4"/>
  <c r="J74" i="4"/>
  <c r="J66" i="4"/>
  <c r="J58" i="4"/>
  <c r="J50" i="4"/>
  <c r="J42" i="4"/>
  <c r="J34" i="4"/>
  <c r="J26" i="4"/>
  <c r="J15" i="4"/>
  <c r="J81" i="4"/>
  <c r="J73" i="4"/>
  <c r="J65" i="4"/>
  <c r="J57" i="4"/>
  <c r="J49" i="4"/>
  <c r="J41" i="4"/>
  <c r="J33" i="4"/>
  <c r="J25" i="4"/>
  <c r="J14" i="4"/>
  <c r="J80" i="4"/>
  <c r="J72" i="4"/>
  <c r="J64" i="4"/>
  <c r="J56" i="4"/>
  <c r="J48" i="4"/>
  <c r="J40" i="4"/>
  <c r="J32" i="4"/>
  <c r="J24" i="4"/>
  <c r="J13" i="4"/>
  <c r="J79" i="4"/>
  <c r="J71" i="4"/>
  <c r="J63" i="4"/>
  <c r="J55" i="4"/>
  <c r="J47" i="4"/>
  <c r="J39" i="4"/>
  <c r="J31" i="4"/>
  <c r="J23" i="4"/>
  <c r="J12" i="4"/>
  <c r="L79" i="23"/>
  <c r="L78" i="23"/>
  <c r="L77" i="23"/>
  <c r="L76" i="23"/>
  <c r="L75" i="23"/>
  <c r="L74" i="23"/>
  <c r="L73" i="23"/>
  <c r="L72" i="23"/>
  <c r="L71" i="23"/>
  <c r="L70" i="23"/>
  <c r="L69" i="23"/>
  <c r="L68" i="23"/>
  <c r="L67" i="23"/>
  <c r="L66" i="23"/>
  <c r="L65" i="23"/>
  <c r="L64" i="23"/>
  <c r="L63" i="23"/>
  <c r="L62" i="23"/>
  <c r="L61" i="23"/>
  <c r="L60" i="23"/>
  <c r="L59" i="23"/>
  <c r="L58" i="23"/>
  <c r="L57" i="23"/>
  <c r="L56" i="23"/>
  <c r="L55" i="23"/>
  <c r="L54" i="23"/>
  <c r="L53" i="23"/>
  <c r="L52" i="23"/>
  <c r="L51" i="23"/>
  <c r="L50" i="23"/>
  <c r="L49" i="23"/>
  <c r="L48" i="23"/>
  <c r="L47" i="23"/>
  <c r="L46" i="23"/>
  <c r="L45" i="23"/>
  <c r="L44" i="23"/>
  <c r="L43" i="23"/>
  <c r="L42" i="23"/>
  <c r="L41" i="23"/>
  <c r="L40" i="23"/>
  <c r="L39" i="23"/>
  <c r="L38" i="23"/>
  <c r="L37" i="23"/>
  <c r="L36" i="23"/>
  <c r="L35" i="23"/>
  <c r="L34" i="23"/>
  <c r="L33" i="23"/>
  <c r="L32" i="23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K10" i="23"/>
  <c r="J46" i="23"/>
  <c r="J55" i="23"/>
  <c r="J42" i="23"/>
  <c r="J43" i="23"/>
  <c r="J41" i="23"/>
  <c r="J52" i="23"/>
  <c r="J38" i="23"/>
  <c r="J36" i="23"/>
  <c r="J33" i="23"/>
  <c r="J51" i="23"/>
  <c r="J50" i="23"/>
  <c r="J29" i="23"/>
  <c r="J49" i="23"/>
  <c r="J48" i="23"/>
  <c r="J18" i="23"/>
  <c r="J47" i="23"/>
  <c r="J13" i="23"/>
  <c r="J45" i="23"/>
  <c r="J44" i="23"/>
  <c r="J11" i="23"/>
  <c r="J74" i="23"/>
  <c r="J68" i="23"/>
  <c r="J73" i="23"/>
  <c r="J58" i="23"/>
  <c r="J57" i="23"/>
  <c r="J37" i="23"/>
  <c r="J56" i="23"/>
  <c r="J32" i="23"/>
  <c r="J53" i="23"/>
  <c r="J31" i="23"/>
  <c r="J28" i="23"/>
  <c r="J76" i="23"/>
  <c r="J26" i="23"/>
  <c r="J71" i="23"/>
  <c r="J15" i="23"/>
  <c r="J65" i="23"/>
  <c r="J14" i="23"/>
  <c r="J25" i="23"/>
  <c r="J66" i="23"/>
  <c r="J62" i="23"/>
  <c r="J24" i="23"/>
  <c r="J61" i="23"/>
  <c r="J23" i="23"/>
  <c r="J22" i="23"/>
  <c r="J34" i="23"/>
  <c r="J63" i="23"/>
  <c r="J54" i="23"/>
  <c r="J35" i="23"/>
  <c r="J64" i="23"/>
  <c r="J21" i="23"/>
  <c r="J20" i="23"/>
  <c r="J30" i="23"/>
  <c r="J19" i="23"/>
  <c r="J75" i="23"/>
  <c r="J70" i="23"/>
  <c r="J17" i="23"/>
  <c r="J69" i="23"/>
  <c r="J16" i="23"/>
  <c r="J67" i="23"/>
  <c r="J77" i="23"/>
  <c r="J59" i="23"/>
  <c r="J40" i="23"/>
  <c r="J79" i="23"/>
  <c r="J39" i="23"/>
  <c r="J78" i="23"/>
  <c r="J72" i="23"/>
  <c r="J27" i="23"/>
  <c r="J60" i="23"/>
  <c r="J12" i="23"/>
  <c r="L79" i="21"/>
  <c r="L78" i="21"/>
  <c r="L77" i="21"/>
  <c r="L76" i="21"/>
  <c r="L75" i="21"/>
  <c r="L74" i="21"/>
  <c r="L73" i="21"/>
  <c r="L72" i="21"/>
  <c r="L71" i="21"/>
  <c r="L70" i="21"/>
  <c r="L69" i="21"/>
  <c r="L68" i="21"/>
  <c r="L67" i="21"/>
  <c r="L66" i="21"/>
  <c r="L65" i="21"/>
  <c r="L64" i="21"/>
  <c r="L63" i="21"/>
  <c r="L62" i="21"/>
  <c r="L61" i="21"/>
  <c r="L60" i="21"/>
  <c r="L59" i="21"/>
  <c r="L58" i="21"/>
  <c r="L57" i="21"/>
  <c r="L56" i="21"/>
  <c r="L55" i="21"/>
  <c r="L54" i="21"/>
  <c r="L53" i="21"/>
  <c r="L52" i="21"/>
  <c r="L51" i="21"/>
  <c r="L50" i="21"/>
  <c r="L49" i="21"/>
  <c r="L48" i="21"/>
  <c r="L47" i="21"/>
  <c r="L46" i="21"/>
  <c r="L45" i="21"/>
  <c r="L44" i="21"/>
  <c r="L43" i="21"/>
  <c r="L42" i="21"/>
  <c r="L41" i="21"/>
  <c r="L40" i="21"/>
  <c r="L39" i="21"/>
  <c r="L38" i="21"/>
  <c r="L37" i="21"/>
  <c r="L36" i="21"/>
  <c r="L35" i="21"/>
  <c r="L34" i="21"/>
  <c r="L33" i="21"/>
  <c r="L32" i="21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K10" i="21"/>
  <c r="J27" i="21"/>
  <c r="J59" i="21"/>
  <c r="J15" i="21"/>
  <c r="J55" i="21"/>
  <c r="J14" i="21"/>
  <c r="J49" i="21"/>
  <c r="J58" i="21"/>
  <c r="J35" i="21"/>
  <c r="J57" i="21"/>
  <c r="J56" i="21"/>
  <c r="J79" i="21"/>
  <c r="J54" i="21"/>
  <c r="J53" i="21"/>
  <c r="J65" i="21"/>
  <c r="J52" i="21"/>
  <c r="J34" i="21"/>
  <c r="J30" i="21"/>
  <c r="J20" i="21"/>
  <c r="J51" i="21"/>
  <c r="J41" i="21"/>
  <c r="J40" i="21"/>
  <c r="J48" i="21"/>
  <c r="J28" i="21"/>
  <c r="J47" i="21"/>
  <c r="J24" i="21"/>
  <c r="J78" i="21"/>
  <c r="J22" i="21"/>
  <c r="J21" i="21"/>
  <c r="J19" i="21"/>
  <c r="J76" i="21"/>
  <c r="J73" i="21"/>
  <c r="J17" i="21"/>
  <c r="J72" i="21"/>
  <c r="J16" i="21"/>
  <c r="J67" i="21"/>
  <c r="J64" i="21"/>
  <c r="J71" i="21"/>
  <c r="J70" i="21"/>
  <c r="J43" i="21"/>
  <c r="J42" i="21"/>
  <c r="J68" i="21"/>
  <c r="J13" i="21"/>
  <c r="J62" i="21"/>
  <c r="J12" i="21"/>
  <c r="J60" i="21"/>
  <c r="J11" i="21"/>
  <c r="J61" i="21"/>
  <c r="J33" i="21"/>
  <c r="J32" i="21"/>
  <c r="J46" i="21"/>
  <c r="J29" i="21"/>
  <c r="J77" i="21"/>
  <c r="J66" i="21"/>
  <c r="J39" i="21"/>
  <c r="J26" i="21"/>
  <c r="J75" i="21"/>
  <c r="J45" i="21"/>
  <c r="J44" i="21"/>
  <c r="J69" i="21"/>
  <c r="J63" i="21"/>
  <c r="J38" i="21"/>
  <c r="J50" i="21"/>
  <c r="J37" i="21"/>
  <c r="J36" i="21"/>
  <c r="J23" i="21"/>
  <c r="J25" i="21"/>
  <c r="J74" i="21"/>
  <c r="J31" i="21"/>
  <c r="J18" i="21"/>
  <c r="L79" i="20"/>
  <c r="L78" i="20"/>
  <c r="L77" i="20"/>
  <c r="L76" i="20"/>
  <c r="L75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K10" i="20"/>
  <c r="E10" i="20"/>
  <c r="I3" i="20"/>
  <c r="I1" i="4"/>
  <c r="K281" i="11"/>
  <c r="K203" i="11"/>
  <c r="K200" i="11"/>
  <c r="K198" i="11"/>
  <c r="K201" i="11"/>
  <c r="K202" i="11"/>
  <c r="K199" i="11"/>
  <c r="K196" i="11"/>
  <c r="K197" i="11"/>
  <c r="Q110" i="10"/>
  <c r="Q114" i="10"/>
  <c r="Q115" i="10"/>
  <c r="S110" i="10"/>
  <c r="S111" i="10"/>
  <c r="L111" i="10" s="1"/>
  <c r="O111" i="10" s="1"/>
  <c r="Q111" i="10" s="1"/>
  <c r="S112" i="10"/>
  <c r="L112" i="10" s="1"/>
  <c r="O112" i="10" s="1"/>
  <c r="Q112" i="10" s="1"/>
  <c r="S113" i="10"/>
  <c r="L113" i="10" s="1"/>
  <c r="O113" i="10" s="1"/>
  <c r="Q113" i="10" s="1"/>
  <c r="S114" i="10"/>
  <c r="S115" i="10"/>
  <c r="S116" i="10"/>
  <c r="L116" i="10" s="1"/>
  <c r="O116" i="10" s="1"/>
  <c r="Q116" i="10" s="1"/>
  <c r="S117" i="10"/>
  <c r="L117" i="10" s="1"/>
  <c r="O117" i="10" s="1"/>
  <c r="S118" i="10"/>
  <c r="L118" i="10" s="1"/>
  <c r="O118" i="10" s="1"/>
  <c r="Q118" i="10" s="1"/>
  <c r="S109" i="10"/>
  <c r="L109" i="10" s="1"/>
  <c r="O109" i="10" s="1"/>
  <c r="Q109" i="10" s="1"/>
  <c r="Q117" i="10"/>
  <c r="K141" i="11"/>
  <c r="K136" i="11"/>
  <c r="K140" i="11"/>
  <c r="K138" i="11"/>
  <c r="K137" i="11"/>
  <c r="K139" i="11"/>
  <c r="K135" i="11"/>
  <c r="K75" i="11"/>
  <c r="K74" i="11"/>
  <c r="K70" i="11"/>
  <c r="K77" i="11"/>
  <c r="K73" i="11"/>
  <c r="K72" i="11"/>
  <c r="K71" i="11"/>
  <c r="K76" i="11"/>
  <c r="J7" i="11"/>
  <c r="K268" i="11"/>
  <c r="J259" i="11"/>
  <c r="K204" i="11"/>
  <c r="J195" i="11"/>
  <c r="K142" i="11"/>
  <c r="J133" i="11"/>
  <c r="L141" i="11"/>
  <c r="M141" i="11"/>
  <c r="L140" i="11"/>
  <c r="M140" i="11"/>
  <c r="L139" i="11"/>
  <c r="M139" i="11"/>
  <c r="L138" i="11"/>
  <c r="M138" i="11"/>
  <c r="L137" i="11"/>
  <c r="M137" i="11"/>
  <c r="L136" i="11"/>
  <c r="M136" i="11"/>
  <c r="L135" i="11"/>
  <c r="M135" i="11"/>
  <c r="L134" i="11"/>
  <c r="M134" i="11"/>
  <c r="AD124" i="11"/>
  <c r="AE124" i="11"/>
  <c r="AD123" i="11"/>
  <c r="AE123" i="11"/>
  <c r="AD122" i="11"/>
  <c r="AE122" i="11"/>
  <c r="AD121" i="11"/>
  <c r="AE121" i="11"/>
  <c r="AD120" i="11"/>
  <c r="AE120" i="11"/>
  <c r="AD119" i="11"/>
  <c r="AE119" i="11"/>
  <c r="AD118" i="11"/>
  <c r="AE118" i="11"/>
  <c r="AD117" i="11"/>
  <c r="AE117" i="11"/>
  <c r="AD116" i="11"/>
  <c r="AE116" i="11"/>
  <c r="AB69" i="11"/>
  <c r="AC115" i="11"/>
  <c r="AD114" i="11"/>
  <c r="AE114" i="11"/>
  <c r="AD113" i="11"/>
  <c r="AE113" i="11"/>
  <c r="AD112" i="11"/>
  <c r="AE112" i="11"/>
  <c r="AD111" i="11"/>
  <c r="AE111" i="11"/>
  <c r="AD110" i="11"/>
  <c r="AE110" i="11"/>
  <c r="AD109" i="11"/>
  <c r="AE109" i="11"/>
  <c r="AD108" i="11"/>
  <c r="AE108" i="11"/>
  <c r="AD107" i="11"/>
  <c r="AE107" i="11"/>
  <c r="AD106" i="11"/>
  <c r="AE106" i="11"/>
  <c r="AD105" i="11"/>
  <c r="AE105" i="11"/>
  <c r="AD104" i="11"/>
  <c r="AE104" i="11"/>
  <c r="AD103" i="11"/>
  <c r="AE103" i="11"/>
  <c r="AD102" i="11"/>
  <c r="AE102" i="11"/>
  <c r="AD101" i="11"/>
  <c r="AE101" i="11"/>
  <c r="AD100" i="11"/>
  <c r="AE100" i="11"/>
  <c r="AD99" i="11"/>
  <c r="AE99" i="11"/>
  <c r="AD98" i="11"/>
  <c r="AE98" i="11"/>
  <c r="AD97" i="11"/>
  <c r="AE97" i="11"/>
  <c r="AD96" i="11"/>
  <c r="AE96" i="11"/>
  <c r="AD95" i="11"/>
  <c r="AE95" i="11"/>
  <c r="AD94" i="11"/>
  <c r="AE94" i="11"/>
  <c r="AD93" i="11"/>
  <c r="AE93" i="11"/>
  <c r="AD92" i="11"/>
  <c r="AE92" i="11"/>
  <c r="AD91" i="11"/>
  <c r="AE91" i="11"/>
  <c r="AD90" i="11"/>
  <c r="AE90" i="11"/>
  <c r="AD89" i="11"/>
  <c r="AE89" i="11"/>
  <c r="AD88" i="11"/>
  <c r="AE88" i="11"/>
  <c r="AD87" i="11"/>
  <c r="AE87" i="11"/>
  <c r="AD86" i="11"/>
  <c r="AE86" i="11"/>
  <c r="AD85" i="11"/>
  <c r="AE85" i="11"/>
  <c r="AD84" i="11"/>
  <c r="AE84" i="11"/>
  <c r="AD83" i="11"/>
  <c r="AE83" i="11"/>
  <c r="AD82" i="11"/>
  <c r="AE82" i="11"/>
  <c r="AD81" i="11"/>
  <c r="AE81" i="11"/>
  <c r="AD79" i="11"/>
  <c r="AE79" i="11"/>
  <c r="AD78" i="11"/>
  <c r="AE78" i="11"/>
  <c r="K78" i="11"/>
  <c r="J69" i="11"/>
  <c r="AD77" i="11"/>
  <c r="AE77" i="11"/>
  <c r="AD76" i="11"/>
  <c r="AE76" i="11"/>
  <c r="AD75" i="11"/>
  <c r="AE75" i="11"/>
  <c r="L75" i="11"/>
  <c r="M75" i="11"/>
  <c r="AD74" i="11"/>
  <c r="AE74" i="11"/>
  <c r="L74" i="11"/>
  <c r="M74" i="11"/>
  <c r="AD73" i="11"/>
  <c r="AE73" i="11"/>
  <c r="AD72" i="11"/>
  <c r="AE72" i="11"/>
  <c r="AD71" i="11"/>
  <c r="AE71" i="11"/>
  <c r="AC70" i="11"/>
  <c r="AC80" i="11"/>
  <c r="L70" i="11"/>
  <c r="M70" i="11"/>
  <c r="I76" i="11"/>
  <c r="I74" i="11"/>
  <c r="I75" i="11"/>
  <c r="I73" i="11"/>
  <c r="I72" i="11"/>
  <c r="I70" i="11"/>
  <c r="I114" i="11"/>
  <c r="I113" i="11"/>
  <c r="I102" i="11"/>
  <c r="I100" i="11"/>
  <c r="I99" i="11"/>
  <c r="I103" i="11"/>
  <c r="I98" i="11"/>
  <c r="I97" i="11"/>
  <c r="I104" i="11"/>
  <c r="I96" i="11"/>
  <c r="I95" i="11"/>
  <c r="I105" i="11"/>
  <c r="I94" i="11"/>
  <c r="I93" i="11"/>
  <c r="I106" i="11"/>
  <c r="I92" i="11"/>
  <c r="I91" i="11"/>
  <c r="I107" i="11"/>
  <c r="I90" i="11"/>
  <c r="I89" i="11"/>
  <c r="I88" i="11"/>
  <c r="I87" i="11"/>
  <c r="I86" i="11"/>
  <c r="I101" i="11"/>
  <c r="I85" i="11"/>
  <c r="I84" i="11"/>
  <c r="I108" i="11"/>
  <c r="I83" i="11"/>
  <c r="I82" i="11"/>
  <c r="I109" i="11"/>
  <c r="I81" i="11"/>
  <c r="I71" i="11"/>
  <c r="I110" i="11"/>
  <c r="I80" i="11"/>
  <c r="I79" i="11"/>
  <c r="I111" i="11"/>
  <c r="I78" i="11"/>
  <c r="I77" i="11"/>
  <c r="I112" i="1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7" i="11"/>
  <c r="K266" i="11"/>
  <c r="K265" i="11"/>
  <c r="K264" i="11"/>
  <c r="K263" i="11"/>
  <c r="K262" i="11"/>
  <c r="K261" i="11"/>
  <c r="K260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8" i="11"/>
  <c r="K167" i="11"/>
  <c r="K165" i="11"/>
  <c r="K164" i="11"/>
  <c r="K162" i="11"/>
  <c r="K160" i="11"/>
  <c r="K157" i="11"/>
  <c r="K156" i="11"/>
  <c r="K155" i="11"/>
  <c r="K153" i="11"/>
  <c r="K151" i="11"/>
  <c r="K150" i="11"/>
  <c r="K149" i="11"/>
  <c r="K147" i="11"/>
  <c r="K146" i="11"/>
  <c r="K144" i="11"/>
  <c r="K123" i="11"/>
  <c r="K122" i="11"/>
  <c r="K102" i="11"/>
  <c r="K99" i="11"/>
  <c r="K98" i="11"/>
  <c r="K95" i="11"/>
  <c r="K89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0" i="11"/>
  <c r="K97" i="11"/>
  <c r="K96" i="11"/>
  <c r="K91" i="11"/>
  <c r="K88" i="11"/>
  <c r="K82" i="11"/>
  <c r="K81" i="11"/>
  <c r="K79" i="11"/>
  <c r="K314" i="11"/>
  <c r="K313" i="11"/>
  <c r="K312" i="11"/>
  <c r="K311" i="11"/>
  <c r="K310" i="11"/>
  <c r="K309" i="11"/>
  <c r="K308" i="11"/>
  <c r="K307" i="11"/>
  <c r="K306" i="11"/>
  <c r="K305" i="1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K283" i="11"/>
  <c r="K282" i="11"/>
  <c r="K169" i="11"/>
  <c r="K166" i="11"/>
  <c r="K163" i="11"/>
  <c r="K161" i="11"/>
  <c r="K159" i="11"/>
  <c r="K158" i="11"/>
  <c r="K154" i="11"/>
  <c r="K152" i="11"/>
  <c r="K148" i="11"/>
  <c r="K145" i="11"/>
  <c r="K143" i="11"/>
  <c r="K124" i="11"/>
  <c r="K121" i="11"/>
  <c r="K101" i="11"/>
  <c r="K94" i="11"/>
  <c r="K93" i="11"/>
  <c r="K92" i="11"/>
  <c r="K87" i="11"/>
  <c r="K86" i="11"/>
  <c r="K85" i="11"/>
  <c r="K84" i="11"/>
  <c r="K83" i="11"/>
  <c r="K90" i="11"/>
  <c r="K80" i="11"/>
  <c r="K48" i="4"/>
  <c r="K35" i="4"/>
  <c r="K39" i="4"/>
  <c r="K41" i="4"/>
  <c r="K43" i="4"/>
  <c r="K45" i="4"/>
  <c r="K46" i="4"/>
  <c r="K47" i="4"/>
  <c r="K50" i="4"/>
  <c r="K60" i="4"/>
  <c r="K31" i="4"/>
  <c r="K32" i="4"/>
  <c r="K33" i="4"/>
  <c r="K34" i="4"/>
  <c r="K36" i="4"/>
  <c r="K37" i="4"/>
  <c r="K38" i="4"/>
  <c r="K40" i="4"/>
  <c r="K42" i="4"/>
  <c r="K49" i="4"/>
  <c r="K59" i="4"/>
  <c r="K13" i="4"/>
  <c r="L21" i="4" s="1"/>
  <c r="N21" i="4" s="1"/>
  <c r="L19" i="4" l="1"/>
  <c r="M19" i="4" s="1"/>
  <c r="O19" i="4" s="1"/>
  <c r="M21" i="4"/>
  <c r="O21" i="4" s="1"/>
  <c r="L17" i="4"/>
  <c r="N17" i="4" s="1"/>
  <c r="J10" i="4"/>
  <c r="M79" i="23"/>
  <c r="O79" i="23" s="1"/>
  <c r="N79" i="23"/>
  <c r="M78" i="23"/>
  <c r="O78" i="23" s="1"/>
  <c r="N78" i="23"/>
  <c r="N77" i="23"/>
  <c r="M77" i="23"/>
  <c r="O77" i="23" s="1"/>
  <c r="M76" i="23"/>
  <c r="O76" i="23" s="1"/>
  <c r="N76" i="23"/>
  <c r="M75" i="23"/>
  <c r="O75" i="23" s="1"/>
  <c r="N75" i="23"/>
  <c r="N74" i="23"/>
  <c r="M74" i="23"/>
  <c r="O74" i="23" s="1"/>
  <c r="M73" i="23"/>
  <c r="O73" i="23" s="1"/>
  <c r="N73" i="23"/>
  <c r="M72" i="23"/>
  <c r="O72" i="23" s="1"/>
  <c r="N72" i="23"/>
  <c r="N71" i="23"/>
  <c r="M71" i="23"/>
  <c r="O71" i="23" s="1"/>
  <c r="N70" i="23"/>
  <c r="M70" i="23"/>
  <c r="O70" i="23" s="1"/>
  <c r="M69" i="23"/>
  <c r="O69" i="23" s="1"/>
  <c r="N69" i="23"/>
  <c r="M68" i="23"/>
  <c r="O68" i="23" s="1"/>
  <c r="N68" i="23"/>
  <c r="N67" i="23"/>
  <c r="M67" i="23"/>
  <c r="O67" i="23" s="1"/>
  <c r="M66" i="23"/>
  <c r="O66" i="23" s="1"/>
  <c r="N66" i="23"/>
  <c r="N65" i="23"/>
  <c r="M65" i="23"/>
  <c r="O65" i="23" s="1"/>
  <c r="M64" i="23"/>
  <c r="O64" i="23" s="1"/>
  <c r="N64" i="23"/>
  <c r="M63" i="23"/>
  <c r="O63" i="23" s="1"/>
  <c r="N63" i="23"/>
  <c r="M62" i="23"/>
  <c r="O62" i="23" s="1"/>
  <c r="N62" i="23"/>
  <c r="M61" i="23"/>
  <c r="O61" i="23" s="1"/>
  <c r="N61" i="23"/>
  <c r="M60" i="23"/>
  <c r="O60" i="23" s="1"/>
  <c r="N60" i="23"/>
  <c r="N59" i="23"/>
  <c r="M59" i="23"/>
  <c r="O59" i="23" s="1"/>
  <c r="M58" i="23"/>
  <c r="O58" i="23" s="1"/>
  <c r="N58" i="23"/>
  <c r="N57" i="23"/>
  <c r="M57" i="23"/>
  <c r="O57" i="23" s="1"/>
  <c r="M56" i="23"/>
  <c r="O56" i="23" s="1"/>
  <c r="N56" i="23"/>
  <c r="M55" i="23"/>
  <c r="O55" i="23" s="1"/>
  <c r="N55" i="23"/>
  <c r="M54" i="23"/>
  <c r="O54" i="23" s="1"/>
  <c r="N54" i="23"/>
  <c r="M53" i="23"/>
  <c r="O53" i="23" s="1"/>
  <c r="N53" i="23"/>
  <c r="M52" i="23"/>
  <c r="O52" i="23" s="1"/>
  <c r="N52" i="23"/>
  <c r="M51" i="23"/>
  <c r="O51" i="23" s="1"/>
  <c r="N51" i="23"/>
  <c r="M50" i="23"/>
  <c r="O50" i="23" s="1"/>
  <c r="N50" i="23"/>
  <c r="M49" i="23"/>
  <c r="O49" i="23" s="1"/>
  <c r="N49" i="23"/>
  <c r="M48" i="23"/>
  <c r="O48" i="23" s="1"/>
  <c r="N48" i="23"/>
  <c r="M47" i="23"/>
  <c r="O47" i="23" s="1"/>
  <c r="N47" i="23"/>
  <c r="M46" i="23"/>
  <c r="O46" i="23" s="1"/>
  <c r="N46" i="23"/>
  <c r="M45" i="23"/>
  <c r="O45" i="23" s="1"/>
  <c r="N45" i="23"/>
  <c r="M44" i="23"/>
  <c r="O44" i="23" s="1"/>
  <c r="N44" i="23"/>
  <c r="M43" i="23"/>
  <c r="O43" i="23" s="1"/>
  <c r="N43" i="23"/>
  <c r="N42" i="23"/>
  <c r="M42" i="23"/>
  <c r="O42" i="23" s="1"/>
  <c r="M41" i="23"/>
  <c r="O41" i="23" s="1"/>
  <c r="N41" i="23"/>
  <c r="M40" i="23"/>
  <c r="O40" i="23" s="1"/>
  <c r="N40" i="23"/>
  <c r="M39" i="23"/>
  <c r="O39" i="23" s="1"/>
  <c r="N39" i="23"/>
  <c r="M38" i="23"/>
  <c r="O38" i="23" s="1"/>
  <c r="N38" i="23"/>
  <c r="N37" i="23"/>
  <c r="M37" i="23"/>
  <c r="O37" i="23" s="1"/>
  <c r="N36" i="23"/>
  <c r="M36" i="23"/>
  <c r="O36" i="23" s="1"/>
  <c r="M35" i="23"/>
  <c r="O35" i="23" s="1"/>
  <c r="N35" i="23"/>
  <c r="N34" i="23"/>
  <c r="M34" i="23"/>
  <c r="O34" i="23" s="1"/>
  <c r="M33" i="23"/>
  <c r="O33" i="23" s="1"/>
  <c r="N33" i="23"/>
  <c r="N32" i="23"/>
  <c r="M32" i="23"/>
  <c r="O32" i="23" s="1"/>
  <c r="N31" i="23"/>
  <c r="M31" i="23"/>
  <c r="O31" i="23" s="1"/>
  <c r="N30" i="23"/>
  <c r="M30" i="23"/>
  <c r="O30" i="23" s="1"/>
  <c r="N29" i="23"/>
  <c r="M29" i="23"/>
  <c r="O29" i="23" s="1"/>
  <c r="N28" i="23"/>
  <c r="M28" i="23"/>
  <c r="O28" i="23" s="1"/>
  <c r="M27" i="23"/>
  <c r="O27" i="23" s="1"/>
  <c r="N27" i="23"/>
  <c r="N26" i="23"/>
  <c r="M26" i="23"/>
  <c r="O26" i="23" s="1"/>
  <c r="M25" i="23"/>
  <c r="O25" i="23" s="1"/>
  <c r="N25" i="23"/>
  <c r="M24" i="23"/>
  <c r="O24" i="23" s="1"/>
  <c r="N24" i="23"/>
  <c r="M23" i="23"/>
  <c r="O23" i="23" s="1"/>
  <c r="N23" i="23"/>
  <c r="M22" i="23"/>
  <c r="O22" i="23" s="1"/>
  <c r="N22" i="23"/>
  <c r="N21" i="23"/>
  <c r="M21" i="23"/>
  <c r="O21" i="23" s="1"/>
  <c r="M20" i="23"/>
  <c r="O20" i="23" s="1"/>
  <c r="N20" i="23"/>
  <c r="N19" i="23"/>
  <c r="M19" i="23"/>
  <c r="O19" i="23" s="1"/>
  <c r="M18" i="23"/>
  <c r="O18" i="23" s="1"/>
  <c r="N18" i="23"/>
  <c r="M17" i="23"/>
  <c r="O17" i="23" s="1"/>
  <c r="N17" i="23"/>
  <c r="M16" i="23"/>
  <c r="O16" i="23" s="1"/>
  <c r="N16" i="23"/>
  <c r="M15" i="23"/>
  <c r="O15" i="23" s="1"/>
  <c r="N15" i="23"/>
  <c r="M14" i="23"/>
  <c r="O14" i="23" s="1"/>
  <c r="N14" i="23"/>
  <c r="M13" i="23"/>
  <c r="O13" i="23" s="1"/>
  <c r="N13" i="23"/>
  <c r="M12" i="23"/>
  <c r="O12" i="23" s="1"/>
  <c r="N12" i="23"/>
  <c r="M11" i="23"/>
  <c r="N11" i="23"/>
  <c r="J10" i="23"/>
  <c r="M79" i="21"/>
  <c r="O79" i="21" s="1"/>
  <c r="N79" i="21"/>
  <c r="M78" i="21"/>
  <c r="O78" i="21" s="1"/>
  <c r="N78" i="21"/>
  <c r="M77" i="21"/>
  <c r="O77" i="21" s="1"/>
  <c r="N77" i="21"/>
  <c r="M76" i="21"/>
  <c r="O76" i="21" s="1"/>
  <c r="N76" i="21"/>
  <c r="M75" i="21"/>
  <c r="O75" i="21" s="1"/>
  <c r="N75" i="21"/>
  <c r="M74" i="21"/>
  <c r="O74" i="21" s="1"/>
  <c r="N74" i="21"/>
  <c r="M73" i="21"/>
  <c r="O73" i="21" s="1"/>
  <c r="N73" i="21"/>
  <c r="M72" i="21"/>
  <c r="O72" i="21" s="1"/>
  <c r="N72" i="21"/>
  <c r="M71" i="21"/>
  <c r="O71" i="21" s="1"/>
  <c r="N71" i="21"/>
  <c r="M70" i="21"/>
  <c r="O70" i="21" s="1"/>
  <c r="N70" i="21"/>
  <c r="N69" i="21"/>
  <c r="M69" i="21"/>
  <c r="O69" i="21" s="1"/>
  <c r="N68" i="21"/>
  <c r="M68" i="21"/>
  <c r="O68" i="21" s="1"/>
  <c r="M67" i="21"/>
  <c r="O67" i="21" s="1"/>
  <c r="N67" i="21"/>
  <c r="N66" i="21"/>
  <c r="M66" i="21"/>
  <c r="O66" i="21" s="1"/>
  <c r="M65" i="21"/>
  <c r="O65" i="21" s="1"/>
  <c r="N65" i="21"/>
  <c r="M64" i="21"/>
  <c r="O64" i="21" s="1"/>
  <c r="N64" i="21"/>
  <c r="M63" i="21"/>
  <c r="O63" i="21" s="1"/>
  <c r="N63" i="21"/>
  <c r="M62" i="21"/>
  <c r="O62" i="21" s="1"/>
  <c r="N62" i="21"/>
  <c r="M61" i="21"/>
  <c r="O61" i="21" s="1"/>
  <c r="N61" i="21"/>
  <c r="M60" i="21"/>
  <c r="O60" i="21" s="1"/>
  <c r="N60" i="21"/>
  <c r="M59" i="21"/>
  <c r="O59" i="21" s="1"/>
  <c r="N59" i="21"/>
  <c r="M58" i="21"/>
  <c r="O58" i="21" s="1"/>
  <c r="N58" i="21"/>
  <c r="M57" i="21"/>
  <c r="O57" i="21" s="1"/>
  <c r="N57" i="21"/>
  <c r="M56" i="21"/>
  <c r="O56" i="21" s="1"/>
  <c r="N56" i="21"/>
  <c r="M55" i="21"/>
  <c r="O55" i="21" s="1"/>
  <c r="N55" i="21"/>
  <c r="M54" i="21"/>
  <c r="O54" i="21" s="1"/>
  <c r="N54" i="21"/>
  <c r="M53" i="21"/>
  <c r="O53" i="21" s="1"/>
  <c r="N53" i="21"/>
  <c r="M52" i="21"/>
  <c r="O52" i="21" s="1"/>
  <c r="N52" i="21"/>
  <c r="N51" i="21"/>
  <c r="M51" i="21"/>
  <c r="O51" i="21" s="1"/>
  <c r="M50" i="21"/>
  <c r="O50" i="21" s="1"/>
  <c r="N50" i="21"/>
  <c r="M49" i="21"/>
  <c r="O49" i="21" s="1"/>
  <c r="N49" i="21"/>
  <c r="N48" i="21"/>
  <c r="M48" i="21"/>
  <c r="O48" i="21" s="1"/>
  <c r="M47" i="21"/>
  <c r="O47" i="21" s="1"/>
  <c r="N47" i="21"/>
  <c r="M46" i="21"/>
  <c r="O46" i="21" s="1"/>
  <c r="N46" i="21"/>
  <c r="N45" i="21"/>
  <c r="M45" i="21"/>
  <c r="O45" i="21" s="1"/>
  <c r="N44" i="21"/>
  <c r="M44" i="21"/>
  <c r="O44" i="21" s="1"/>
  <c r="M43" i="21"/>
  <c r="O43" i="21" s="1"/>
  <c r="N43" i="21"/>
  <c r="M42" i="21"/>
  <c r="O42" i="21" s="1"/>
  <c r="N42" i="21"/>
  <c r="M41" i="21"/>
  <c r="O41" i="21" s="1"/>
  <c r="N41" i="21"/>
  <c r="N40" i="21"/>
  <c r="M40" i="21"/>
  <c r="O40" i="21" s="1"/>
  <c r="N39" i="21"/>
  <c r="M39" i="21"/>
  <c r="O39" i="21" s="1"/>
  <c r="M38" i="21"/>
  <c r="O38" i="21" s="1"/>
  <c r="N38" i="21"/>
  <c r="M37" i="21"/>
  <c r="O37" i="21" s="1"/>
  <c r="N37" i="21"/>
  <c r="N36" i="21"/>
  <c r="M36" i="21"/>
  <c r="O36" i="21" s="1"/>
  <c r="N35" i="21"/>
  <c r="M35" i="21"/>
  <c r="O35" i="21" s="1"/>
  <c r="N34" i="21"/>
  <c r="M34" i="21"/>
  <c r="O34" i="21" s="1"/>
  <c r="N33" i="21"/>
  <c r="M33" i="21"/>
  <c r="O33" i="21" s="1"/>
  <c r="M32" i="21"/>
  <c r="O32" i="21" s="1"/>
  <c r="N32" i="21"/>
  <c r="M31" i="21"/>
  <c r="O31" i="21" s="1"/>
  <c r="N31" i="21"/>
  <c r="N30" i="21"/>
  <c r="M30" i="21"/>
  <c r="O30" i="21" s="1"/>
  <c r="N29" i="21"/>
  <c r="M29" i="21"/>
  <c r="O29" i="21" s="1"/>
  <c r="N28" i="21"/>
  <c r="M28" i="21"/>
  <c r="O28" i="21" s="1"/>
  <c r="N27" i="21"/>
  <c r="M27" i="21"/>
  <c r="O27" i="21" s="1"/>
  <c r="M26" i="21"/>
  <c r="O26" i="21" s="1"/>
  <c r="N26" i="21"/>
  <c r="M25" i="21"/>
  <c r="O25" i="21" s="1"/>
  <c r="N25" i="21"/>
  <c r="N24" i="21"/>
  <c r="M24" i="21"/>
  <c r="O24" i="21" s="1"/>
  <c r="N23" i="21"/>
  <c r="M23" i="21"/>
  <c r="O23" i="21" s="1"/>
  <c r="N22" i="21"/>
  <c r="M22" i="21"/>
  <c r="O22" i="21" s="1"/>
  <c r="N21" i="21"/>
  <c r="M21" i="21"/>
  <c r="O21" i="21" s="1"/>
  <c r="M20" i="21"/>
  <c r="O20" i="21" s="1"/>
  <c r="N20" i="21"/>
  <c r="M19" i="21"/>
  <c r="O19" i="21" s="1"/>
  <c r="N19" i="21"/>
  <c r="M18" i="21"/>
  <c r="O18" i="21" s="1"/>
  <c r="N18" i="21"/>
  <c r="M17" i="21"/>
  <c r="O17" i="21" s="1"/>
  <c r="N17" i="21"/>
  <c r="N16" i="21"/>
  <c r="M16" i="21"/>
  <c r="O16" i="21" s="1"/>
  <c r="M15" i="21"/>
  <c r="O15" i="21" s="1"/>
  <c r="N15" i="21"/>
  <c r="M14" i="21"/>
  <c r="O14" i="21" s="1"/>
  <c r="N14" i="21"/>
  <c r="M13" i="21"/>
  <c r="O13" i="21" s="1"/>
  <c r="N13" i="21"/>
  <c r="M12" i="21"/>
  <c r="O12" i="21" s="1"/>
  <c r="N12" i="21"/>
  <c r="M11" i="21"/>
  <c r="N11" i="21"/>
  <c r="J10" i="21"/>
  <c r="M79" i="20"/>
  <c r="O79" i="20" s="1"/>
  <c r="N79" i="20"/>
  <c r="M78" i="20"/>
  <c r="O78" i="20" s="1"/>
  <c r="N78" i="20"/>
  <c r="M77" i="20"/>
  <c r="O77" i="20" s="1"/>
  <c r="N77" i="20"/>
  <c r="M76" i="20"/>
  <c r="O76" i="20" s="1"/>
  <c r="N76" i="20"/>
  <c r="M75" i="20"/>
  <c r="O75" i="20" s="1"/>
  <c r="N75" i="20"/>
  <c r="M74" i="20"/>
  <c r="O74" i="20" s="1"/>
  <c r="N74" i="20"/>
  <c r="M73" i="20"/>
  <c r="O73" i="20" s="1"/>
  <c r="N73" i="20"/>
  <c r="M72" i="20"/>
  <c r="O72" i="20" s="1"/>
  <c r="N72" i="20"/>
  <c r="M71" i="20"/>
  <c r="O71" i="20" s="1"/>
  <c r="N71" i="20"/>
  <c r="M70" i="20"/>
  <c r="O70" i="20" s="1"/>
  <c r="N70" i="20"/>
  <c r="M69" i="20"/>
  <c r="O69" i="20" s="1"/>
  <c r="N69" i="20"/>
  <c r="M68" i="20"/>
  <c r="O68" i="20" s="1"/>
  <c r="N68" i="20"/>
  <c r="M67" i="20"/>
  <c r="O67" i="20" s="1"/>
  <c r="N67" i="20"/>
  <c r="M66" i="20"/>
  <c r="O66" i="20" s="1"/>
  <c r="N66" i="20"/>
  <c r="M65" i="20"/>
  <c r="O65" i="20" s="1"/>
  <c r="N65" i="20"/>
  <c r="M64" i="20"/>
  <c r="O64" i="20" s="1"/>
  <c r="N64" i="20"/>
  <c r="N63" i="20"/>
  <c r="M63" i="20"/>
  <c r="O63" i="20" s="1"/>
  <c r="M62" i="20"/>
  <c r="O62" i="20" s="1"/>
  <c r="N62" i="20"/>
  <c r="M61" i="20"/>
  <c r="O61" i="20" s="1"/>
  <c r="N61" i="20"/>
  <c r="M60" i="20"/>
  <c r="O60" i="20" s="1"/>
  <c r="N60" i="20"/>
  <c r="M59" i="20"/>
  <c r="O59" i="20" s="1"/>
  <c r="N59" i="20"/>
  <c r="M58" i="20"/>
  <c r="O58" i="20" s="1"/>
  <c r="N58" i="20"/>
  <c r="M57" i="20"/>
  <c r="O57" i="20" s="1"/>
  <c r="N57" i="20"/>
  <c r="M56" i="20"/>
  <c r="O56" i="20" s="1"/>
  <c r="N56" i="20"/>
  <c r="M55" i="20"/>
  <c r="O55" i="20" s="1"/>
  <c r="N55" i="20"/>
  <c r="M54" i="20"/>
  <c r="O54" i="20" s="1"/>
  <c r="N54" i="20"/>
  <c r="M53" i="20"/>
  <c r="O53" i="20" s="1"/>
  <c r="N53" i="20"/>
  <c r="M52" i="20"/>
  <c r="O52" i="20" s="1"/>
  <c r="N52" i="20"/>
  <c r="M51" i="20"/>
  <c r="O51" i="20" s="1"/>
  <c r="N51" i="20"/>
  <c r="M50" i="20"/>
  <c r="O50" i="20" s="1"/>
  <c r="N50" i="20"/>
  <c r="M49" i="20"/>
  <c r="O49" i="20" s="1"/>
  <c r="N49" i="20"/>
  <c r="N48" i="20"/>
  <c r="M48" i="20"/>
  <c r="O48" i="20" s="1"/>
  <c r="N47" i="20"/>
  <c r="M47" i="20"/>
  <c r="O47" i="20" s="1"/>
  <c r="M46" i="20"/>
  <c r="O46" i="20" s="1"/>
  <c r="N46" i="20"/>
  <c r="M45" i="20"/>
  <c r="O45" i="20" s="1"/>
  <c r="N45" i="20"/>
  <c r="M44" i="20"/>
  <c r="O44" i="20" s="1"/>
  <c r="N44" i="20"/>
  <c r="M43" i="20"/>
  <c r="O43" i="20" s="1"/>
  <c r="N43" i="20"/>
  <c r="N42" i="20"/>
  <c r="M42" i="20"/>
  <c r="O42" i="20" s="1"/>
  <c r="M41" i="20"/>
  <c r="O41" i="20" s="1"/>
  <c r="N41" i="20"/>
  <c r="M40" i="20"/>
  <c r="O40" i="20" s="1"/>
  <c r="N40" i="20"/>
  <c r="M39" i="20"/>
  <c r="O39" i="20" s="1"/>
  <c r="N39" i="20"/>
  <c r="M38" i="20"/>
  <c r="O38" i="20" s="1"/>
  <c r="N38" i="20"/>
  <c r="M37" i="20"/>
  <c r="O37" i="20" s="1"/>
  <c r="N37" i="20"/>
  <c r="M36" i="20"/>
  <c r="O36" i="20" s="1"/>
  <c r="N36" i="20"/>
  <c r="M35" i="20"/>
  <c r="O35" i="20" s="1"/>
  <c r="N35" i="20"/>
  <c r="N34" i="20"/>
  <c r="M34" i="20"/>
  <c r="O34" i="20" s="1"/>
  <c r="N33" i="20"/>
  <c r="M33" i="20"/>
  <c r="O33" i="20" s="1"/>
  <c r="M32" i="20"/>
  <c r="O32" i="20" s="1"/>
  <c r="N32" i="20"/>
  <c r="M31" i="20"/>
  <c r="O31" i="20" s="1"/>
  <c r="N31" i="20"/>
  <c r="N30" i="20"/>
  <c r="M30" i="20"/>
  <c r="O30" i="20" s="1"/>
  <c r="N29" i="20"/>
  <c r="M29" i="20"/>
  <c r="O29" i="20" s="1"/>
  <c r="M28" i="20"/>
  <c r="O28" i="20" s="1"/>
  <c r="N28" i="20"/>
  <c r="M27" i="20"/>
  <c r="O27" i="20" s="1"/>
  <c r="N27" i="20"/>
  <c r="M26" i="20"/>
  <c r="O26" i="20" s="1"/>
  <c r="N26" i="20"/>
  <c r="N25" i="20"/>
  <c r="M25" i="20"/>
  <c r="O25" i="20" s="1"/>
  <c r="N24" i="20"/>
  <c r="M24" i="20"/>
  <c r="O24" i="20" s="1"/>
  <c r="N23" i="20"/>
  <c r="M23" i="20"/>
  <c r="O23" i="20" s="1"/>
  <c r="M22" i="20"/>
  <c r="O22" i="20" s="1"/>
  <c r="N22" i="20"/>
  <c r="N21" i="20"/>
  <c r="M21" i="20"/>
  <c r="O21" i="20" s="1"/>
  <c r="N20" i="20"/>
  <c r="M20" i="20"/>
  <c r="O20" i="20" s="1"/>
  <c r="M19" i="20"/>
  <c r="O19" i="20" s="1"/>
  <c r="N19" i="20"/>
  <c r="N18" i="20"/>
  <c r="M18" i="20"/>
  <c r="O18" i="20" s="1"/>
  <c r="M17" i="20"/>
  <c r="O17" i="20" s="1"/>
  <c r="N17" i="20"/>
  <c r="N16" i="20"/>
  <c r="M16" i="20"/>
  <c r="O16" i="20" s="1"/>
  <c r="M15" i="20"/>
  <c r="O15" i="20" s="1"/>
  <c r="N15" i="20"/>
  <c r="M14" i="20"/>
  <c r="O14" i="20" s="1"/>
  <c r="N14" i="20"/>
  <c r="M13" i="20"/>
  <c r="O13" i="20" s="1"/>
  <c r="N13" i="20"/>
  <c r="M12" i="20"/>
  <c r="O12" i="20" s="1"/>
  <c r="N12" i="20"/>
  <c r="N11" i="20"/>
  <c r="M11" i="20"/>
  <c r="J11" i="20"/>
  <c r="J13" i="20"/>
  <c r="J14" i="20"/>
  <c r="J31" i="20"/>
  <c r="J29" i="20"/>
  <c r="J42" i="20"/>
  <c r="J55" i="20"/>
  <c r="J54" i="20"/>
  <c r="J58" i="20"/>
  <c r="J64" i="20"/>
  <c r="J65" i="20"/>
  <c r="J71" i="20"/>
  <c r="J12" i="20"/>
  <c r="J22" i="20"/>
  <c r="J27" i="20"/>
  <c r="J28" i="20"/>
  <c r="J35" i="20"/>
  <c r="J39" i="20"/>
  <c r="J40" i="20"/>
  <c r="J46" i="20"/>
  <c r="J47" i="20"/>
  <c r="J49" i="20"/>
  <c r="J53" i="20"/>
  <c r="J59" i="20"/>
  <c r="J62" i="20"/>
  <c r="J63" i="20"/>
  <c r="J66" i="20"/>
  <c r="J69" i="20"/>
  <c r="J75" i="20"/>
  <c r="J76" i="20"/>
  <c r="J77" i="20"/>
  <c r="J78" i="20"/>
  <c r="J79" i="20"/>
  <c r="I1" i="20"/>
  <c r="J18" i="20"/>
  <c r="J20" i="20"/>
  <c r="J21" i="20"/>
  <c r="J32" i="20"/>
  <c r="J33" i="20"/>
  <c r="J36" i="20"/>
  <c r="J43" i="20"/>
  <c r="J44" i="20"/>
  <c r="J45" i="20"/>
  <c r="J51" i="20"/>
  <c r="J52" i="20"/>
  <c r="J60" i="20"/>
  <c r="J61" i="20"/>
  <c r="J68" i="20"/>
  <c r="J70" i="20"/>
  <c r="J72" i="20"/>
  <c r="J73" i="20"/>
  <c r="J74" i="20"/>
  <c r="J24" i="20"/>
  <c r="J25" i="20"/>
  <c r="J37" i="20"/>
  <c r="J19" i="20"/>
  <c r="J15" i="20"/>
  <c r="J16" i="20"/>
  <c r="J26" i="20"/>
  <c r="J30" i="20"/>
  <c r="J38" i="20"/>
  <c r="J50" i="20"/>
  <c r="J57" i="20"/>
  <c r="J67" i="20"/>
  <c r="J34" i="20"/>
  <c r="J41" i="20"/>
  <c r="J48" i="20"/>
  <c r="J56" i="20"/>
  <c r="J17" i="20"/>
  <c r="J23" i="20"/>
  <c r="K10" i="4"/>
  <c r="L13" i="4"/>
  <c r="M13" i="4" s="1"/>
  <c r="O13" i="4" s="1"/>
  <c r="L11" i="4"/>
  <c r="M11" i="4" s="1"/>
  <c r="O11" i="4" s="1"/>
  <c r="L68" i="4"/>
  <c r="L28" i="4"/>
  <c r="L62" i="4"/>
  <c r="L12" i="4"/>
  <c r="L15" i="4"/>
  <c r="M15" i="4" s="1"/>
  <c r="O15" i="4" s="1"/>
  <c r="L65" i="4"/>
  <c r="L51" i="4"/>
  <c r="L52" i="4"/>
  <c r="L53" i="4"/>
  <c r="L54" i="4"/>
  <c r="L72" i="4"/>
  <c r="L25" i="4"/>
  <c r="M25" i="4" s="1"/>
  <c r="O25" i="4" s="1"/>
  <c r="L78" i="4"/>
  <c r="L14" i="4"/>
  <c r="M14" i="4" s="1"/>
  <c r="O14" i="4" s="1"/>
  <c r="L66" i="4"/>
  <c r="L74" i="4"/>
  <c r="L27" i="4"/>
  <c r="M27" i="4" s="1"/>
  <c r="O27" i="4" s="1"/>
  <c r="L61" i="4"/>
  <c r="L75" i="4"/>
  <c r="L18" i="4"/>
  <c r="M18" i="4" s="1"/>
  <c r="O18" i="4" s="1"/>
  <c r="L56" i="4"/>
  <c r="L77" i="4"/>
  <c r="L30" i="4"/>
  <c r="L64" i="4"/>
  <c r="L76" i="4"/>
  <c r="L82" i="4"/>
  <c r="L29" i="4"/>
  <c r="L63" i="4"/>
  <c r="L73" i="4"/>
  <c r="L24" i="4"/>
  <c r="M24" i="4" s="1"/>
  <c r="O24" i="4" s="1"/>
  <c r="L57" i="4"/>
  <c r="L79" i="4"/>
  <c r="L22" i="4"/>
  <c r="M22" i="4" s="1"/>
  <c r="O22" i="4" s="1"/>
  <c r="L69" i="4"/>
  <c r="L80" i="4"/>
  <c r="L26" i="4"/>
  <c r="M26" i="4" s="1"/>
  <c r="O26" i="4" s="1"/>
  <c r="L58" i="4"/>
  <c r="L71" i="4"/>
  <c r="L81" i="4"/>
  <c r="L44" i="4"/>
  <c r="L70" i="4"/>
  <c r="L20" i="4"/>
  <c r="M20" i="4" s="1"/>
  <c r="O20" i="4" s="1"/>
  <c r="L55" i="4"/>
  <c r="L16" i="4"/>
  <c r="M16" i="4" s="1"/>
  <c r="O16" i="4" s="1"/>
  <c r="L23" i="4"/>
  <c r="M23" i="4" s="1"/>
  <c r="O23" i="4" s="1"/>
  <c r="L67" i="4"/>
  <c r="L35" i="4"/>
  <c r="L41" i="4"/>
  <c r="L43" i="4"/>
  <c r="L47" i="4"/>
  <c r="L50" i="4"/>
  <c r="L31" i="4"/>
  <c r="N31" i="4" s="1"/>
  <c r="L36" i="4"/>
  <c r="L38" i="4"/>
  <c r="L42" i="4"/>
  <c r="L59" i="4"/>
  <c r="L48" i="4"/>
  <c r="L39" i="4"/>
  <c r="L45" i="4"/>
  <c r="L46" i="4"/>
  <c r="L60" i="4"/>
  <c r="L32" i="4"/>
  <c r="L33" i="4"/>
  <c r="L34" i="4"/>
  <c r="L37" i="4"/>
  <c r="L40" i="4"/>
  <c r="L49" i="4"/>
  <c r="L281" i="11"/>
  <c r="M281" i="11"/>
  <c r="L203" i="11"/>
  <c r="M203" i="11"/>
  <c r="L200" i="11"/>
  <c r="M200" i="11"/>
  <c r="L198" i="11"/>
  <c r="M198" i="11"/>
  <c r="M201" i="11"/>
  <c r="L201" i="11"/>
  <c r="M202" i="11"/>
  <c r="L202" i="11"/>
  <c r="L199" i="11"/>
  <c r="M199" i="11"/>
  <c r="M196" i="11"/>
  <c r="L196" i="11"/>
  <c r="L197" i="11"/>
  <c r="M197" i="11"/>
  <c r="M73" i="11"/>
  <c r="L73" i="11"/>
  <c r="L72" i="11"/>
  <c r="M72" i="11"/>
  <c r="M71" i="11"/>
  <c r="L71" i="11"/>
  <c r="L77" i="11"/>
  <c r="M77" i="11"/>
  <c r="L76" i="11"/>
  <c r="M76" i="11"/>
  <c r="K14" i="11"/>
  <c r="K51" i="11"/>
  <c r="K49" i="11"/>
  <c r="K37" i="11"/>
  <c r="K56" i="11"/>
  <c r="K48" i="11"/>
  <c r="K41" i="11"/>
  <c r="K33" i="11"/>
  <c r="K31" i="11"/>
  <c r="K29" i="11"/>
  <c r="K27" i="11"/>
  <c r="K25" i="11"/>
  <c r="K23" i="11"/>
  <c r="K21" i="11"/>
  <c r="K20" i="11"/>
  <c r="K17" i="11"/>
  <c r="K15" i="11"/>
  <c r="K10" i="11"/>
  <c r="K7" i="11"/>
  <c r="K55" i="11"/>
  <c r="K44" i="11"/>
  <c r="K58" i="11"/>
  <c r="K47" i="11"/>
  <c r="K39" i="11"/>
  <c r="K34" i="11"/>
  <c r="J6" i="11"/>
  <c r="K54" i="11"/>
  <c r="K42" i="11"/>
  <c r="K60" i="11"/>
  <c r="K53" i="11"/>
  <c r="K45" i="11"/>
  <c r="K38" i="11"/>
  <c r="K32" i="11"/>
  <c r="K30" i="11"/>
  <c r="K28" i="11"/>
  <c r="K26" i="11"/>
  <c r="K24" i="11"/>
  <c r="K22" i="11"/>
  <c r="K19" i="11"/>
  <c r="K18" i="11"/>
  <c r="K13" i="11"/>
  <c r="K11" i="11"/>
  <c r="K9" i="11"/>
  <c r="K57" i="11"/>
  <c r="K50" i="11"/>
  <c r="K40" i="11"/>
  <c r="K52" i="11"/>
  <c r="K36" i="11"/>
  <c r="K35" i="11"/>
  <c r="K59" i="11"/>
  <c r="K16" i="11"/>
  <c r="K8" i="11"/>
  <c r="K46" i="11"/>
  <c r="K43" i="11"/>
  <c r="K12" i="11"/>
  <c r="L35" i="11"/>
  <c r="M35" i="11"/>
  <c r="L268" i="11"/>
  <c r="M268" i="11"/>
  <c r="L204" i="11"/>
  <c r="M204" i="11"/>
  <c r="L142" i="11"/>
  <c r="M142" i="11"/>
  <c r="AD115" i="11"/>
  <c r="AE115" i="11"/>
  <c r="L78" i="11"/>
  <c r="M78" i="11"/>
  <c r="AD70" i="11"/>
  <c r="AE70" i="11"/>
  <c r="AD80" i="11"/>
  <c r="AE80" i="11"/>
  <c r="L14" i="11"/>
  <c r="M14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188" i="11"/>
  <c r="L188" i="11"/>
  <c r="M187" i="11"/>
  <c r="L187" i="11"/>
  <c r="L186" i="11"/>
  <c r="M186" i="11"/>
  <c r="M185" i="11"/>
  <c r="L185" i="11"/>
  <c r="M184" i="11"/>
  <c r="L184" i="11"/>
  <c r="L183" i="11"/>
  <c r="M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8" i="11"/>
  <c r="L168" i="11"/>
  <c r="M167" i="11"/>
  <c r="L167" i="11"/>
  <c r="M165" i="11"/>
  <c r="L165" i="11"/>
  <c r="M164" i="11"/>
  <c r="L164" i="11"/>
  <c r="M162" i="11"/>
  <c r="L162" i="11"/>
  <c r="M160" i="11"/>
  <c r="L160" i="11"/>
  <c r="M157" i="11"/>
  <c r="L157" i="11"/>
  <c r="M156" i="11"/>
  <c r="L156" i="11"/>
  <c r="M155" i="11"/>
  <c r="L155" i="11"/>
  <c r="M153" i="11"/>
  <c r="L153" i="11"/>
  <c r="M151" i="11"/>
  <c r="L151" i="11"/>
  <c r="M150" i="11"/>
  <c r="L150" i="11"/>
  <c r="M149" i="11"/>
  <c r="L149" i="11"/>
  <c r="M147" i="11"/>
  <c r="L147" i="11"/>
  <c r="M146" i="11"/>
  <c r="L146" i="11"/>
  <c r="M144" i="11"/>
  <c r="L144" i="11"/>
  <c r="M123" i="11"/>
  <c r="L123" i="11"/>
  <c r="M122" i="11"/>
  <c r="L122" i="11"/>
  <c r="M102" i="11"/>
  <c r="L102" i="11"/>
  <c r="M99" i="11"/>
  <c r="L99" i="11"/>
  <c r="M98" i="11"/>
  <c r="L98" i="11"/>
  <c r="M95" i="11"/>
  <c r="L95" i="11"/>
  <c r="M89" i="11"/>
  <c r="L89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0" i="11"/>
  <c r="L100" i="11"/>
  <c r="M97" i="11"/>
  <c r="L97" i="11"/>
  <c r="M96" i="11"/>
  <c r="L96" i="11"/>
  <c r="M91" i="11"/>
  <c r="L91" i="11"/>
  <c r="M88" i="11"/>
  <c r="L88" i="11"/>
  <c r="M82" i="11"/>
  <c r="L82" i="11"/>
  <c r="M81" i="11"/>
  <c r="L81" i="11"/>
  <c r="M79" i="11"/>
  <c r="L79" i="11"/>
  <c r="M314" i="11"/>
  <c r="L314" i="11"/>
  <c r="M313" i="11"/>
  <c r="L313" i="11"/>
  <c r="M312" i="11"/>
  <c r="L312" i="11"/>
  <c r="M311" i="11"/>
  <c r="L311" i="11"/>
  <c r="M310" i="11"/>
  <c r="L310" i="11"/>
  <c r="M309" i="11"/>
  <c r="L309" i="11"/>
  <c r="M308" i="11"/>
  <c r="L308" i="11"/>
  <c r="M307" i="11"/>
  <c r="L307" i="11"/>
  <c r="M306" i="11"/>
  <c r="L306" i="11"/>
  <c r="M305" i="11"/>
  <c r="L305" i="11"/>
  <c r="M304" i="11"/>
  <c r="L304" i="11"/>
  <c r="M303" i="11"/>
  <c r="L303" i="11"/>
  <c r="M302" i="11"/>
  <c r="L302" i="11"/>
  <c r="M301" i="11"/>
  <c r="L301" i="11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L286" i="11"/>
  <c r="M286" i="11"/>
  <c r="M285" i="11"/>
  <c r="L285" i="11"/>
  <c r="M284" i="11"/>
  <c r="L284" i="11"/>
  <c r="M283" i="11"/>
  <c r="L283" i="11"/>
  <c r="M282" i="11"/>
  <c r="L282" i="11"/>
  <c r="M169" i="11"/>
  <c r="L169" i="11"/>
  <c r="M166" i="11"/>
  <c r="L166" i="11"/>
  <c r="M163" i="11"/>
  <c r="L163" i="11"/>
  <c r="M161" i="11"/>
  <c r="L161" i="11"/>
  <c r="M159" i="11"/>
  <c r="L159" i="11"/>
  <c r="M158" i="11"/>
  <c r="L158" i="11"/>
  <c r="M154" i="11"/>
  <c r="L154" i="11"/>
  <c r="M152" i="11"/>
  <c r="L152" i="11"/>
  <c r="M148" i="11"/>
  <c r="L148" i="11"/>
  <c r="M145" i="11"/>
  <c r="L145" i="11"/>
  <c r="M143" i="11"/>
  <c r="L143" i="11"/>
  <c r="M124" i="11"/>
  <c r="L124" i="11"/>
  <c r="M121" i="11"/>
  <c r="L121" i="11"/>
  <c r="M101" i="11"/>
  <c r="L101" i="11"/>
  <c r="M94" i="11"/>
  <c r="L94" i="11"/>
  <c r="M93" i="11"/>
  <c r="L93" i="11"/>
  <c r="M92" i="11"/>
  <c r="L92" i="11"/>
  <c r="M87" i="11"/>
  <c r="L87" i="11"/>
  <c r="M86" i="11"/>
  <c r="L86" i="11"/>
  <c r="M85" i="11"/>
  <c r="L85" i="11"/>
  <c r="M84" i="11"/>
  <c r="L84" i="11"/>
  <c r="M83" i="11"/>
  <c r="L83" i="11"/>
  <c r="M90" i="11"/>
  <c r="L90" i="11"/>
  <c r="M80" i="11"/>
  <c r="L80" i="11"/>
  <c r="N19" i="4" l="1"/>
  <c r="M17" i="4"/>
  <c r="O17" i="4" s="1"/>
  <c r="O11" i="23"/>
  <c r="O10" i="23" s="1"/>
  <c r="M10" i="23"/>
  <c r="L8" i="23" s="1"/>
  <c r="O11" i="21"/>
  <c r="O10" i="21" s="1"/>
  <c r="M10" i="21"/>
  <c r="L8" i="21" s="1"/>
  <c r="O11" i="20"/>
  <c r="O10" i="20" s="1"/>
  <c r="M10" i="20"/>
  <c r="L8" i="20" s="1"/>
  <c r="J10" i="20"/>
  <c r="M72" i="4"/>
  <c r="O72" i="4" s="1"/>
  <c r="N72" i="4"/>
  <c r="M78" i="4"/>
  <c r="O78" i="4" s="1"/>
  <c r="N78" i="4"/>
  <c r="M74" i="4"/>
  <c r="O74" i="4" s="1"/>
  <c r="N74" i="4"/>
  <c r="M75" i="4"/>
  <c r="O75" i="4" s="1"/>
  <c r="N75" i="4"/>
  <c r="M77" i="4"/>
  <c r="O77" i="4" s="1"/>
  <c r="N77" i="4"/>
  <c r="M76" i="4"/>
  <c r="O76" i="4" s="1"/>
  <c r="N76" i="4"/>
  <c r="M82" i="4"/>
  <c r="O82" i="4" s="1"/>
  <c r="N82" i="4"/>
  <c r="M73" i="4"/>
  <c r="O73" i="4" s="1"/>
  <c r="N73" i="4"/>
  <c r="M79" i="4"/>
  <c r="O79" i="4" s="1"/>
  <c r="N79" i="4"/>
  <c r="M69" i="4"/>
  <c r="O69" i="4" s="1"/>
  <c r="N69" i="4"/>
  <c r="M80" i="4"/>
  <c r="O80" i="4" s="1"/>
  <c r="N80" i="4"/>
  <c r="M71" i="4"/>
  <c r="O71" i="4" s="1"/>
  <c r="N71" i="4"/>
  <c r="M81" i="4"/>
  <c r="O81" i="4" s="1"/>
  <c r="N81" i="4"/>
  <c r="M70" i="4"/>
  <c r="O70" i="4" s="1"/>
  <c r="N70" i="4"/>
  <c r="M68" i="4"/>
  <c r="O68" i="4" s="1"/>
  <c r="N68" i="4"/>
  <c r="M51" i="11"/>
  <c r="L51" i="11"/>
  <c r="M37" i="11"/>
  <c r="L37" i="11"/>
  <c r="L49" i="11"/>
  <c r="M49" i="11"/>
  <c r="L56" i="11"/>
  <c r="M56" i="11"/>
  <c r="M48" i="11"/>
  <c r="L48" i="11"/>
  <c r="M41" i="11"/>
  <c r="L41" i="11"/>
  <c r="M33" i="11"/>
  <c r="L33" i="11"/>
  <c r="L31" i="11"/>
  <c r="M31" i="11"/>
  <c r="L29" i="11"/>
  <c r="M29" i="11"/>
  <c r="M27" i="11"/>
  <c r="L27" i="11"/>
  <c r="M25" i="11"/>
  <c r="L25" i="11"/>
  <c r="M23" i="11"/>
  <c r="L23" i="11"/>
  <c r="M21" i="11"/>
  <c r="L21" i="11"/>
  <c r="M20" i="11"/>
  <c r="L20" i="11"/>
  <c r="L17" i="11"/>
  <c r="M17" i="11"/>
  <c r="M15" i="11"/>
  <c r="L15" i="11"/>
  <c r="L10" i="11"/>
  <c r="M10" i="11"/>
  <c r="L7" i="11"/>
  <c r="M7" i="11"/>
  <c r="L55" i="11"/>
  <c r="M55" i="11"/>
  <c r="M44" i="11"/>
  <c r="L44" i="11"/>
  <c r="L58" i="11"/>
  <c r="M58" i="11"/>
  <c r="M47" i="11"/>
  <c r="L47" i="11"/>
  <c r="M39" i="11"/>
  <c r="L39" i="11"/>
  <c r="M34" i="11"/>
  <c r="L34" i="11"/>
  <c r="M54" i="11"/>
  <c r="L54" i="11"/>
  <c r="M42" i="11"/>
  <c r="L42" i="11"/>
  <c r="L60" i="11"/>
  <c r="M60" i="11"/>
  <c r="L53" i="11"/>
  <c r="M53" i="11"/>
  <c r="M45" i="11"/>
  <c r="L45" i="11"/>
  <c r="L38" i="11"/>
  <c r="M38" i="11"/>
  <c r="L32" i="11"/>
  <c r="M32" i="11"/>
  <c r="M30" i="11"/>
  <c r="L30" i="11"/>
  <c r="M28" i="11"/>
  <c r="L28" i="11"/>
  <c r="M26" i="11"/>
  <c r="L26" i="11"/>
  <c r="L24" i="11"/>
  <c r="M24" i="11"/>
  <c r="L22" i="11"/>
  <c r="M22" i="11"/>
  <c r="M19" i="11"/>
  <c r="L19" i="11"/>
  <c r="L18" i="11"/>
  <c r="M18" i="11"/>
  <c r="M13" i="11"/>
  <c r="L13" i="11"/>
  <c r="M11" i="11"/>
  <c r="L11" i="11"/>
  <c r="L9" i="11"/>
  <c r="M9" i="11"/>
  <c r="M57" i="11"/>
  <c r="L57" i="11"/>
  <c r="L50" i="11"/>
  <c r="M50" i="11"/>
  <c r="L40" i="11"/>
  <c r="M40" i="11"/>
  <c r="M52" i="11"/>
  <c r="L52" i="11"/>
  <c r="M36" i="11"/>
  <c r="L36" i="11"/>
  <c r="M59" i="11"/>
  <c r="L59" i="11"/>
  <c r="L16" i="11"/>
  <c r="M16" i="11"/>
  <c r="M8" i="11"/>
  <c r="L8" i="11"/>
  <c r="L46" i="11"/>
  <c r="M46" i="11"/>
  <c r="M43" i="11"/>
  <c r="L43" i="11"/>
  <c r="M12" i="11"/>
  <c r="L12" i="11"/>
  <c r="L195" i="11"/>
  <c r="AD69" i="11"/>
  <c r="L259" i="11"/>
  <c r="L133" i="11"/>
  <c r="L69" i="11"/>
  <c r="M28" i="4"/>
  <c r="O28" i="4" s="1"/>
  <c r="N28" i="4"/>
  <c r="M29" i="4"/>
  <c r="O29" i="4" s="1"/>
  <c r="N29" i="4"/>
  <c r="M30" i="4"/>
  <c r="O30" i="4" s="1"/>
  <c r="N30" i="4"/>
  <c r="M31" i="4"/>
  <c r="O31" i="4" s="1"/>
  <c r="M32" i="4"/>
  <c r="O32" i="4" s="1"/>
  <c r="N32" i="4"/>
  <c r="M34" i="4"/>
  <c r="O34" i="4" s="1"/>
  <c r="N34" i="4"/>
  <c r="N35" i="4"/>
  <c r="M35" i="4"/>
  <c r="O35" i="4" s="1"/>
  <c r="M36" i="4"/>
  <c r="O36" i="4" s="1"/>
  <c r="N36" i="4"/>
  <c r="M37" i="4"/>
  <c r="O37" i="4" s="1"/>
  <c r="N37" i="4"/>
  <c r="N38" i="4"/>
  <c r="M38" i="4"/>
  <c r="O38" i="4" s="1"/>
  <c r="M39" i="4"/>
  <c r="O39" i="4" s="1"/>
  <c r="N39" i="4"/>
  <c r="N40" i="4"/>
  <c r="M40" i="4"/>
  <c r="O40" i="4" s="1"/>
  <c r="M41" i="4"/>
  <c r="O41" i="4" s="1"/>
  <c r="N41" i="4"/>
  <c r="M42" i="4"/>
  <c r="O42" i="4" s="1"/>
  <c r="N42" i="4"/>
  <c r="M43" i="4"/>
  <c r="O43" i="4" s="1"/>
  <c r="N43" i="4"/>
  <c r="M44" i="4"/>
  <c r="O44" i="4" s="1"/>
  <c r="N44" i="4"/>
  <c r="M45" i="4"/>
  <c r="O45" i="4" s="1"/>
  <c r="N45" i="4"/>
  <c r="M46" i="4"/>
  <c r="O46" i="4" s="1"/>
  <c r="N46" i="4"/>
  <c r="M48" i="4"/>
  <c r="O48" i="4" s="1"/>
  <c r="N48" i="4"/>
  <c r="M49" i="4"/>
  <c r="O49" i="4" s="1"/>
  <c r="N49" i="4"/>
  <c r="M50" i="4"/>
  <c r="O50" i="4" s="1"/>
  <c r="N50" i="4"/>
  <c r="N51" i="4"/>
  <c r="M51" i="4"/>
  <c r="O51" i="4" s="1"/>
  <c r="N53" i="4"/>
  <c r="M53" i="4"/>
  <c r="O53" i="4" s="1"/>
  <c r="M55" i="4"/>
  <c r="O55" i="4" s="1"/>
  <c r="N55" i="4"/>
  <c r="M57" i="4"/>
  <c r="O57" i="4" s="1"/>
  <c r="N57" i="4"/>
  <c r="M58" i="4"/>
  <c r="O58" i="4" s="1"/>
  <c r="N58" i="4"/>
  <c r="M60" i="4"/>
  <c r="O60" i="4" s="1"/>
  <c r="N60" i="4"/>
  <c r="M62" i="4"/>
  <c r="O62" i="4" s="1"/>
  <c r="N62" i="4"/>
  <c r="M63" i="4"/>
  <c r="O63" i="4" s="1"/>
  <c r="N63" i="4"/>
  <c r="M65" i="4"/>
  <c r="O65" i="4" s="1"/>
  <c r="N65" i="4"/>
  <c r="M67" i="4"/>
  <c r="O67" i="4" s="1"/>
  <c r="N67" i="4"/>
  <c r="M33" i="4"/>
  <c r="O33" i="4" s="1"/>
  <c r="N33" i="4"/>
  <c r="N47" i="4"/>
  <c r="M47" i="4"/>
  <c r="O47" i="4" s="1"/>
  <c r="N54" i="4"/>
  <c r="M54" i="4"/>
  <c r="O54" i="4" s="1"/>
  <c r="M56" i="4"/>
  <c r="O56" i="4" s="1"/>
  <c r="N56" i="4"/>
  <c r="M59" i="4"/>
  <c r="O59" i="4" s="1"/>
  <c r="N59" i="4"/>
  <c r="M61" i="4"/>
  <c r="O61" i="4" s="1"/>
  <c r="N61" i="4"/>
  <c r="N64" i="4"/>
  <c r="M64" i="4"/>
  <c r="O64" i="4" s="1"/>
  <c r="N66" i="4"/>
  <c r="M66" i="4"/>
  <c r="O66" i="4" s="1"/>
  <c r="N52" i="4"/>
  <c r="M52" i="4"/>
  <c r="O52" i="4" s="1"/>
  <c r="N11" i="4"/>
  <c r="N12" i="4"/>
  <c r="M12" i="4"/>
  <c r="O12" i="4" s="1"/>
  <c r="N13" i="4"/>
  <c r="N14" i="4"/>
  <c r="N15" i="4"/>
  <c r="N16" i="4"/>
  <c r="N25" i="4"/>
  <c r="N27" i="4"/>
  <c r="N18" i="4"/>
  <c r="N20" i="4"/>
  <c r="N22" i="4"/>
  <c r="N23" i="4"/>
  <c r="N24" i="4"/>
  <c r="N26" i="4"/>
  <c r="O10" i="4" l="1"/>
  <c r="M10" i="4"/>
  <c r="L6" i="11"/>
  <c r="M195" i="11"/>
  <c r="K191" i="11"/>
  <c r="AC65" i="11"/>
  <c r="AE69" i="11"/>
  <c r="K255" i="11"/>
  <c r="M259" i="11"/>
  <c r="K129" i="11"/>
  <c r="M133" i="11"/>
  <c r="K65" i="11"/>
  <c r="M69" i="11"/>
  <c r="L8" i="4" l="1"/>
  <c r="M6" i="11"/>
  <c r="K2" i="11"/>
  <c r="L56" i="36"/>
  <c r="N56" i="36" s="1"/>
  <c r="L74" i="36"/>
  <c r="N74" i="36" s="1"/>
  <c r="K7" i="36"/>
  <c r="L17" i="36"/>
  <c r="N17" i="36" s="1"/>
  <c r="L32" i="36"/>
  <c r="M32" i="36" s="1"/>
  <c r="O32" i="36" s="1"/>
  <c r="L26" i="36"/>
  <c r="M26" i="36" s="1"/>
  <c r="O26" i="36" s="1"/>
  <c r="L69" i="36"/>
  <c r="M69" i="36" s="1"/>
  <c r="O69" i="36" s="1"/>
  <c r="F11" i="36"/>
  <c r="L36" i="36" s="1"/>
  <c r="L19" i="36"/>
  <c r="M19" i="36" s="1"/>
  <c r="O19" i="36" s="1"/>
  <c r="N19" i="36"/>
  <c r="M36" i="36" l="1"/>
  <c r="O36" i="36" s="1"/>
  <c r="N36" i="36"/>
  <c r="L72" i="36"/>
  <c r="N69" i="36"/>
  <c r="N26" i="36"/>
  <c r="N32" i="36"/>
  <c r="L52" i="36"/>
  <c r="L55" i="36"/>
  <c r="L46" i="36"/>
  <c r="L65" i="36"/>
  <c r="L77" i="36"/>
  <c r="L37" i="36"/>
  <c r="L40" i="36"/>
  <c r="L54" i="36"/>
  <c r="L33" i="36"/>
  <c r="L78" i="36"/>
  <c r="L76" i="36"/>
  <c r="L20" i="36"/>
  <c r="L42" i="36"/>
  <c r="L12" i="36"/>
  <c r="L58" i="36"/>
  <c r="L22" i="36"/>
  <c r="L62" i="36"/>
  <c r="L47" i="36"/>
  <c r="L28" i="36"/>
  <c r="L41" i="36"/>
  <c r="L67" i="36"/>
  <c r="L66" i="36"/>
  <c r="L44" i="36"/>
  <c r="L25" i="36"/>
  <c r="L43" i="36"/>
  <c r="L48" i="36"/>
  <c r="M17" i="36"/>
  <c r="O17" i="36" s="1"/>
  <c r="L21" i="36"/>
  <c r="L14" i="36"/>
  <c r="L30" i="36"/>
  <c r="L35" i="36"/>
  <c r="L57" i="36"/>
  <c r="M56" i="36"/>
  <c r="O56" i="36" s="1"/>
  <c r="L53" i="36"/>
  <c r="L63" i="36"/>
  <c r="L80" i="36"/>
  <c r="L61" i="36"/>
  <c r="L27" i="36"/>
  <c r="L31" i="36"/>
  <c r="L73" i="36"/>
  <c r="L34" i="36"/>
  <c r="L71" i="36"/>
  <c r="L24" i="36"/>
  <c r="L64" i="36"/>
  <c r="L45" i="36"/>
  <c r="L81" i="36"/>
  <c r="L51" i="36"/>
  <c r="L75" i="36"/>
  <c r="L68" i="36"/>
  <c r="L15" i="36"/>
  <c r="M74" i="36"/>
  <c r="O74" i="36" s="1"/>
  <c r="L49" i="36"/>
  <c r="L39" i="36"/>
  <c r="L70" i="36"/>
  <c r="L13" i="36"/>
  <c r="L38" i="36"/>
  <c r="L29" i="36"/>
  <c r="L79" i="36"/>
  <c r="L59" i="36"/>
  <c r="L23" i="36"/>
  <c r="L60" i="36"/>
  <c r="L18" i="36"/>
  <c r="L50" i="36"/>
  <c r="L16" i="36"/>
  <c r="N15" i="36" l="1"/>
  <c r="M15" i="36"/>
  <c r="O15" i="36" s="1"/>
  <c r="M33" i="36"/>
  <c r="O33" i="36" s="1"/>
  <c r="N33" i="36"/>
  <c r="N52" i="36"/>
  <c r="M52" i="36"/>
  <c r="O52" i="36" s="1"/>
  <c r="M38" i="36"/>
  <c r="O38" i="36" s="1"/>
  <c r="N38" i="36"/>
  <c r="M75" i="36"/>
  <c r="O75" i="36" s="1"/>
  <c r="N75" i="36"/>
  <c r="N73" i="36"/>
  <c r="M73" i="36"/>
  <c r="O73" i="36" s="1"/>
  <c r="N57" i="36"/>
  <c r="M57" i="36"/>
  <c r="O57" i="36" s="1"/>
  <c r="N25" i="36"/>
  <c r="M25" i="36"/>
  <c r="O25" i="36" s="1"/>
  <c r="M22" i="36"/>
  <c r="O22" i="36" s="1"/>
  <c r="N22" i="36"/>
  <c r="N54" i="36"/>
  <c r="M54" i="36"/>
  <c r="O54" i="36" s="1"/>
  <c r="M71" i="36"/>
  <c r="O71" i="36" s="1"/>
  <c r="N71" i="36"/>
  <c r="M35" i="36"/>
  <c r="O35" i="36" s="1"/>
  <c r="N35" i="36"/>
  <c r="M44" i="36"/>
  <c r="O44" i="36" s="1"/>
  <c r="N44" i="36"/>
  <c r="N58" i="36"/>
  <c r="M58" i="36"/>
  <c r="O58" i="36" s="1"/>
  <c r="N40" i="36"/>
  <c r="M40" i="36"/>
  <c r="O40" i="36" s="1"/>
  <c r="M79" i="36"/>
  <c r="O79" i="36" s="1"/>
  <c r="N79" i="36"/>
  <c r="M37" i="36"/>
  <c r="O37" i="36" s="1"/>
  <c r="N37" i="36"/>
  <c r="M48" i="36"/>
  <c r="O48" i="36" s="1"/>
  <c r="N48" i="36"/>
  <c r="N47" i="36"/>
  <c r="M47" i="36"/>
  <c r="O47" i="36" s="1"/>
  <c r="N78" i="36"/>
  <c r="M78" i="36"/>
  <c r="O78" i="36" s="1"/>
  <c r="M55" i="36"/>
  <c r="O55" i="36" s="1"/>
  <c r="N55" i="36"/>
  <c r="N29" i="36"/>
  <c r="M29" i="36"/>
  <c r="O29" i="36" s="1"/>
  <c r="N68" i="36"/>
  <c r="M68" i="36"/>
  <c r="O68" i="36" s="1"/>
  <c r="M43" i="36"/>
  <c r="O43" i="36" s="1"/>
  <c r="N43" i="36"/>
  <c r="M16" i="36"/>
  <c r="O16" i="36" s="1"/>
  <c r="N16" i="36"/>
  <c r="N13" i="36"/>
  <c r="M13" i="36"/>
  <c r="O13" i="36" s="1"/>
  <c r="N45" i="36"/>
  <c r="M45" i="36"/>
  <c r="O45" i="36" s="1"/>
  <c r="N61" i="36"/>
  <c r="M61" i="36"/>
  <c r="O61" i="36" s="1"/>
  <c r="N14" i="36"/>
  <c r="M14" i="36"/>
  <c r="O14" i="36" s="1"/>
  <c r="N67" i="36"/>
  <c r="M67" i="36"/>
  <c r="O67" i="36" s="1"/>
  <c r="N42" i="36"/>
  <c r="M42" i="36"/>
  <c r="O42" i="36" s="1"/>
  <c r="N77" i="36"/>
  <c r="M77" i="36"/>
  <c r="O77" i="36" s="1"/>
  <c r="N72" i="36"/>
  <c r="M72" i="36"/>
  <c r="O72" i="36" s="1"/>
  <c r="N34" i="36"/>
  <c r="M34" i="36"/>
  <c r="O34" i="36" s="1"/>
  <c r="M62" i="36"/>
  <c r="O62" i="36" s="1"/>
  <c r="N62" i="36"/>
  <c r="N50" i="36"/>
  <c r="M50" i="36"/>
  <c r="O50" i="36" s="1"/>
  <c r="N51" i="36"/>
  <c r="M51" i="36"/>
  <c r="O51" i="36" s="1"/>
  <c r="M81" i="36"/>
  <c r="O81" i="36" s="1"/>
  <c r="N81" i="36"/>
  <c r="M30" i="36"/>
  <c r="O30" i="36" s="1"/>
  <c r="N30" i="36"/>
  <c r="N66" i="36"/>
  <c r="M66" i="36"/>
  <c r="O66" i="36" s="1"/>
  <c r="N39" i="36"/>
  <c r="M39" i="36"/>
  <c r="O39" i="36" s="1"/>
  <c r="M49" i="36"/>
  <c r="O49" i="36" s="1"/>
  <c r="N49" i="36"/>
  <c r="M80" i="36"/>
  <c r="O80" i="36" s="1"/>
  <c r="N80" i="36"/>
  <c r="N41" i="36"/>
  <c r="M41" i="36"/>
  <c r="O41" i="36" s="1"/>
  <c r="M20" i="36"/>
  <c r="O20" i="36" s="1"/>
  <c r="N20" i="36"/>
  <c r="M65" i="36"/>
  <c r="O65" i="36" s="1"/>
  <c r="N65" i="36"/>
  <c r="M53" i="36"/>
  <c r="O53" i="36" s="1"/>
  <c r="N53" i="36"/>
  <c r="M31" i="36"/>
  <c r="O31" i="36" s="1"/>
  <c r="N31" i="36"/>
  <c r="M18" i="36"/>
  <c r="O18" i="36" s="1"/>
  <c r="N18" i="36"/>
  <c r="N70" i="36"/>
  <c r="M70" i="36"/>
  <c r="O70" i="36" s="1"/>
  <c r="M27" i="36"/>
  <c r="O27" i="36" s="1"/>
  <c r="N27" i="36"/>
  <c r="N12" i="36"/>
  <c r="M12" i="36"/>
  <c r="N60" i="36"/>
  <c r="M60" i="36"/>
  <c r="O60" i="36" s="1"/>
  <c r="N23" i="36"/>
  <c r="M23" i="36"/>
  <c r="O23" i="36" s="1"/>
  <c r="M64" i="36"/>
  <c r="O64" i="36" s="1"/>
  <c r="N64" i="36"/>
  <c r="M21" i="36"/>
  <c r="O21" i="36" s="1"/>
  <c r="N21" i="36"/>
  <c r="N59" i="36"/>
  <c r="M59" i="36"/>
  <c r="O59" i="36" s="1"/>
  <c r="M24" i="36"/>
  <c r="O24" i="36" s="1"/>
  <c r="N24" i="36"/>
  <c r="N63" i="36"/>
  <c r="M63" i="36"/>
  <c r="O63" i="36" s="1"/>
  <c r="N28" i="36"/>
  <c r="M28" i="36"/>
  <c r="O28" i="36" s="1"/>
  <c r="N76" i="36"/>
  <c r="M76" i="36"/>
  <c r="O76" i="36" s="1"/>
  <c r="N46" i="36"/>
  <c r="M46" i="36"/>
  <c r="O46" i="36" s="1"/>
  <c r="M11" i="36" l="1"/>
  <c r="L9" i="36" s="1"/>
  <c r="O12" i="36"/>
  <c r="O11" i="36" s="1"/>
</calcChain>
</file>

<file path=xl/sharedStrings.xml><?xml version="1.0" encoding="utf-8"?>
<sst xmlns="http://schemas.openxmlformats.org/spreadsheetml/2006/main" count="14827" uniqueCount="4161">
  <si>
    <t>Ceker</t>
  </si>
  <si>
    <t>Frozen</t>
  </si>
  <si>
    <t>Fresh</t>
  </si>
  <si>
    <t>SKU</t>
  </si>
  <si>
    <t>Satuan</t>
  </si>
  <si>
    <t>Blasting</t>
  </si>
  <si>
    <t>Non Blasting</t>
  </si>
  <si>
    <t>JLB0201</t>
  </si>
  <si>
    <t>BLD</t>
  </si>
  <si>
    <t>Kg</t>
  </si>
  <si>
    <t>BLPK</t>
  </si>
  <si>
    <t>JLB0213</t>
  </si>
  <si>
    <t>BLP</t>
  </si>
  <si>
    <t>JLB0164</t>
  </si>
  <si>
    <t>JLB0175</t>
  </si>
  <si>
    <t>JLB0183</t>
  </si>
  <si>
    <t>JLB0179</t>
  </si>
  <si>
    <t>TLP</t>
  </si>
  <si>
    <t>JLB0184</t>
  </si>
  <si>
    <t>JLB0177</t>
  </si>
  <si>
    <t>JLB0092</t>
  </si>
  <si>
    <t>JLB0078</t>
  </si>
  <si>
    <t>JLB0138</t>
  </si>
  <si>
    <t>JLB0080</t>
  </si>
  <si>
    <t>HJA</t>
  </si>
  <si>
    <t>JLB0135</t>
  </si>
  <si>
    <t>JLB0172</t>
  </si>
  <si>
    <t>Produk</t>
  </si>
  <si>
    <t>SKU Fresh</t>
  </si>
  <si>
    <t>SKU Frozen</t>
  </si>
  <si>
    <t>JLB0988</t>
  </si>
  <si>
    <t>JLB0104</t>
  </si>
  <si>
    <t>JLB0116</t>
  </si>
  <si>
    <t>JLB0124</t>
  </si>
  <si>
    <t>Item List</t>
  </si>
  <si>
    <t>As of 08 May 2026</t>
  </si>
  <si>
    <t>Filtered By :Suspended</t>
  </si>
  <si>
    <t>Item Description</t>
  </si>
  <si>
    <t>Quantity</t>
  </si>
  <si>
    <t>Unit Price</t>
  </si>
  <si>
    <t>Item Type</t>
  </si>
  <si>
    <t>Inventory Part Type</t>
  </si>
  <si>
    <t>Inventory Part</t>
  </si>
  <si>
    <t>Other Material</t>
  </si>
  <si>
    <t>JLB0001</t>
  </si>
  <si>
    <t>JLB0002</t>
  </si>
  <si>
    <t>JLB0003</t>
  </si>
  <si>
    <t>JLB0004</t>
  </si>
  <si>
    <t>JLB0005</t>
  </si>
  <si>
    <t>JLB0006</t>
  </si>
  <si>
    <t>JLB0007</t>
  </si>
  <si>
    <t>JLB0008</t>
  </si>
  <si>
    <t>JLB0009</t>
  </si>
  <si>
    <t>JLB0010</t>
  </si>
  <si>
    <t>JLB0011</t>
  </si>
  <si>
    <t>JLB0012</t>
  </si>
  <si>
    <t>JLB0013</t>
  </si>
  <si>
    <t>JLB0014</t>
  </si>
  <si>
    <t>JLB0015</t>
  </si>
  <si>
    <t>JLB0016</t>
  </si>
  <si>
    <t>JLB0017</t>
  </si>
  <si>
    <t>JLB0018</t>
  </si>
  <si>
    <t>JLB0019</t>
  </si>
  <si>
    <t>JLB0020</t>
  </si>
  <si>
    <t>JLB0021</t>
  </si>
  <si>
    <t>JLB0022</t>
  </si>
  <si>
    <t>JLB0023</t>
  </si>
  <si>
    <t>MDM KERONGKONG FULL MDM KERONGKONG FULL FRESH</t>
  </si>
  <si>
    <t>JLB0024</t>
  </si>
  <si>
    <t>MDM KERONGKONG FULL MDM KERONGKONG FULL FRESH GRADE</t>
  </si>
  <si>
    <t>JLB0025</t>
  </si>
  <si>
    <t>MDM KERONGKONG FULL MDM KERONGKONG FULL FROZEN</t>
  </si>
  <si>
    <t>JLB0026</t>
  </si>
  <si>
    <t>MDM KERONGKONG FULL MDM KERONGKONG FULL FROZEN GRADE</t>
  </si>
  <si>
    <t>JLB0027</t>
  </si>
  <si>
    <t>MDM TLP + KRK MDM TLP + KRK FRESH</t>
  </si>
  <si>
    <t>JLB0028</t>
  </si>
  <si>
    <t>JLB0029</t>
  </si>
  <si>
    <t>MDM TLP + KRK MDM TLP + KRK FRESH GRADE</t>
  </si>
  <si>
    <t>JLB0030</t>
  </si>
  <si>
    <t>JLB0031</t>
  </si>
  <si>
    <t>MDM TLP + KRK MDM TLP + KRK FROZEN</t>
  </si>
  <si>
    <t>JLB0032</t>
  </si>
  <si>
    <t>JLB0033</t>
  </si>
  <si>
    <t>MDM TLP + KRK MDM TLP + KRK FROZEN GRADE</t>
  </si>
  <si>
    <t>JLB0034</t>
  </si>
  <si>
    <t>JLB0035</t>
  </si>
  <si>
    <t>MDM TULAH LEHER + TLP + KRK MDM TULAH LEHER + TLP + KRK FRESH</t>
  </si>
  <si>
    <t>JLB0036</t>
  </si>
  <si>
    <t>MDM TULAH LEHER + TLP + KRK MDM TULAH LEHER + TLP + KRK FRESH GRADE</t>
  </si>
  <si>
    <t>JLB0037</t>
  </si>
  <si>
    <t>MDM TULAH LEHER + TLP + KRK MDM TULAH LEHER + TLP + KRK FROZEN</t>
  </si>
  <si>
    <t>JLB0038</t>
  </si>
  <si>
    <t>MDM TULAH LEHER + TLP + KRK MDM TULAH LEHER + TLP + KRK FROZEN GRADE</t>
  </si>
  <si>
    <t>JLB0039</t>
  </si>
  <si>
    <t>MDM TULANG LEHER + KRK MDM TULANG LEHER + KRK FRESH</t>
  </si>
  <si>
    <t>JLB0040</t>
  </si>
  <si>
    <t>MDM TULANG LEHER + KRK MDM TULANG LEHER + KRK FRESH GRADE</t>
  </si>
  <si>
    <t>JLB0041</t>
  </si>
  <si>
    <t>MDM TULANG LEHER + KRK MDM TULANG LEHER + KRK FROZEN</t>
  </si>
  <si>
    <t>JLB0042</t>
  </si>
  <si>
    <t>MDM TULANG LEHER + KRK MDM TULANG LEHER + KRK FROZEN GRADE</t>
  </si>
  <si>
    <t>JLB0043</t>
  </si>
  <si>
    <t>MDM TULANG LEHER + TLP + KRK MDM TULANG LEHER + TLP + KRK FRESH</t>
  </si>
  <si>
    <t>JLB0044</t>
  </si>
  <si>
    <t>JLB0045</t>
  </si>
  <si>
    <t>MDM TULANG LEHER + TLP + KRK MDM TULANG LEHER + TLP + KRK FROZEN</t>
  </si>
  <si>
    <t>JLB0046</t>
  </si>
  <si>
    <t>JLB0047</t>
  </si>
  <si>
    <t>MDM TULANG LEHER + TLP MDM TULANG LEHER + TLP FRESH</t>
  </si>
  <si>
    <t>JLB0048</t>
  </si>
  <si>
    <t>MDM TULANG LEHER + TLP MDM TULANG LEHER + TLP FRESH GRADE</t>
  </si>
  <si>
    <t>JLB0049</t>
  </si>
  <si>
    <t>MDM TULANG LEHER + TLP MDM TULANG LEHER + TLP FROZEN</t>
  </si>
  <si>
    <t>JLB0050</t>
  </si>
  <si>
    <t>MDM TULANG LEHER + TLP MDM TULANG LEHER + TLP FROZEN GRADE</t>
  </si>
  <si>
    <t>JLB0051</t>
  </si>
  <si>
    <t>Parting Parting 10 Fresh Grade A</t>
  </si>
  <si>
    <t>JLB0052</t>
  </si>
  <si>
    <t>Parting Parting 10 Fresh Grade B</t>
  </si>
  <si>
    <t>JLB0053</t>
  </si>
  <si>
    <t>Parting Parting 10 Fresh Grade C</t>
  </si>
  <si>
    <t>JLB0054</t>
  </si>
  <si>
    <t>Parting Parting 10 Fresh Grade D</t>
  </si>
  <si>
    <t>JLB0055</t>
  </si>
  <si>
    <t>Parting Parting 10 Fresh Premium</t>
  </si>
  <si>
    <t>JLB0056</t>
  </si>
  <si>
    <t>Parting Parting 10 Marinasi</t>
  </si>
  <si>
    <t>JLB0057</t>
  </si>
  <si>
    <t>Parting Parting 12 Fresh Grade A</t>
  </si>
  <si>
    <t>JLB0058</t>
  </si>
  <si>
    <t>Parting Parting 12 Fresh Grade B</t>
  </si>
  <si>
    <t>JLB0059</t>
  </si>
  <si>
    <t>Parting Parting 12 Fresh Grade C</t>
  </si>
  <si>
    <t>JLB0060</t>
  </si>
  <si>
    <t>Parting Parting 12 Fresh Grade D</t>
  </si>
  <si>
    <t>JLB0061</t>
  </si>
  <si>
    <t>Parting Parting 12 Fresh Premium</t>
  </si>
  <si>
    <t>JLB0062</t>
  </si>
  <si>
    <t>Parting Parting 12 Marinasi</t>
  </si>
  <si>
    <t>JLB0063</t>
  </si>
  <si>
    <t>Parting Parting 13 Fresh Grade A</t>
  </si>
  <si>
    <t>JLB0064</t>
  </si>
  <si>
    <t>Parting Parting 13 Fresh Grade B</t>
  </si>
  <si>
    <t>JLB0065</t>
  </si>
  <si>
    <t>Parting Parting 13 Fresh Grade C</t>
  </si>
  <si>
    <t>JLB0066</t>
  </si>
  <si>
    <t>Parting Parting 13 Fresh Grade D</t>
  </si>
  <si>
    <t>JLB0067</t>
  </si>
  <si>
    <t>Parting Parting 13 Fresh Premium</t>
  </si>
  <si>
    <t>JLB0068</t>
  </si>
  <si>
    <t>Parting Parting 13 Marinasi</t>
  </si>
  <si>
    <t>JLB0069</t>
  </si>
  <si>
    <t>Parting Parting 16 Fresh Grade A</t>
  </si>
  <si>
    <t>JLB0070</t>
  </si>
  <si>
    <t>Parting Parting 16 Fresh Grade B</t>
  </si>
  <si>
    <t>JLB0071</t>
  </si>
  <si>
    <t>Parting Parting 16 Fresh Grade C</t>
  </si>
  <si>
    <t>JLB0072</t>
  </si>
  <si>
    <t>Parting Parting 16 Fresh Grade D</t>
  </si>
  <si>
    <t>JLB0073</t>
  </si>
  <si>
    <t>Parting Parting 16 Fresh Premium</t>
  </si>
  <si>
    <t>JLB0074</t>
  </si>
  <si>
    <t>Parting Parting 16 Marinasi</t>
  </si>
  <si>
    <t>JLB0075</t>
  </si>
  <si>
    <t>Parting Parting 4 Fresh Grade A</t>
  </si>
  <si>
    <t>JLB0076</t>
  </si>
  <si>
    <t>Parting Parting 4 Fresh Grade B</t>
  </si>
  <si>
    <t>JLB0077</t>
  </si>
  <si>
    <t>Parting Parting 4 Fresh Grade C</t>
  </si>
  <si>
    <t>Boneless BL Fresh Ceker</t>
  </si>
  <si>
    <t>JLB0079</t>
  </si>
  <si>
    <t>Boneless BL Fresh Ceker Grade D</t>
  </si>
  <si>
    <t>Boneless BL Fresh HJA</t>
  </si>
  <si>
    <t>JLB0081</t>
  </si>
  <si>
    <t>Boneless BL Fresh HJA - Ampela</t>
  </si>
  <si>
    <t>JLB0082</t>
  </si>
  <si>
    <t>Boneless BL Fresh HJA - Ampela Grade</t>
  </si>
  <si>
    <t>JLB0083</t>
  </si>
  <si>
    <t>Boneless BL Fresh HJA - Ampela Grade D</t>
  </si>
  <si>
    <t>JLB0084</t>
  </si>
  <si>
    <t>Boneless BL Fresh HJA - Hati</t>
  </si>
  <si>
    <t>JLB0085</t>
  </si>
  <si>
    <t>Boneless BL Fresh HJA - Hati Grade</t>
  </si>
  <si>
    <t>JLB0086</t>
  </si>
  <si>
    <t>Boneless BL Fresh HJA - Hati Grade D</t>
  </si>
  <si>
    <t>JLB0087</t>
  </si>
  <si>
    <t>Boneless BL Fresh HJA - Jantung</t>
  </si>
  <si>
    <t>JLB0088</t>
  </si>
  <si>
    <t>Boneless BL Fresh HJA - Jantung Grade</t>
  </si>
  <si>
    <t>JLB0089</t>
  </si>
  <si>
    <t>Boneless BL Fresh HJA - Jantung Grade D</t>
  </si>
  <si>
    <t>JLB0090</t>
  </si>
  <si>
    <t>Boneless BL Fresh HJA Grade</t>
  </si>
  <si>
    <t>JLB0091</t>
  </si>
  <si>
    <t>Boneless BL Fresh HJA Grade D</t>
  </si>
  <si>
    <t>Boneless BL Fresh Kepala</t>
  </si>
  <si>
    <t>JLB0093</t>
  </si>
  <si>
    <t>Boneless BL Fresh Kepala - Batok Kepala</t>
  </si>
  <si>
    <t>JLB0094</t>
  </si>
  <si>
    <t>Boneless BL Fresh Kepala - Batok Kepala Grade D</t>
  </si>
  <si>
    <t>JLB0095</t>
  </si>
  <si>
    <t>Boneless BL Fresh Kepala - Kulit Leher</t>
  </si>
  <si>
    <t>JLB0096</t>
  </si>
  <si>
    <t>Boneless BL Fresh Kepala - Kulit Leher Grade D</t>
  </si>
  <si>
    <t>JLB0097</t>
  </si>
  <si>
    <t>Boneless BL Fresh Kepala - Selang Leher</t>
  </si>
  <si>
    <t>JLB0098</t>
  </si>
  <si>
    <t>Boneless BL Fresh Kepala - Selang Leher Grade D</t>
  </si>
  <si>
    <t>JLB0099</t>
  </si>
  <si>
    <t>Boneless BL Fresh Kepala - Trimming Leher</t>
  </si>
  <si>
    <t>JLB0100</t>
  </si>
  <si>
    <t>Boneless BL Fresh Kepala - Trimming Leher Grade D</t>
  </si>
  <si>
    <t>JLB0101</t>
  </si>
  <si>
    <t>Boneless BL Fresh Kepala - Tulang Leher</t>
  </si>
  <si>
    <t>JLB0102</t>
  </si>
  <si>
    <t>Boneless BL Fresh Kepala - Tulang Leher Grade D</t>
  </si>
  <si>
    <t>JLB0103</t>
  </si>
  <si>
    <t>Boneless BL Fresh Kepala Grade D</t>
  </si>
  <si>
    <t>Boneless BL Fresh KRK</t>
  </si>
  <si>
    <t>JLB0105</t>
  </si>
  <si>
    <t>Boneless BL Fresh KRK - Kulit KRK</t>
  </si>
  <si>
    <t>JLB0106</t>
  </si>
  <si>
    <t>Boneless BL Fresh KRK - Kulit KRK grade D</t>
  </si>
  <si>
    <t>JLB0107</t>
  </si>
  <si>
    <t>Boneless BL Fresh KRK - Trimming KRK</t>
  </si>
  <si>
    <t>JLB0108</t>
  </si>
  <si>
    <t>Boneless BL Fresh KRK - Trimming KRK Grade D</t>
  </si>
  <si>
    <t>JLB0109</t>
  </si>
  <si>
    <t>Boneless BL Fresh KRK - Tulang KRK</t>
  </si>
  <si>
    <t>JLB0110</t>
  </si>
  <si>
    <t>Boneless BL Fresh KRK - Tulang KRK Grade D</t>
  </si>
  <si>
    <t>JLB0111</t>
  </si>
  <si>
    <t>Boneless BL Fresh KRK - Tulang Muda</t>
  </si>
  <si>
    <t>JLB0112</t>
  </si>
  <si>
    <t>Boneless BL Fresh KRK - Tulang Muda Grade D</t>
  </si>
  <si>
    <t>JLB0113</t>
  </si>
  <si>
    <t>Boneless BL Fresh KRK - Tungir KRK</t>
  </si>
  <si>
    <t>JLB0114</t>
  </si>
  <si>
    <t>Boneless BL Fresh KRK - Tungir KRK Grade D</t>
  </si>
  <si>
    <t>JLB0115</t>
  </si>
  <si>
    <t>Boneless BL Fresh KRK Grade D</t>
  </si>
  <si>
    <t>Boneless BL Fresh Kulit</t>
  </si>
  <si>
    <t>JLB0117</t>
  </si>
  <si>
    <t>Boneless BL Fresh Kulit Grade D</t>
  </si>
  <si>
    <t>JLB0118</t>
  </si>
  <si>
    <t>Boneless BL Fresh Lemak</t>
  </si>
  <si>
    <t>JLB0119</t>
  </si>
  <si>
    <t>Boneless BL Fresh Lemak Grade D</t>
  </si>
  <si>
    <t>JLB0120</t>
  </si>
  <si>
    <t>Boneless BL Fresh Sayap Grade A</t>
  </si>
  <si>
    <t>JLB0121</t>
  </si>
  <si>
    <t>Boneless BL Fresh Sayap Grade B</t>
  </si>
  <si>
    <t>JLB0122</t>
  </si>
  <si>
    <t>Boneless BL Fresh Sayap Grade C</t>
  </si>
  <si>
    <t>JLB0123</t>
  </si>
  <si>
    <t>Boneless BL Fresh Sayap Grade D</t>
  </si>
  <si>
    <t>Boneless BL Fresh Sayap Premium</t>
  </si>
  <si>
    <t>JLB0125</t>
  </si>
  <si>
    <t>Boneless BL Fresh TLP</t>
  </si>
  <si>
    <t>JLB0126</t>
  </si>
  <si>
    <t>Boneless BL fresh TLP - Tendon TLP</t>
  </si>
  <si>
    <t>JLB0127</t>
  </si>
  <si>
    <t>Boneless BL Fresh TLP - Tendon TLP Grade D</t>
  </si>
  <si>
    <t>JLB0128</t>
  </si>
  <si>
    <t>Boneless BL Fresh TLP - Trimming TLP</t>
  </si>
  <si>
    <t>JLB0129</t>
  </si>
  <si>
    <t>Boneless BL Fresh TLP - Trimming TLP Grade D</t>
  </si>
  <si>
    <t>JLB0130</t>
  </si>
  <si>
    <t>Boneless BL fresh TLP - Tulang L</t>
  </si>
  <si>
    <t>JLB0131</t>
  </si>
  <si>
    <t>Boneless BL Fresh TLP - Tulang L Grade D</t>
  </si>
  <si>
    <t>JLB0132</t>
  </si>
  <si>
    <t>Boneless BL Fresh TLP - Tulang Muda TLP</t>
  </si>
  <si>
    <t>JLB0133</t>
  </si>
  <si>
    <t>Boneless BL Fresh TLP - Tulang Muda TLP Grade D</t>
  </si>
  <si>
    <t>JLB0134</t>
  </si>
  <si>
    <t>Boneless BL Fresh TLP Grade D</t>
  </si>
  <si>
    <t>Boneless BL Fresh Usus Kotor</t>
  </si>
  <si>
    <t>JLB0136</t>
  </si>
  <si>
    <t>Boneless BL Fresh Usus Kotor Grade D</t>
  </si>
  <si>
    <t>JLB0137</t>
  </si>
  <si>
    <t>Boneless BL Froze  KRK - Trimming KRK Grade D</t>
  </si>
  <si>
    <t>Boneless BL Frozen Ceker</t>
  </si>
  <si>
    <t>JLB0139</t>
  </si>
  <si>
    <t>Boneless BL Frozen Ceker Grade D</t>
  </si>
  <si>
    <t>JLB0140</t>
  </si>
  <si>
    <t>Boneless BL Frozen HJA</t>
  </si>
  <si>
    <t>JLB0141</t>
  </si>
  <si>
    <t>Boneless BL Frozen HJA - Ampela</t>
  </si>
  <si>
    <t>JLB0142</t>
  </si>
  <si>
    <t>Boneless BL Frozen HJA - Ampela Grade</t>
  </si>
  <si>
    <t>JLB0143</t>
  </si>
  <si>
    <t>Boneless BL Frozen HJA - Ampela Grade D</t>
  </si>
  <si>
    <t>JLB0144</t>
  </si>
  <si>
    <t>Boneless BL Frozen HJA - Hati</t>
  </si>
  <si>
    <t>JLB0145</t>
  </si>
  <si>
    <t>Boneless BL Frozen HJA - Hati Grade</t>
  </si>
  <si>
    <t>JLB0146</t>
  </si>
  <si>
    <t>Boneless BL Frozen HJA - Hati Grade D</t>
  </si>
  <si>
    <t>JLB0147</t>
  </si>
  <si>
    <t>Boneless BL Frozen HJA - Jantung</t>
  </si>
  <si>
    <t>JLB0148</t>
  </si>
  <si>
    <t>Boneless BL Frozen HJA - Jantung Grade</t>
  </si>
  <si>
    <t>JLB0149</t>
  </si>
  <si>
    <t>Boneless BL Frozen HJA - Jantung Grade D</t>
  </si>
  <si>
    <t>JLB0150</t>
  </si>
  <si>
    <t>Boneless BL Frozen HJA Grade</t>
  </si>
  <si>
    <t>JLB0151</t>
  </si>
  <si>
    <t>Boneless BL Frozen HJA Grade D</t>
  </si>
  <si>
    <t>JLB0152</t>
  </si>
  <si>
    <t>Boneless BL Frozen Kepala</t>
  </si>
  <si>
    <t>JLB0153</t>
  </si>
  <si>
    <t>Boneless BL Frozen Kepala - Batok Kepala</t>
  </si>
  <si>
    <t>JLB0154</t>
  </si>
  <si>
    <t>Boneless BL Frozen Kepala - Batok Kepala Grade D</t>
  </si>
  <si>
    <t>JLB0155</t>
  </si>
  <si>
    <t>Boneless BL Frozen Kepala - Kulit Leher</t>
  </si>
  <si>
    <t>JLB0156</t>
  </si>
  <si>
    <t>Boneless BL Frozen Kepala - Kulit Leher Grade D</t>
  </si>
  <si>
    <t>JLB0157</t>
  </si>
  <si>
    <t>Boneless BL Frozen Kepala - Selang Leher</t>
  </si>
  <si>
    <t>JLB0158</t>
  </si>
  <si>
    <t>Boneless BL Frozen Kepala - Selang Leher Grade D</t>
  </si>
  <si>
    <t>JLB0159</t>
  </si>
  <si>
    <t>Boneless BL Frozen Kepala - Trimming Leher</t>
  </si>
  <si>
    <t>JLB0160</t>
  </si>
  <si>
    <t>Boneless BL Frozen Kepala - Trimming Leher Grade D</t>
  </si>
  <si>
    <t>JLB0161</t>
  </si>
  <si>
    <t>Boneless BL Frozen Kepala - Tulang Leher</t>
  </si>
  <si>
    <t>JLB0162</t>
  </si>
  <si>
    <t>Boneless BL Frozen Kepala - Tulang Leher Grade D</t>
  </si>
  <si>
    <t>JLB0163</t>
  </si>
  <si>
    <t>Boneless BL Frozen Kepala Grade D</t>
  </si>
  <si>
    <t>Boneless BL Frozen KRK</t>
  </si>
  <si>
    <t>JLB0165</t>
  </si>
  <si>
    <t>Boneless BL Frozen KRK - Kulit KRK</t>
  </si>
  <si>
    <t>JLB0166</t>
  </si>
  <si>
    <t>Boneless BL Frozen KRK - Kulit KRK grade D</t>
  </si>
  <si>
    <t>JLB0167</t>
  </si>
  <si>
    <t>Boneless BL Frozen KRK - Trimming KRK</t>
  </si>
  <si>
    <t>JLB0168</t>
  </si>
  <si>
    <t>Boneless BL Frozen KRK - Tulang KRK</t>
  </si>
  <si>
    <t>JLB0169</t>
  </si>
  <si>
    <t>Boneless BL Frozen KRK - Tulang KRK Grade D</t>
  </si>
  <si>
    <t>JLB0170</t>
  </si>
  <si>
    <t>Boneless BL Frozen KRK - Tulang Muda</t>
  </si>
  <si>
    <t>JLB0171</t>
  </si>
  <si>
    <t>Boneless BL Frozen KRK - Tulang Muda Grade D</t>
  </si>
  <si>
    <t>Boneless BL Frozen KRK - Tungir KRK</t>
  </si>
  <si>
    <t>JLB0173</t>
  </si>
  <si>
    <t>Boneless BL Frozen KRK - Tungir KRK Grade D</t>
  </si>
  <si>
    <t>JLB0174</t>
  </si>
  <si>
    <t>Boneless BL Frozen KRK Grade D</t>
  </si>
  <si>
    <t>Boneless BL Frozen Kulit</t>
  </si>
  <si>
    <t>JLB0176</t>
  </si>
  <si>
    <t>Boneless BL Frozen Kulit Grade D</t>
  </si>
  <si>
    <t>Boneless BL Frozen Lemak</t>
  </si>
  <si>
    <t>JLB0178</t>
  </si>
  <si>
    <t>Boneless BL Frozen Lemak Grade D</t>
  </si>
  <si>
    <t>Boneless BL Frozen Sayap Grade A</t>
  </si>
  <si>
    <t>JLB0180</t>
  </si>
  <si>
    <t>Boneless BL Frozen Sayap Grade B</t>
  </si>
  <si>
    <t>JLB0181</t>
  </si>
  <si>
    <t>Boneless BL Frozen Sayap Grade C</t>
  </si>
  <si>
    <t>JLB0182</t>
  </si>
  <si>
    <t>Boneless BL Frozen Sayap Grade D</t>
  </si>
  <si>
    <t>Boneless BL Frozen Sayap Premium</t>
  </si>
  <si>
    <t>Boneless BL Frozen TLP</t>
  </si>
  <si>
    <t>JLB0185</t>
  </si>
  <si>
    <t>Boneless BL Frozen TLP - Tendon TLP</t>
  </si>
  <si>
    <t>JLB0186</t>
  </si>
  <si>
    <t>Boneless BL Frozen TLP - Tendon TLP Grade D</t>
  </si>
  <si>
    <t>JLB0187</t>
  </si>
  <si>
    <t>Boneless BL Frozen TLP - Trimming TLP</t>
  </si>
  <si>
    <t>JLB0188</t>
  </si>
  <si>
    <t>Boneless BL Frozen TLP - Trimming TLP Grade D</t>
  </si>
  <si>
    <t>JLB0189</t>
  </si>
  <si>
    <t>Boneless BL Frozen TLP - Tulang L</t>
  </si>
  <si>
    <t>JLB0190</t>
  </si>
  <si>
    <t>Boneless BL Frozen TLP - Tulang L Grade D</t>
  </si>
  <si>
    <t>JLB0191</t>
  </si>
  <si>
    <t>Boneless BL Frozen TLP - Tulang Muda TLP</t>
  </si>
  <si>
    <t>JLB0192</t>
  </si>
  <si>
    <t>Boneless BL Frozen TLP - Tulang Muda TLP Grade D</t>
  </si>
  <si>
    <t>JLB0193</t>
  </si>
  <si>
    <t>Boneless BL Frozen TLP Grade D</t>
  </si>
  <si>
    <t>JLB0194</t>
  </si>
  <si>
    <t>Boneless BL Frozen Usus Kotor</t>
  </si>
  <si>
    <t>JLB0195</t>
  </si>
  <si>
    <t>Boneless BL Frozen Usus Kotor Grade D</t>
  </si>
  <si>
    <t>JLB0196</t>
  </si>
  <si>
    <t>Boneless BLD Fresh Frade D</t>
  </si>
  <si>
    <t>JLB0197</t>
  </si>
  <si>
    <t>Boneless BLD Fresh Grade A</t>
  </si>
  <si>
    <t>JLB0198</t>
  </si>
  <si>
    <t>Boneless BLD Fresh Premium</t>
  </si>
  <si>
    <t>JLB0199</t>
  </si>
  <si>
    <t>Boneless BLD Frozen Grade A</t>
  </si>
  <si>
    <t>JLB0200</t>
  </si>
  <si>
    <t>Boneless BLD Frozen Grade B</t>
  </si>
  <si>
    <t>Boneless BLD Frozen Premium</t>
  </si>
  <si>
    <t>JLB0202</t>
  </si>
  <si>
    <t>Boneless BLDK Fresh Grade A</t>
  </si>
  <si>
    <t>JLB0203</t>
  </si>
  <si>
    <t>Boneless BLDK Fresh Grade D</t>
  </si>
  <si>
    <t>JLB0204</t>
  </si>
  <si>
    <t>Boneless BLDK Fresh Premium</t>
  </si>
  <si>
    <t>JLB0205</t>
  </si>
  <si>
    <t>Boneless BLDK Frozen Grade A</t>
  </si>
  <si>
    <t>JLB0206</t>
  </si>
  <si>
    <t>Boneless BLDK Frozen Grade D</t>
  </si>
  <si>
    <t>JLB0207</t>
  </si>
  <si>
    <t>Boneless BLDK Frozen Premium</t>
  </si>
  <si>
    <t>JLB0208</t>
  </si>
  <si>
    <t>Boneless BLP Fresh Grade A</t>
  </si>
  <si>
    <t>JLB0209</t>
  </si>
  <si>
    <t>Boneless BLP Fresh Grade D</t>
  </si>
  <si>
    <t>JLB0210</t>
  </si>
  <si>
    <t>Boneless BLP Fresh Premium</t>
  </si>
  <si>
    <t>JLB0211</t>
  </si>
  <si>
    <t>Boneless BLP Frozen Grade A</t>
  </si>
  <si>
    <t>JLB0212</t>
  </si>
  <si>
    <t>Boneless BLP Frozen Grade D</t>
  </si>
  <si>
    <t>Boneless BLP Frozen Premium</t>
  </si>
  <si>
    <t>JLB0214</t>
  </si>
  <si>
    <t>Boneless BLPK Fresh Grade A</t>
  </si>
  <si>
    <t>JLB0215</t>
  </si>
  <si>
    <t>Boneless BLPK Fresh Grade D</t>
  </si>
  <si>
    <t>JLB0216</t>
  </si>
  <si>
    <t>Boneless BLPK Fresh Premium</t>
  </si>
  <si>
    <t>JLB0217</t>
  </si>
  <si>
    <t>Boneless BLPK Frozen Grade A</t>
  </si>
  <si>
    <t>JLB0218</t>
  </si>
  <si>
    <t>Boneless BLPK Frozen Grade D</t>
  </si>
  <si>
    <t>JLB0219</t>
  </si>
  <si>
    <t>Boneless BLPK Frozen Premium</t>
  </si>
  <si>
    <t>JLB0220</t>
  </si>
  <si>
    <t>CCM KERONGKONG FULL CCM KERONGKONG FULL FRESH</t>
  </si>
  <si>
    <t>JLB0221</t>
  </si>
  <si>
    <t>CCM KERONGKONG FULL CCM KERONGKONG FULL FRESH GRADE</t>
  </si>
  <si>
    <t>JLB0222</t>
  </si>
  <si>
    <t>CCM KERONGKONG FULL CCM KERONGKONG FULL FROZEN</t>
  </si>
  <si>
    <t>JLB0223</t>
  </si>
  <si>
    <t>CCM KERONGKONG FULL CCM KERONGKONG FULL FROZEN GRADE</t>
  </si>
  <si>
    <t>JLB0224</t>
  </si>
  <si>
    <t>CCM TULANG LEHER + KRK CCM TULANG LEHER + KRK FRESH</t>
  </si>
  <si>
    <t>JLB0225</t>
  </si>
  <si>
    <t>CCM TULANG LEHER + KRK CCM TULANG LEHER + KRK FRESH GRADE</t>
  </si>
  <si>
    <t>JLB0226</t>
  </si>
  <si>
    <t>CCM TULANG LEHER + KRK CCM TULANG LEHER + KRK FROZEN</t>
  </si>
  <si>
    <t>JLB0227</t>
  </si>
  <si>
    <t>CCM TULANG LEHER + KRK CCM TULANG LEHER + KRK FROZEN GRADE</t>
  </si>
  <si>
    <t>JLB0228</t>
  </si>
  <si>
    <t>CCM TULANG LEHER + TLP CCM TULANG LEHER + TLP FRESH</t>
  </si>
  <si>
    <t>JLB0229</t>
  </si>
  <si>
    <t>CCM TULANG LEHER + TLP CCM TULANG LEHER + TLP FRESH GRADE</t>
  </si>
  <si>
    <t>JLB0230</t>
  </si>
  <si>
    <t>CCM TULANG LEHER + TLP CCM TULANG LEHER + TLP FROZEN</t>
  </si>
  <si>
    <t>JLB0231</t>
  </si>
  <si>
    <t>CCM TULANG LEHER + TLP CCM TULANG LEHER + TLP FROZEN GRADE</t>
  </si>
  <si>
    <t>JLB0232</t>
  </si>
  <si>
    <t>Ceker Tanpa tulang Ceker tanpa tulang Fresh</t>
  </si>
  <si>
    <t>JLB0233</t>
  </si>
  <si>
    <t>Ceker Tanpa tulang Ceker tanpa tulang Fresh Frozen</t>
  </si>
  <si>
    <t>JLB0234</t>
  </si>
  <si>
    <t>Ceker Tanpa tulang Ceker tanpa tulang Fresh Grade</t>
  </si>
  <si>
    <t>JLB0235</t>
  </si>
  <si>
    <t>Ceker Tanpa tulang Ceker tanpa tulang Frozen</t>
  </si>
  <si>
    <t>JLB0236</t>
  </si>
  <si>
    <t>JLB0237</t>
  </si>
  <si>
    <t>JLB0238</t>
  </si>
  <si>
    <t>JLB0239</t>
  </si>
  <si>
    <t>JLB0240</t>
  </si>
  <si>
    <t>JLB0241</t>
  </si>
  <si>
    <t>JLB0242</t>
  </si>
  <si>
    <t>JLB0243</t>
  </si>
  <si>
    <t>JLB0244</t>
  </si>
  <si>
    <t>JLB0245</t>
  </si>
  <si>
    <t>JLB0246</t>
  </si>
  <si>
    <t>JLB0247</t>
  </si>
  <si>
    <t>JLB0248</t>
  </si>
  <si>
    <t>JLB0249</t>
  </si>
  <si>
    <t>JLB0250</t>
  </si>
  <si>
    <t>JLB0251</t>
  </si>
  <si>
    <t>JLB0252</t>
  </si>
  <si>
    <t>JLB0253</t>
  </si>
  <si>
    <t>JLB0254</t>
  </si>
  <si>
    <t>JLB0255</t>
  </si>
  <si>
    <t>JLB0256</t>
  </si>
  <si>
    <t>JLB0257</t>
  </si>
  <si>
    <t>JLB0258</t>
  </si>
  <si>
    <t>JLB0259</t>
  </si>
  <si>
    <t>JLB0260</t>
  </si>
  <si>
    <t>JLB0261</t>
  </si>
  <si>
    <t>JLB0262</t>
  </si>
  <si>
    <t>JLB0263</t>
  </si>
  <si>
    <t>JLB0264</t>
  </si>
  <si>
    <t>JLB0265</t>
  </si>
  <si>
    <t>JLB0266</t>
  </si>
  <si>
    <t>JLB0267</t>
  </si>
  <si>
    <t>JLB0268</t>
  </si>
  <si>
    <t>JLB0269</t>
  </si>
  <si>
    <t>JLB0270</t>
  </si>
  <si>
    <t>JLB0271</t>
  </si>
  <si>
    <t>JLB0272</t>
  </si>
  <si>
    <t>JLB0273</t>
  </si>
  <si>
    <t>JLB0274</t>
  </si>
  <si>
    <t>JLB0275</t>
  </si>
  <si>
    <t>JLB0276</t>
  </si>
  <si>
    <t>JLB0277</t>
  </si>
  <si>
    <t>JLB0278</t>
  </si>
  <si>
    <t>JLB0279</t>
  </si>
  <si>
    <t>JLB0280</t>
  </si>
  <si>
    <t>JLB0281</t>
  </si>
  <si>
    <t>JLB0282</t>
  </si>
  <si>
    <t>JLB0283</t>
  </si>
  <si>
    <t>JLB0284</t>
  </si>
  <si>
    <t>JLB0285</t>
  </si>
  <si>
    <t>JLB0286</t>
  </si>
  <si>
    <t>JLB0287</t>
  </si>
  <si>
    <t>JLB0288</t>
  </si>
  <si>
    <t>JLB0289</t>
  </si>
  <si>
    <t>JLB0290</t>
  </si>
  <si>
    <t>JLB0291</t>
  </si>
  <si>
    <t>JLB0292</t>
  </si>
  <si>
    <t>JLB0293</t>
  </si>
  <si>
    <t>JLB0294</t>
  </si>
  <si>
    <t>JLB0295</t>
  </si>
  <si>
    <t>JLB0296</t>
  </si>
  <si>
    <t>JLB0297</t>
  </si>
  <si>
    <t>JLB0298</t>
  </si>
  <si>
    <t>JLB0299</t>
  </si>
  <si>
    <t>JLB0300</t>
  </si>
  <si>
    <t>JLB0301</t>
  </si>
  <si>
    <t>JLB0302</t>
  </si>
  <si>
    <t>JLB0303</t>
  </si>
  <si>
    <t>JLB0304</t>
  </si>
  <si>
    <t>JLB0305</t>
  </si>
  <si>
    <t>JLB0306</t>
  </si>
  <si>
    <t>JLB0307</t>
  </si>
  <si>
    <t>JLB0308</t>
  </si>
  <si>
    <t>JLB0309</t>
  </si>
  <si>
    <t>JLB0310</t>
  </si>
  <si>
    <t>JLB0311</t>
  </si>
  <si>
    <t>JLB0312</t>
  </si>
  <si>
    <t>JLB0313</t>
  </si>
  <si>
    <t>JLB0314</t>
  </si>
  <si>
    <t>JLB0315</t>
  </si>
  <si>
    <t>JLB0316</t>
  </si>
  <si>
    <t>JLB0317</t>
  </si>
  <si>
    <t>JLB0318</t>
  </si>
  <si>
    <t>JLB0319</t>
  </si>
  <si>
    <t>JLB0320</t>
  </si>
  <si>
    <t>JLB0321</t>
  </si>
  <si>
    <t>JLB0322</t>
  </si>
  <si>
    <t>JLB0323</t>
  </si>
  <si>
    <t>JLB0324</t>
  </si>
  <si>
    <t>JLB0325</t>
  </si>
  <si>
    <t>JLB0326</t>
  </si>
  <si>
    <t>JLB0327</t>
  </si>
  <si>
    <t>JLB0328</t>
  </si>
  <si>
    <t>JLB0329</t>
  </si>
  <si>
    <t>JLB0330</t>
  </si>
  <si>
    <t>JLB0331</t>
  </si>
  <si>
    <t>JLB0332</t>
  </si>
  <si>
    <t>JLB0333</t>
  </si>
  <si>
    <t>JLB0334</t>
  </si>
  <si>
    <t>JLB0335</t>
  </si>
  <si>
    <t>JLB0336</t>
  </si>
  <si>
    <t>JLB0337</t>
  </si>
  <si>
    <t>JLB0338</t>
  </si>
  <si>
    <t>JLB0339</t>
  </si>
  <si>
    <t>JLB0340</t>
  </si>
  <si>
    <t>JLB0341</t>
  </si>
  <si>
    <t>JLB0342</t>
  </si>
  <si>
    <t>JLB0343</t>
  </si>
  <si>
    <t>JLB0344</t>
  </si>
  <si>
    <t>JLB0345</t>
  </si>
  <si>
    <t>JLB0346</t>
  </si>
  <si>
    <t>JLB0347</t>
  </si>
  <si>
    <t>JLB0348</t>
  </si>
  <si>
    <t>JLB0349</t>
  </si>
  <si>
    <t>JLB0350</t>
  </si>
  <si>
    <t>JLB0351</t>
  </si>
  <si>
    <t>JLB0352</t>
  </si>
  <si>
    <t>JLB0353</t>
  </si>
  <si>
    <t>JLB0354</t>
  </si>
  <si>
    <t>JLB0355</t>
  </si>
  <si>
    <t>JLB0356</t>
  </si>
  <si>
    <t>JLB0357</t>
  </si>
  <si>
    <t>JLB0358</t>
  </si>
  <si>
    <t>JLB0359</t>
  </si>
  <si>
    <t>JLB0360</t>
  </si>
  <si>
    <t>JLB0361</t>
  </si>
  <si>
    <t>JLB0362</t>
  </si>
  <si>
    <t>JLB0363</t>
  </si>
  <si>
    <t>JLB0364</t>
  </si>
  <si>
    <t>JLB0365</t>
  </si>
  <si>
    <t>JLB0366</t>
  </si>
  <si>
    <t>JLB0367</t>
  </si>
  <si>
    <t>JLB0368</t>
  </si>
  <si>
    <t>JLB0369</t>
  </si>
  <si>
    <t>JLB0370</t>
  </si>
  <si>
    <t>JLB0371</t>
  </si>
  <si>
    <t>JLB0372</t>
  </si>
  <si>
    <t>JLB0373</t>
  </si>
  <si>
    <t>JLB0374</t>
  </si>
  <si>
    <t>JLB0375</t>
  </si>
  <si>
    <t>JLB0376</t>
  </si>
  <si>
    <t>JLB0377</t>
  </si>
  <si>
    <t>JLB0378</t>
  </si>
  <si>
    <t>JLB0379</t>
  </si>
  <si>
    <t>JLB0380</t>
  </si>
  <si>
    <t>JLB0381</t>
  </si>
  <si>
    <t>JLB0382</t>
  </si>
  <si>
    <t>JLB0383</t>
  </si>
  <si>
    <t>JLB0384</t>
  </si>
  <si>
    <t>JLB0385</t>
  </si>
  <si>
    <t>JLB0386</t>
  </si>
  <si>
    <t>JLB0387</t>
  </si>
  <si>
    <t>JLB0388</t>
  </si>
  <si>
    <t>JLB0389</t>
  </si>
  <si>
    <t>JLB0390</t>
  </si>
  <si>
    <t>JLB0391</t>
  </si>
  <si>
    <t>JLB0392</t>
  </si>
  <si>
    <t>JLB0393</t>
  </si>
  <si>
    <t>JLB0394</t>
  </si>
  <si>
    <t>JLB0395</t>
  </si>
  <si>
    <t>JLB0396</t>
  </si>
  <si>
    <t>JLB0397</t>
  </si>
  <si>
    <t>JLB0398</t>
  </si>
  <si>
    <t>JLB0399</t>
  </si>
  <si>
    <t>JLB0400</t>
  </si>
  <si>
    <t>JLB0401</t>
  </si>
  <si>
    <t>JLB0402</t>
  </si>
  <si>
    <t>JLB0403</t>
  </si>
  <si>
    <t>JLB0404</t>
  </si>
  <si>
    <t>JLB0405</t>
  </si>
  <si>
    <t>JLB0406</t>
  </si>
  <si>
    <t>JLB0407</t>
  </si>
  <si>
    <t>JLB0408</t>
  </si>
  <si>
    <t>JLB0409</t>
  </si>
  <si>
    <t>JLB0410</t>
  </si>
  <si>
    <t>JLB0411</t>
  </si>
  <si>
    <t>JLB0412</t>
  </si>
  <si>
    <t>JLB0413</t>
  </si>
  <si>
    <t>JLB0414</t>
  </si>
  <si>
    <t>JLB0415</t>
  </si>
  <si>
    <t>JLB0416</t>
  </si>
  <si>
    <t>JLB0417</t>
  </si>
  <si>
    <t>JLB0418</t>
  </si>
  <si>
    <t>JLB0419</t>
  </si>
  <si>
    <t>JLB0420</t>
  </si>
  <si>
    <t>JLB0421</t>
  </si>
  <si>
    <t>JLB0422</t>
  </si>
  <si>
    <t>JLB0423</t>
  </si>
  <si>
    <t>JLB0424</t>
  </si>
  <si>
    <t>JLB0425</t>
  </si>
  <si>
    <t>JLB0426</t>
  </si>
  <si>
    <t>JLB0427</t>
  </si>
  <si>
    <t>JLB0428</t>
  </si>
  <si>
    <t>JLB0429</t>
  </si>
  <si>
    <t>JLB0430</t>
  </si>
  <si>
    <t>JLB0431</t>
  </si>
  <si>
    <t>JLB0432</t>
  </si>
  <si>
    <t>JLB0433</t>
  </si>
  <si>
    <t>JLB0434</t>
  </si>
  <si>
    <t>JLB0435</t>
  </si>
  <si>
    <t>JLB0436</t>
  </si>
  <si>
    <t>JLB0437</t>
  </si>
  <si>
    <t>JLB0438</t>
  </si>
  <si>
    <t>JLB0439</t>
  </si>
  <si>
    <t>JLB0440</t>
  </si>
  <si>
    <t>JLB0441</t>
  </si>
  <si>
    <t>JLB0442</t>
  </si>
  <si>
    <t>JLB0443</t>
  </si>
  <si>
    <t>JLB0444</t>
  </si>
  <si>
    <t>JLB0445</t>
  </si>
  <si>
    <t>JLB0446</t>
  </si>
  <si>
    <t>JLB0447</t>
  </si>
  <si>
    <t>JLB0448</t>
  </si>
  <si>
    <t>JLB0449</t>
  </si>
  <si>
    <t>JLB0450</t>
  </si>
  <si>
    <t>JLB0451</t>
  </si>
  <si>
    <t>JLB0452</t>
  </si>
  <si>
    <t>JLB0453</t>
  </si>
  <si>
    <t>JLB0454</t>
  </si>
  <si>
    <t>JLB0455</t>
  </si>
  <si>
    <t>JLB0456</t>
  </si>
  <si>
    <t>JLB0457</t>
  </si>
  <si>
    <t>JLB0458</t>
  </si>
  <si>
    <t>JLB0459</t>
  </si>
  <si>
    <t>JLB0460</t>
  </si>
  <si>
    <t>JLB0461</t>
  </si>
  <si>
    <t>JLB0462</t>
  </si>
  <si>
    <t>JLB0463</t>
  </si>
  <si>
    <t>JLB0464</t>
  </si>
  <si>
    <t>JLB0465</t>
  </si>
  <si>
    <t>JLB0466</t>
  </si>
  <si>
    <t>JLB0467</t>
  </si>
  <si>
    <t>JLB0468</t>
  </si>
  <si>
    <t>JLB0469</t>
  </si>
  <si>
    <t>JLB0470</t>
  </si>
  <si>
    <t>JLB0471</t>
  </si>
  <si>
    <t>JLB0472</t>
  </si>
  <si>
    <t>JLB0473</t>
  </si>
  <si>
    <t>JLB0474</t>
  </si>
  <si>
    <t>JLB0475</t>
  </si>
  <si>
    <t>JLB0476</t>
  </si>
  <si>
    <t>JLB0477</t>
  </si>
  <si>
    <t>JLB0478</t>
  </si>
  <si>
    <t>JLB0479</t>
  </si>
  <si>
    <t>JLB0480</t>
  </si>
  <si>
    <t>JLB0481</t>
  </si>
  <si>
    <t>JLB0482</t>
  </si>
  <si>
    <t>JLB0483</t>
  </si>
  <si>
    <t>JLB0484</t>
  </si>
  <si>
    <t>JLB0485</t>
  </si>
  <si>
    <t>JLB0486</t>
  </si>
  <si>
    <t>JLB0487</t>
  </si>
  <si>
    <t>JLB0488</t>
  </si>
  <si>
    <t>JLB0489</t>
  </si>
  <si>
    <t>JLB0490</t>
  </si>
  <si>
    <t>JLB0491</t>
  </si>
  <si>
    <t>JLB0492</t>
  </si>
  <si>
    <t>JLB0493</t>
  </si>
  <si>
    <t>JLB0494</t>
  </si>
  <si>
    <t>JLB0495</t>
  </si>
  <si>
    <t>JLB0496</t>
  </si>
  <si>
    <t>JLB0497</t>
  </si>
  <si>
    <t>JLB0498</t>
  </si>
  <si>
    <t>JLB0499</t>
  </si>
  <si>
    <t>JLB0500</t>
  </si>
  <si>
    <t>JLB0501</t>
  </si>
  <si>
    <t>JLB0502</t>
  </si>
  <si>
    <t>JLB0503</t>
  </si>
  <si>
    <t>JLB0504</t>
  </si>
  <si>
    <t>JLB0505</t>
  </si>
  <si>
    <t>JLB0506</t>
  </si>
  <si>
    <t>JLB0507</t>
  </si>
  <si>
    <t>JLB0508</t>
  </si>
  <si>
    <t>JLB0509</t>
  </si>
  <si>
    <t>JLB0510</t>
  </si>
  <si>
    <t>JLB0511</t>
  </si>
  <si>
    <t>JLB0512</t>
  </si>
  <si>
    <t>JLB0513</t>
  </si>
  <si>
    <t>JLB0514</t>
  </si>
  <si>
    <t>JLB0515</t>
  </si>
  <si>
    <t>JLB0516</t>
  </si>
  <si>
    <t>JLB0517</t>
  </si>
  <si>
    <t>JLB0518</t>
  </si>
  <si>
    <t>JLB0519</t>
  </si>
  <si>
    <t>JLB0520</t>
  </si>
  <si>
    <t>JLB0521</t>
  </si>
  <si>
    <t>JLB0522</t>
  </si>
  <si>
    <t>JLB0523</t>
  </si>
  <si>
    <t>JLB0524</t>
  </si>
  <si>
    <t>JLB0525</t>
  </si>
  <si>
    <t>JLB0526</t>
  </si>
  <si>
    <t>JLB0527</t>
  </si>
  <si>
    <t>JLB0528</t>
  </si>
  <si>
    <t>JLB0529</t>
  </si>
  <si>
    <t>JLB0530</t>
  </si>
  <si>
    <t>JLB0531</t>
  </si>
  <si>
    <t>JLB0532</t>
  </si>
  <si>
    <t>JLB0533</t>
  </si>
  <si>
    <t>JLB0534</t>
  </si>
  <si>
    <t>JLB0535</t>
  </si>
  <si>
    <t>JLB0536</t>
  </si>
  <si>
    <t>JLB0537</t>
  </si>
  <si>
    <t>JLB0538</t>
  </si>
  <si>
    <t>JLB0539</t>
  </si>
  <si>
    <t>JLB0540</t>
  </si>
  <si>
    <t>JLB0541</t>
  </si>
  <si>
    <t>JLB0542</t>
  </si>
  <si>
    <t>JLB0543</t>
  </si>
  <si>
    <t>JLB0544</t>
  </si>
  <si>
    <t>JLB0545</t>
  </si>
  <si>
    <t>JLB0546</t>
  </si>
  <si>
    <t>JLB0547</t>
  </si>
  <si>
    <t>JLB0548</t>
  </si>
  <si>
    <t>JLB0549</t>
  </si>
  <si>
    <t>JLB0550</t>
  </si>
  <si>
    <t>JLB0551</t>
  </si>
  <si>
    <t>JLB0552</t>
  </si>
  <si>
    <t>JLB0553</t>
  </si>
  <si>
    <t>JLB0554</t>
  </si>
  <si>
    <t>JLB0555</t>
  </si>
  <si>
    <t>JLB0556</t>
  </si>
  <si>
    <t>JLB0557</t>
  </si>
  <si>
    <t>JLB0558</t>
  </si>
  <si>
    <t>JLB0559</t>
  </si>
  <si>
    <t>JLB0560</t>
  </si>
  <si>
    <t>JLB0561</t>
  </si>
  <si>
    <t>JLB0562</t>
  </si>
  <si>
    <t>JLB0563</t>
  </si>
  <si>
    <t>JLB0564</t>
  </si>
  <si>
    <t>JLB0565</t>
  </si>
  <si>
    <t>JLB0566</t>
  </si>
  <si>
    <t>JLB0567</t>
  </si>
  <si>
    <t>JLB0568</t>
  </si>
  <si>
    <t>JLB0569</t>
  </si>
  <si>
    <t>JLB0570</t>
  </si>
  <si>
    <t>JLB0571</t>
  </si>
  <si>
    <t>JLB0572</t>
  </si>
  <si>
    <t>JLB0573</t>
  </si>
  <si>
    <t>JLB0574</t>
  </si>
  <si>
    <t>JLB0575</t>
  </si>
  <si>
    <t>JLB0576</t>
  </si>
  <si>
    <t>JLB0577</t>
  </si>
  <si>
    <t>JLB0578</t>
  </si>
  <si>
    <t>JLB0579</t>
  </si>
  <si>
    <t>JLB0580</t>
  </si>
  <si>
    <t>JLB0581</t>
  </si>
  <si>
    <t>JLB0582</t>
  </si>
  <si>
    <t>JLB0583</t>
  </si>
  <si>
    <t>JLB0584</t>
  </si>
  <si>
    <t>JLB0585</t>
  </si>
  <si>
    <t>JLB0586</t>
  </si>
  <si>
    <t>JLB0587</t>
  </si>
  <si>
    <t>JLB0588</t>
  </si>
  <si>
    <t>JLB0589</t>
  </si>
  <si>
    <t>JLB0590</t>
  </si>
  <si>
    <t>JLB0591</t>
  </si>
  <si>
    <t>JLB0592</t>
  </si>
  <si>
    <t>JLB0593</t>
  </si>
  <si>
    <t>JLB0594</t>
  </si>
  <si>
    <t>JLB0595</t>
  </si>
  <si>
    <t>JLB0596</t>
  </si>
  <si>
    <t>JLB0597</t>
  </si>
  <si>
    <t>JLB0598</t>
  </si>
  <si>
    <t>JLB0599</t>
  </si>
  <si>
    <t>JLB0600</t>
  </si>
  <si>
    <t>JLB0601</t>
  </si>
  <si>
    <t>JLB0602</t>
  </si>
  <si>
    <t>JLB0603</t>
  </si>
  <si>
    <t>JLB0604</t>
  </si>
  <si>
    <t>JLB0605</t>
  </si>
  <si>
    <t>JLB0606</t>
  </si>
  <si>
    <t>JLB0607</t>
  </si>
  <si>
    <t>JLB0608</t>
  </si>
  <si>
    <t>JLB0609</t>
  </si>
  <si>
    <t>JLB0610</t>
  </si>
  <si>
    <t>JLB0611</t>
  </si>
  <si>
    <t>JLB0612</t>
  </si>
  <si>
    <t>JLB0613</t>
  </si>
  <si>
    <t>JLB0614</t>
  </si>
  <si>
    <t>JLB0615</t>
  </si>
  <si>
    <t>JLB0616</t>
  </si>
  <si>
    <t>JLB0617</t>
  </si>
  <si>
    <t>JLB0618</t>
  </si>
  <si>
    <t>JLB0619</t>
  </si>
  <si>
    <t>JLB0620</t>
  </si>
  <si>
    <t>JLB0621</t>
  </si>
  <si>
    <t>JLB0622</t>
  </si>
  <si>
    <t>JLB0623</t>
  </si>
  <si>
    <t>JLB0624</t>
  </si>
  <si>
    <t>JLB0625</t>
  </si>
  <si>
    <t>JLB0626</t>
  </si>
  <si>
    <t>JLB0627</t>
  </si>
  <si>
    <t>JLB0628</t>
  </si>
  <si>
    <t>JLB0629</t>
  </si>
  <si>
    <t>JLB0630</t>
  </si>
  <si>
    <t>JLB0631</t>
  </si>
  <si>
    <t>JLB0632</t>
  </si>
  <si>
    <t>JLB0633</t>
  </si>
  <si>
    <t>JLB0634</t>
  </si>
  <si>
    <t>JLB0635</t>
  </si>
  <si>
    <t>JLB0636</t>
  </si>
  <si>
    <t>JLB0637</t>
  </si>
  <si>
    <t>JLB0638</t>
  </si>
  <si>
    <t>JLB0639</t>
  </si>
  <si>
    <t>JLB0640</t>
  </si>
  <si>
    <t>JLB0641</t>
  </si>
  <si>
    <t>JLB0642</t>
  </si>
  <si>
    <t>JLB0643</t>
  </si>
  <si>
    <t>JLB0644</t>
  </si>
  <si>
    <t>JLB0645</t>
  </si>
  <si>
    <t>JLB0646</t>
  </si>
  <si>
    <t>JLB0647</t>
  </si>
  <si>
    <t>JLB0648</t>
  </si>
  <si>
    <t>JLB0649</t>
  </si>
  <si>
    <t>JLB0650</t>
  </si>
  <si>
    <t>JLB0651</t>
  </si>
  <si>
    <t>JLB0652</t>
  </si>
  <si>
    <t>JLB0653</t>
  </si>
  <si>
    <t>JLB0654</t>
  </si>
  <si>
    <t>JLB0655</t>
  </si>
  <si>
    <t>JLB0656</t>
  </si>
  <si>
    <t>JLB0657</t>
  </si>
  <si>
    <t>JLB0658</t>
  </si>
  <si>
    <t>JLB0659</t>
  </si>
  <si>
    <t>JLB0660</t>
  </si>
  <si>
    <t>JLB0661</t>
  </si>
  <si>
    <t>JLB0662</t>
  </si>
  <si>
    <t>JLB0663</t>
  </si>
  <si>
    <t>JLB0664</t>
  </si>
  <si>
    <t>JLB0665</t>
  </si>
  <si>
    <t>JLB0666</t>
  </si>
  <si>
    <t>JLB0667</t>
  </si>
  <si>
    <t>JLB0668</t>
  </si>
  <si>
    <t>JLB0669</t>
  </si>
  <si>
    <t>JLB0670</t>
  </si>
  <si>
    <t>JLB0671</t>
  </si>
  <si>
    <t>JLB0672</t>
  </si>
  <si>
    <t>JLB0673</t>
  </si>
  <si>
    <t>JLB0674</t>
  </si>
  <si>
    <t>JLB0675</t>
  </si>
  <si>
    <t>JLB0676</t>
  </si>
  <si>
    <t>JLB0677</t>
  </si>
  <si>
    <t>JLB0678</t>
  </si>
  <si>
    <t>JLB0679</t>
  </si>
  <si>
    <t>JLB0680</t>
  </si>
  <si>
    <t>JLB0681</t>
  </si>
  <si>
    <t>JLB0682</t>
  </si>
  <si>
    <t>JLB0683</t>
  </si>
  <si>
    <t>JLB0684</t>
  </si>
  <si>
    <t>JLB0685</t>
  </si>
  <si>
    <t>JLB0686</t>
  </si>
  <si>
    <t>JLB0687</t>
  </si>
  <si>
    <t>JLB0688</t>
  </si>
  <si>
    <t>JLB0689</t>
  </si>
  <si>
    <t>JLB0690</t>
  </si>
  <si>
    <t>JLB0691</t>
  </si>
  <si>
    <t>JLB0692</t>
  </si>
  <si>
    <t>JLB0693</t>
  </si>
  <si>
    <t>JLB0694</t>
  </si>
  <si>
    <t>JLB0695</t>
  </si>
  <si>
    <t>JLB0696</t>
  </si>
  <si>
    <t>JLB0697</t>
  </si>
  <si>
    <t>JLB0698</t>
  </si>
  <si>
    <t>JLB0699</t>
  </si>
  <si>
    <t>JLB0700</t>
  </si>
  <si>
    <t>JLB0701</t>
  </si>
  <si>
    <t>JLB0702</t>
  </si>
  <si>
    <t>JLB0703</t>
  </si>
  <si>
    <t>JLB0704</t>
  </si>
  <si>
    <t>JLB0705</t>
  </si>
  <si>
    <t>JLB0706</t>
  </si>
  <si>
    <t>JLB0707</t>
  </si>
  <si>
    <t>JLB0708</t>
  </si>
  <si>
    <t>JLB0709</t>
  </si>
  <si>
    <t>JLB0710</t>
  </si>
  <si>
    <t>JLB0711</t>
  </si>
  <si>
    <t>JLB0712</t>
  </si>
  <si>
    <t>JLB0713</t>
  </si>
  <si>
    <t>JLB0714</t>
  </si>
  <si>
    <t>JLB0715</t>
  </si>
  <si>
    <t>JLB0716</t>
  </si>
  <si>
    <t>JLB0717</t>
  </si>
  <si>
    <t>JLB0718</t>
  </si>
  <si>
    <t>JLB0719</t>
  </si>
  <si>
    <t>JLB0720</t>
  </si>
  <si>
    <t>JLB0721</t>
  </si>
  <si>
    <t>JLB0722</t>
  </si>
  <si>
    <t>JLB0723</t>
  </si>
  <si>
    <t>JLB0724</t>
  </si>
  <si>
    <t>JLB0725</t>
  </si>
  <si>
    <t>JLB0726</t>
  </si>
  <si>
    <t>JLB0727</t>
  </si>
  <si>
    <t>JLB0728</t>
  </si>
  <si>
    <t>JLB0729</t>
  </si>
  <si>
    <t>JLB0730</t>
  </si>
  <si>
    <t>JLB0731</t>
  </si>
  <si>
    <t>JLB0732</t>
  </si>
  <si>
    <t>JLB0733</t>
  </si>
  <si>
    <t>JLB0734</t>
  </si>
  <si>
    <t>JLB0735</t>
  </si>
  <si>
    <t>JLB0736</t>
  </si>
  <si>
    <t>JLB0737</t>
  </si>
  <si>
    <t>JLB0738</t>
  </si>
  <si>
    <t>JLB0739</t>
  </si>
  <si>
    <t>JLB0740</t>
  </si>
  <si>
    <t>JLB0741</t>
  </si>
  <si>
    <t>JLB0742</t>
  </si>
  <si>
    <t>JLB0743</t>
  </si>
  <si>
    <t>JLB0744</t>
  </si>
  <si>
    <t>JLB0745</t>
  </si>
  <si>
    <t>JLB0746</t>
  </si>
  <si>
    <t>JLB0747</t>
  </si>
  <si>
    <t>JLB0748</t>
  </si>
  <si>
    <t>JLB0749</t>
  </si>
  <si>
    <t>JLB0750</t>
  </si>
  <si>
    <t>JLB0751</t>
  </si>
  <si>
    <t>JLB0752</t>
  </si>
  <si>
    <t>JLB0753</t>
  </si>
  <si>
    <t>JLB0754</t>
  </si>
  <si>
    <t>JLB0755</t>
  </si>
  <si>
    <t>JLB0756</t>
  </si>
  <si>
    <t>JLB0757</t>
  </si>
  <si>
    <t>JLB0758</t>
  </si>
  <si>
    <t>JLB0759</t>
  </si>
  <si>
    <t>JLB0760</t>
  </si>
  <si>
    <t>JLB0761</t>
  </si>
  <si>
    <t>JLB0762</t>
  </si>
  <si>
    <t>JLB0763</t>
  </si>
  <si>
    <t>JLB0764</t>
  </si>
  <si>
    <t>JLB0765</t>
  </si>
  <si>
    <t>JLB0766</t>
  </si>
  <si>
    <t>JLB0767</t>
  </si>
  <si>
    <t>JLB0768</t>
  </si>
  <si>
    <t>JLB0769</t>
  </si>
  <si>
    <t>JLB0770</t>
  </si>
  <si>
    <t>JLB0771</t>
  </si>
  <si>
    <t>JLB0772</t>
  </si>
  <si>
    <t>JLB0773</t>
  </si>
  <si>
    <t>JLB0774</t>
  </si>
  <si>
    <t>JLB0775</t>
  </si>
  <si>
    <t>JLB0776</t>
  </si>
  <si>
    <t>JLB0777</t>
  </si>
  <si>
    <t>JLB0778</t>
  </si>
  <si>
    <t>JLB0779</t>
  </si>
  <si>
    <t>JLB0780</t>
  </si>
  <si>
    <t>JLB0781</t>
  </si>
  <si>
    <t>JLB0782</t>
  </si>
  <si>
    <t>JLB0783</t>
  </si>
  <si>
    <t>JLB0784</t>
  </si>
  <si>
    <t>JLB0785</t>
  </si>
  <si>
    <t>JLB0786</t>
  </si>
  <si>
    <t>JLB0787</t>
  </si>
  <si>
    <t>JLB0788</t>
  </si>
  <si>
    <t>JLB0789</t>
  </si>
  <si>
    <t>JLB0790</t>
  </si>
  <si>
    <t>JLB0791</t>
  </si>
  <si>
    <t>JLB0792</t>
  </si>
  <si>
    <t>JLB0793</t>
  </si>
  <si>
    <t>JLB0794</t>
  </si>
  <si>
    <t>JLB0795</t>
  </si>
  <si>
    <t>JLB0796</t>
  </si>
  <si>
    <t>JLB0797</t>
  </si>
  <si>
    <t>JLB0798</t>
  </si>
  <si>
    <t>JLB0799</t>
  </si>
  <si>
    <t>JLB0800</t>
  </si>
  <si>
    <t>JLB0801</t>
  </si>
  <si>
    <t>JLB0802</t>
  </si>
  <si>
    <t>JLB0803</t>
  </si>
  <si>
    <t>JLB0804</t>
  </si>
  <si>
    <t>JLB0805</t>
  </si>
  <si>
    <t>JLB0806</t>
  </si>
  <si>
    <t>JLB0807</t>
  </si>
  <si>
    <t>JLB0808</t>
  </si>
  <si>
    <t>JLB0809</t>
  </si>
  <si>
    <t>JLB0810</t>
  </si>
  <si>
    <t>JLB0811</t>
  </si>
  <si>
    <t>JLB0812</t>
  </si>
  <si>
    <t>JLB0813</t>
  </si>
  <si>
    <t>JLB0814</t>
  </si>
  <si>
    <t>JLB0815</t>
  </si>
  <si>
    <t>JLB0816</t>
  </si>
  <si>
    <t>JLB0817</t>
  </si>
  <si>
    <t>JLB0818</t>
  </si>
  <si>
    <t>JLB0819</t>
  </si>
  <si>
    <t>JLB0820</t>
  </si>
  <si>
    <t>JLB0821</t>
  </si>
  <si>
    <t>JLB0822</t>
  </si>
  <si>
    <t>JLB0823</t>
  </si>
  <si>
    <t>JLB0824</t>
  </si>
  <si>
    <t>JLB0825</t>
  </si>
  <si>
    <t>JLB0826</t>
  </si>
  <si>
    <t>JLB0827</t>
  </si>
  <si>
    <t>JLB0828</t>
  </si>
  <si>
    <t>JLB0829</t>
  </si>
  <si>
    <t>JLB0830</t>
  </si>
  <si>
    <t>JLB0831</t>
  </si>
  <si>
    <t>JLB0832</t>
  </si>
  <si>
    <t>JLB0833</t>
  </si>
  <si>
    <t>JLB0834</t>
  </si>
  <si>
    <t>JLB0835</t>
  </si>
  <si>
    <t>JLB0836</t>
  </si>
  <si>
    <t>JLB0837</t>
  </si>
  <si>
    <t>JLB0838</t>
  </si>
  <si>
    <t>JLB0839</t>
  </si>
  <si>
    <t>JLB0840</t>
  </si>
  <si>
    <t>JLB0841</t>
  </si>
  <si>
    <t>JLB0842</t>
  </si>
  <si>
    <t>JLB0843</t>
  </si>
  <si>
    <t>JLB0844</t>
  </si>
  <si>
    <t>JLB0845</t>
  </si>
  <si>
    <t>JLB0846</t>
  </si>
  <si>
    <t>JLB0847</t>
  </si>
  <si>
    <t>JLB0848</t>
  </si>
  <si>
    <t>JLB0849</t>
  </si>
  <si>
    <t>JLB0850</t>
  </si>
  <si>
    <t>JLB0851</t>
  </si>
  <si>
    <t>JLB0852</t>
  </si>
  <si>
    <t>JLB0853</t>
  </si>
  <si>
    <t>JLB0854</t>
  </si>
  <si>
    <t>JLB0855</t>
  </si>
  <si>
    <t>JLB0856</t>
  </si>
  <si>
    <t>JLB0857</t>
  </si>
  <si>
    <t>JLB0858</t>
  </si>
  <si>
    <t>JLB0859</t>
  </si>
  <si>
    <t>JLB0860</t>
  </si>
  <si>
    <t>JLB0861</t>
  </si>
  <si>
    <t>JLB0862</t>
  </si>
  <si>
    <t>JLB0863</t>
  </si>
  <si>
    <t>JLB0864</t>
  </si>
  <si>
    <t>JLB0865</t>
  </si>
  <si>
    <t>JLB0866</t>
  </si>
  <si>
    <t>JLB0867</t>
  </si>
  <si>
    <t>JLB0868</t>
  </si>
  <si>
    <t>JLB0869</t>
  </si>
  <si>
    <t>JLB0870</t>
  </si>
  <si>
    <t>JLB0871</t>
  </si>
  <si>
    <t>JLB0872</t>
  </si>
  <si>
    <t>JLB0873</t>
  </si>
  <si>
    <t>JLB0874</t>
  </si>
  <si>
    <t>JLB0875</t>
  </si>
  <si>
    <t>JLB0876</t>
  </si>
  <si>
    <t>JLB0877</t>
  </si>
  <si>
    <t>JLB0878</t>
  </si>
  <si>
    <t>JLB0879</t>
  </si>
  <si>
    <t>JLB0880</t>
  </si>
  <si>
    <t>JLB0881</t>
  </si>
  <si>
    <t>JLB0882</t>
  </si>
  <si>
    <t>JLB0883</t>
  </si>
  <si>
    <t>JLB0884</t>
  </si>
  <si>
    <t>JLB0885</t>
  </si>
  <si>
    <t>JLB0886</t>
  </si>
  <si>
    <t>JLB0887</t>
  </si>
  <si>
    <t>JLB0888</t>
  </si>
  <si>
    <t>JLB0889</t>
  </si>
  <si>
    <t>JLB0890</t>
  </si>
  <si>
    <t>JLB0891</t>
  </si>
  <si>
    <t>JLB0892</t>
  </si>
  <si>
    <t>JLB0893</t>
  </si>
  <si>
    <t>JLB0894</t>
  </si>
  <si>
    <t>JLB0895</t>
  </si>
  <si>
    <t>JLB0896</t>
  </si>
  <si>
    <t>JLB0897</t>
  </si>
  <si>
    <t>JLB0898</t>
  </si>
  <si>
    <t>JLB0899</t>
  </si>
  <si>
    <t>JLB0900</t>
  </si>
  <si>
    <t>JLB0901</t>
  </si>
  <si>
    <t>JLB0902</t>
  </si>
  <si>
    <t>JLB0903</t>
  </si>
  <si>
    <t>JLB0904</t>
  </si>
  <si>
    <t>JLB0905</t>
  </si>
  <si>
    <t>JLB0906</t>
  </si>
  <si>
    <t>JLB0907</t>
  </si>
  <si>
    <t>JLB0908</t>
  </si>
  <si>
    <t>JLB0909</t>
  </si>
  <si>
    <t>JLB0910</t>
  </si>
  <si>
    <t>JLB0911</t>
  </si>
  <si>
    <t>JLB0912</t>
  </si>
  <si>
    <t>JLB0913</t>
  </si>
  <si>
    <t>JLB0914</t>
  </si>
  <si>
    <t>JLB0915</t>
  </si>
  <si>
    <t>JLB0916</t>
  </si>
  <si>
    <t>JLB0917</t>
  </si>
  <si>
    <t>JLB0918</t>
  </si>
  <si>
    <t>JLB0919</t>
  </si>
  <si>
    <t>JLB0920</t>
  </si>
  <si>
    <t>JLB0921</t>
  </si>
  <si>
    <t>JLB0922</t>
  </si>
  <si>
    <t>JLB0923</t>
  </si>
  <si>
    <t>JLB0924</t>
  </si>
  <si>
    <t>JLB0925</t>
  </si>
  <si>
    <t>JLB0926</t>
  </si>
  <si>
    <t>JLB0927</t>
  </si>
  <si>
    <t>JLB0928</t>
  </si>
  <si>
    <t>JLB0929</t>
  </si>
  <si>
    <t>JLB0930</t>
  </si>
  <si>
    <t>JLB0931</t>
  </si>
  <si>
    <t>JLB0932</t>
  </si>
  <si>
    <t>JLB0933</t>
  </si>
  <si>
    <t>JLB0934</t>
  </si>
  <si>
    <t>JLB0935</t>
  </si>
  <si>
    <t>JLB0936</t>
  </si>
  <si>
    <t>JLB0937</t>
  </si>
  <si>
    <t>JLB0938</t>
  </si>
  <si>
    <t>JLB0939</t>
  </si>
  <si>
    <t>JLB0940</t>
  </si>
  <si>
    <t>JLB0941</t>
  </si>
  <si>
    <t>JLB0942</t>
  </si>
  <si>
    <t>JLB0943</t>
  </si>
  <si>
    <t>JLB0944</t>
  </si>
  <si>
    <t>JLB0945</t>
  </si>
  <si>
    <t>JLB0946</t>
  </si>
  <si>
    <t>JLB0947</t>
  </si>
  <si>
    <t>JLB0948</t>
  </si>
  <si>
    <t>JLB0949</t>
  </si>
  <si>
    <t>JLB0950</t>
  </si>
  <si>
    <t>JLB0951</t>
  </si>
  <si>
    <t>JLB0952</t>
  </si>
  <si>
    <t>JLB0953</t>
  </si>
  <si>
    <t>JLB0954</t>
  </si>
  <si>
    <t>JLB0955</t>
  </si>
  <si>
    <t>JLB0956</t>
  </si>
  <si>
    <t>JLB0957</t>
  </si>
  <si>
    <t>JLB0958</t>
  </si>
  <si>
    <t>JLB0959</t>
  </si>
  <si>
    <t>JLB0960</t>
  </si>
  <si>
    <t>JLB0961</t>
  </si>
  <si>
    <t>JLB0962</t>
  </si>
  <si>
    <t>JLB0963</t>
  </si>
  <si>
    <t>JLB0964</t>
  </si>
  <si>
    <t>JLB0965</t>
  </si>
  <si>
    <t>JLB0966</t>
  </si>
  <si>
    <t>JLB0967</t>
  </si>
  <si>
    <t>JLB0968</t>
  </si>
  <si>
    <t>JLB0969</t>
  </si>
  <si>
    <t>JLB0970</t>
  </si>
  <si>
    <t>JLB0971</t>
  </si>
  <si>
    <t>JLB0972</t>
  </si>
  <si>
    <t>JLB0973</t>
  </si>
  <si>
    <t>JLB0974</t>
  </si>
  <si>
    <t>JLB0975</t>
  </si>
  <si>
    <t>JLB0976</t>
  </si>
  <si>
    <t>JLB0977</t>
  </si>
  <si>
    <t>JLB0978</t>
  </si>
  <si>
    <t>JLB0979</t>
  </si>
  <si>
    <t>JLB0980</t>
  </si>
  <si>
    <t>JLB0981</t>
  </si>
  <si>
    <t>JLB0982</t>
  </si>
  <si>
    <t>JLB0983</t>
  </si>
  <si>
    <t>JLB0984</t>
  </si>
  <si>
    <t>JLB0985</t>
  </si>
  <si>
    <t>JLB0986</t>
  </si>
  <si>
    <t>JLB0987</t>
  </si>
  <si>
    <t>JLB0989</t>
  </si>
  <si>
    <t>JLB0990</t>
  </si>
  <si>
    <t>JLB0991</t>
  </si>
  <si>
    <t>JLB0992</t>
  </si>
  <si>
    <t>JLB0993</t>
  </si>
  <si>
    <t>JLB0994</t>
  </si>
  <si>
    <t>JLB0995</t>
  </si>
  <si>
    <t>JLB0996</t>
  </si>
  <si>
    <t>JLB0997</t>
  </si>
  <si>
    <t>JLB0998</t>
  </si>
  <si>
    <t>JLB0999</t>
  </si>
  <si>
    <t>JLB1000</t>
  </si>
  <si>
    <t>JLB1001</t>
  </si>
  <si>
    <t>JLB1002</t>
  </si>
  <si>
    <t>JLB1003</t>
  </si>
  <si>
    <t>JLB1004</t>
  </si>
  <si>
    <t>JLB1005</t>
  </si>
  <si>
    <t>JLB1006</t>
  </si>
  <si>
    <t>JLB1007</t>
  </si>
  <si>
    <t>JLB1008</t>
  </si>
  <si>
    <t>JLB1009</t>
  </si>
  <si>
    <t>JLB1010</t>
  </si>
  <si>
    <t>JLB1011</t>
  </si>
  <si>
    <t>JLB1012</t>
  </si>
  <si>
    <t>JLB1013</t>
  </si>
  <si>
    <t>JLB1014</t>
  </si>
  <si>
    <t>JLB1015</t>
  </si>
  <si>
    <t>JLB1016</t>
  </si>
  <si>
    <t>JLB1017</t>
  </si>
  <si>
    <t>JLB1018</t>
  </si>
  <si>
    <t>JLB1019</t>
  </si>
  <si>
    <t>JLB1020</t>
  </si>
  <si>
    <t>JLB1021</t>
  </si>
  <si>
    <t>JLB1022</t>
  </si>
  <si>
    <t>JLB1023</t>
  </si>
  <si>
    <t>JLB1024</t>
  </si>
  <si>
    <t>JLB1025</t>
  </si>
  <si>
    <t>JLB1026</t>
  </si>
  <si>
    <t>JLB1027</t>
  </si>
  <si>
    <t>JLB1028</t>
  </si>
  <si>
    <t>JLB1029</t>
  </si>
  <si>
    <t>JLB1030</t>
  </si>
  <si>
    <t>JLB1031</t>
  </si>
  <si>
    <t>JLB1032</t>
  </si>
  <si>
    <t>JLB1033</t>
  </si>
  <si>
    <t>JLB1034</t>
  </si>
  <si>
    <t>JLB1035</t>
  </si>
  <si>
    <t>JLB1036</t>
  </si>
  <si>
    <t>JLB1037</t>
  </si>
  <si>
    <t>JLB1038</t>
  </si>
  <si>
    <t>JLB1039</t>
  </si>
  <si>
    <t>JLB1040</t>
  </si>
  <si>
    <t>JLB1041</t>
  </si>
  <si>
    <t>JLB1042</t>
  </si>
  <si>
    <t>JLB1043</t>
  </si>
  <si>
    <t>JLB1044</t>
  </si>
  <si>
    <t>JLB1045</t>
  </si>
  <si>
    <t>JLB1046</t>
  </si>
  <si>
    <t>JLB1047</t>
  </si>
  <si>
    <t>JLB1048</t>
  </si>
  <si>
    <t>JLB1049</t>
  </si>
  <si>
    <t>JLB1050</t>
  </si>
  <si>
    <t>JLB1051</t>
  </si>
  <si>
    <t>JLB1052</t>
  </si>
  <si>
    <t>JLB1053</t>
  </si>
  <si>
    <t>JLB1054</t>
  </si>
  <si>
    <t>JLB1055</t>
  </si>
  <si>
    <t>JLB1056</t>
  </si>
  <si>
    <t>JLB1057</t>
  </si>
  <si>
    <t>JLB1058</t>
  </si>
  <si>
    <t>JLB1059</t>
  </si>
  <si>
    <t>JLB1060</t>
  </si>
  <si>
    <t>JLB1061</t>
  </si>
  <si>
    <t>JLB1062</t>
  </si>
  <si>
    <t>JLB1063</t>
  </si>
  <si>
    <t>JLB1064</t>
  </si>
  <si>
    <t>JLB1065</t>
  </si>
  <si>
    <t>JLB1066</t>
  </si>
  <si>
    <t>JLB1067</t>
  </si>
  <si>
    <t>JLB1068</t>
  </si>
  <si>
    <t>JLB1069</t>
  </si>
  <si>
    <t>JLB1070</t>
  </si>
  <si>
    <t>JLB1071</t>
  </si>
  <si>
    <t>JLB1072</t>
  </si>
  <si>
    <t>JLB1073</t>
  </si>
  <si>
    <t>JLB1074</t>
  </si>
  <si>
    <t>JLB1075</t>
  </si>
  <si>
    <t>JLB1076</t>
  </si>
  <si>
    <t>JLB1077</t>
  </si>
  <si>
    <t>JLB1078</t>
  </si>
  <si>
    <t>JLB1079</t>
  </si>
  <si>
    <t>JLB1080</t>
  </si>
  <si>
    <t>JLB1081</t>
  </si>
  <si>
    <t>JLB1082</t>
  </si>
  <si>
    <t>JLB1083</t>
  </si>
  <si>
    <t>JLB1084</t>
  </si>
  <si>
    <t>JLB1085</t>
  </si>
  <si>
    <t>JLB1086</t>
  </si>
  <si>
    <t>JLB1087</t>
  </si>
  <si>
    <t>JLB1088</t>
  </si>
  <si>
    <t>JLB1089</t>
  </si>
  <si>
    <t>JLB1090</t>
  </si>
  <si>
    <t>JLB1091</t>
  </si>
  <si>
    <t>JLB1092</t>
  </si>
  <si>
    <t>JLB1093</t>
  </si>
  <si>
    <t>JLB1094</t>
  </si>
  <si>
    <t>JLB1095</t>
  </si>
  <si>
    <t>JLB1096</t>
  </si>
  <si>
    <t>JLB1097</t>
  </si>
  <si>
    <t>JLB1098</t>
  </si>
  <si>
    <t>JLB1099</t>
  </si>
  <si>
    <t>JLB1100</t>
  </si>
  <si>
    <t>JLB1101</t>
  </si>
  <si>
    <t>JLB1102</t>
  </si>
  <si>
    <t>JLB1103</t>
  </si>
  <si>
    <t>JLB1104</t>
  </si>
  <si>
    <t>JLB1105</t>
  </si>
  <si>
    <t>JLB1106</t>
  </si>
  <si>
    <t>JLB1107</t>
  </si>
  <si>
    <t>JLB1108</t>
  </si>
  <si>
    <t>JLB1109</t>
  </si>
  <si>
    <t>JLB1110</t>
  </si>
  <si>
    <t>JLB1111</t>
  </si>
  <si>
    <t>JLB1112</t>
  </si>
  <si>
    <t>JLB1113</t>
  </si>
  <si>
    <t>JLB1114</t>
  </si>
  <si>
    <t>JLB1115</t>
  </si>
  <si>
    <t>JLB1116</t>
  </si>
  <si>
    <t>JLB1117</t>
  </si>
  <si>
    <t>JLB1118</t>
  </si>
  <si>
    <t>JLB1119</t>
  </si>
  <si>
    <t>JLB1120</t>
  </si>
  <si>
    <t>JLB1121</t>
  </si>
  <si>
    <t>JLB1122</t>
  </si>
  <si>
    <t>JLB1123</t>
  </si>
  <si>
    <t>JLB1124</t>
  </si>
  <si>
    <t>JLB1125</t>
  </si>
  <si>
    <t>JLB1126</t>
  </si>
  <si>
    <t>JLB1127</t>
  </si>
  <si>
    <t>JLB1128</t>
  </si>
  <si>
    <t>JLB1129</t>
  </si>
  <si>
    <t>JLB1130</t>
  </si>
  <si>
    <t>JLB1131</t>
  </si>
  <si>
    <t>JLB1132</t>
  </si>
  <si>
    <t>JLB1133</t>
  </si>
  <si>
    <t>JLB1134</t>
  </si>
  <si>
    <t>JLB1135</t>
  </si>
  <si>
    <t>JLB1136</t>
  </si>
  <si>
    <t>JLB1137</t>
  </si>
  <si>
    <t>JLB1138</t>
  </si>
  <si>
    <t>JLB1139</t>
  </si>
  <si>
    <t>JLB1140</t>
  </si>
  <si>
    <t>JLB1141</t>
  </si>
  <si>
    <t>JLB1142</t>
  </si>
  <si>
    <t>JLB1143</t>
  </si>
  <si>
    <t>JLB1144</t>
  </si>
  <si>
    <t>JLB1145</t>
  </si>
  <si>
    <t>JLB1146</t>
  </si>
  <si>
    <t>JLB1147</t>
  </si>
  <si>
    <t>JLB1148</t>
  </si>
  <si>
    <t>JLB1149</t>
  </si>
  <si>
    <t>JLB1150</t>
  </si>
  <si>
    <t>JLB1151</t>
  </si>
  <si>
    <t>JLB1152</t>
  </si>
  <si>
    <t>JLB1153</t>
  </si>
  <si>
    <t>JLB1154</t>
  </si>
  <si>
    <t>JLB1155</t>
  </si>
  <si>
    <t>JLB1156</t>
  </si>
  <si>
    <t>JLB1157</t>
  </si>
  <si>
    <t>JLB1158</t>
  </si>
  <si>
    <t>JLB1159</t>
  </si>
  <si>
    <t>JLB1160</t>
  </si>
  <si>
    <t>JLB1161</t>
  </si>
  <si>
    <t>JLB1162</t>
  </si>
  <si>
    <t>JLB1163</t>
  </si>
  <si>
    <t>JLB1164</t>
  </si>
  <si>
    <t>JLB1165</t>
  </si>
  <si>
    <t>JLB1166</t>
  </si>
  <si>
    <t>JLB1167</t>
  </si>
  <si>
    <t>JLB1168</t>
  </si>
  <si>
    <t>JLB1169</t>
  </si>
  <si>
    <t>JLB1170</t>
  </si>
  <si>
    <t>JLB1171</t>
  </si>
  <si>
    <t>JLB1172</t>
  </si>
  <si>
    <t>JLB1173</t>
  </si>
  <si>
    <t>JLB1174</t>
  </si>
  <si>
    <t>JLB1175</t>
  </si>
  <si>
    <t>JLB1176</t>
  </si>
  <si>
    <t>JLB1177</t>
  </si>
  <si>
    <t>JLB1178</t>
  </si>
  <si>
    <t>JLB1179</t>
  </si>
  <si>
    <t>JLB1180</t>
  </si>
  <si>
    <t>JLB1181</t>
  </si>
  <si>
    <t>JLB1182</t>
  </si>
  <si>
    <t>JLB1183</t>
  </si>
  <si>
    <t>JLB1184</t>
  </si>
  <si>
    <t>JLB1185</t>
  </si>
  <si>
    <t>JLB1186</t>
  </si>
  <si>
    <t>JLB1187</t>
  </si>
  <si>
    <t>JLB1188</t>
  </si>
  <si>
    <t>JLB1189</t>
  </si>
  <si>
    <t>JLB1190</t>
  </si>
  <si>
    <t>JLB1191</t>
  </si>
  <si>
    <t>JLB1192</t>
  </si>
  <si>
    <t>JLB1193</t>
  </si>
  <si>
    <t>JLB1194</t>
  </si>
  <si>
    <t>JLB1195</t>
  </si>
  <si>
    <t>JLB1196</t>
  </si>
  <si>
    <t>JLB1197</t>
  </si>
  <si>
    <t>JLB1198</t>
  </si>
  <si>
    <t>JLB1199</t>
  </si>
  <si>
    <t>JLB1200</t>
  </si>
  <si>
    <t>JLB1201</t>
  </si>
  <si>
    <t>JLB1202</t>
  </si>
  <si>
    <t>JLB1203</t>
  </si>
  <si>
    <t>JLB1204</t>
  </si>
  <si>
    <t>JLB1205</t>
  </si>
  <si>
    <t>JLB1206</t>
  </si>
  <si>
    <t>JLB1207</t>
  </si>
  <si>
    <t>JLB1208</t>
  </si>
  <si>
    <t>JLB1209</t>
  </si>
  <si>
    <t>JLB1210</t>
  </si>
  <si>
    <t>JLB1211</t>
  </si>
  <si>
    <t>JLB1212</t>
  </si>
  <si>
    <t>JLB1213</t>
  </si>
  <si>
    <t>JLB1214</t>
  </si>
  <si>
    <t>JLB1215</t>
  </si>
  <si>
    <t>JLB1216</t>
  </si>
  <si>
    <t>JLB1217</t>
  </si>
  <si>
    <t>JLB1218</t>
  </si>
  <si>
    <t>JLB1219</t>
  </si>
  <si>
    <t>JLB1220</t>
  </si>
  <si>
    <t>JLB1221</t>
  </si>
  <si>
    <t>JLB1222</t>
  </si>
  <si>
    <t>JLB1223</t>
  </si>
  <si>
    <t>JLB1224</t>
  </si>
  <si>
    <t>JLB1225</t>
  </si>
  <si>
    <t>JLB1226</t>
  </si>
  <si>
    <t>JLB1227</t>
  </si>
  <si>
    <t>JLB1228</t>
  </si>
  <si>
    <t>JLB1229</t>
  </si>
  <si>
    <t>JLB1230</t>
  </si>
  <si>
    <t>JLB1231</t>
  </si>
  <si>
    <t>JLB1232</t>
  </si>
  <si>
    <t>JLB1233</t>
  </si>
  <si>
    <t>JLB1234</t>
  </si>
  <si>
    <t>JLB1235</t>
  </si>
  <si>
    <t>JLB1236</t>
  </si>
  <si>
    <t>JLB1237</t>
  </si>
  <si>
    <t>JLB1238</t>
  </si>
  <si>
    <t>JLB1239</t>
  </si>
  <si>
    <t>JLB1240</t>
  </si>
  <si>
    <t>JLB1241</t>
  </si>
  <si>
    <t>JLB1242</t>
  </si>
  <si>
    <t>JLB1243</t>
  </si>
  <si>
    <t>JLB1244</t>
  </si>
  <si>
    <t>JLB1245</t>
  </si>
  <si>
    <t>JLB1246</t>
  </si>
  <si>
    <t>JLB1247</t>
  </si>
  <si>
    <t>JLB1248</t>
  </si>
  <si>
    <t>JLB1249</t>
  </si>
  <si>
    <t>JLB1250</t>
  </si>
  <si>
    <t>JLB1251</t>
  </si>
  <si>
    <t>JLB1252</t>
  </si>
  <si>
    <t>JLB1253</t>
  </si>
  <si>
    <t>JLB1254</t>
  </si>
  <si>
    <t>JLB1255</t>
  </si>
  <si>
    <t>JLB1256</t>
  </si>
  <si>
    <t>JLB1257</t>
  </si>
  <si>
    <t>JLB1258</t>
  </si>
  <si>
    <t>JLB1259</t>
  </si>
  <si>
    <t>JLB1260</t>
  </si>
  <si>
    <t>JLB1261</t>
  </si>
  <si>
    <t>JLB1262</t>
  </si>
  <si>
    <t>JLB1263</t>
  </si>
  <si>
    <t>JLB1264</t>
  </si>
  <si>
    <t>JLB1265</t>
  </si>
  <si>
    <t>JLB1266</t>
  </si>
  <si>
    <t>JLB1267</t>
  </si>
  <si>
    <t>JLB1268</t>
  </si>
  <si>
    <t>JLB1269</t>
  </si>
  <si>
    <t>JLB1270</t>
  </si>
  <si>
    <t>JLB1271</t>
  </si>
  <si>
    <t>JLB1272</t>
  </si>
  <si>
    <t>JLB1273</t>
  </si>
  <si>
    <t>JLB1274</t>
  </si>
  <si>
    <t>JLB1275</t>
  </si>
  <si>
    <t>JLB1276</t>
  </si>
  <si>
    <t>JLB1277</t>
  </si>
  <si>
    <t>JLB1278</t>
  </si>
  <si>
    <t>JLB1279</t>
  </si>
  <si>
    <t>JLB1280</t>
  </si>
  <si>
    <t>JLB1281</t>
  </si>
  <si>
    <t>JLB1282</t>
  </si>
  <si>
    <t>JLB1283</t>
  </si>
  <si>
    <t>JLB1284</t>
  </si>
  <si>
    <t>JLB1285</t>
  </si>
  <si>
    <t>JLB1286</t>
  </si>
  <si>
    <t>JLB1287</t>
  </si>
  <si>
    <t>JLB1288</t>
  </si>
  <si>
    <t>JLB1289</t>
  </si>
  <si>
    <t>JLB1290</t>
  </si>
  <si>
    <t>JLB1291</t>
  </si>
  <si>
    <t>JLB1292</t>
  </si>
  <si>
    <t>JLB1293</t>
  </si>
  <si>
    <t>JLB1294</t>
  </si>
  <si>
    <t>JLB1295</t>
  </si>
  <si>
    <t>JLB1296</t>
  </si>
  <si>
    <t>JLB1297</t>
  </si>
  <si>
    <t>JLB1298</t>
  </si>
  <si>
    <t>JLB1299</t>
  </si>
  <si>
    <t>JLB1300</t>
  </si>
  <si>
    <t>JLB1301</t>
  </si>
  <si>
    <t>JLB1302</t>
  </si>
  <si>
    <t>JLB1303</t>
  </si>
  <si>
    <t>JLB1304</t>
  </si>
  <si>
    <t>JLB1305</t>
  </si>
  <si>
    <t>JLB1306</t>
  </si>
  <si>
    <t>JLB1307</t>
  </si>
  <si>
    <t>JLB1308</t>
  </si>
  <si>
    <t>JLB1309</t>
  </si>
  <si>
    <t>JLB1310</t>
  </si>
  <si>
    <t>JLB1311</t>
  </si>
  <si>
    <t>JLB1312</t>
  </si>
  <si>
    <t>JLB1313</t>
  </si>
  <si>
    <t>JLB1314</t>
  </si>
  <si>
    <t>JLB1315</t>
  </si>
  <si>
    <t>JLB1316</t>
  </si>
  <si>
    <t>JLB1317</t>
  </si>
  <si>
    <t>JLB1318</t>
  </si>
  <si>
    <t>JLB1319</t>
  </si>
  <si>
    <t>JLB1320</t>
  </si>
  <si>
    <t>JLB1321</t>
  </si>
  <si>
    <t>JLB1322</t>
  </si>
  <si>
    <t>JLB1323</t>
  </si>
  <si>
    <t>JLB1324</t>
  </si>
  <si>
    <t>JLB1325</t>
  </si>
  <si>
    <t>JLB1326</t>
  </si>
  <si>
    <t>JLB1327</t>
  </si>
  <si>
    <t>JLB1328</t>
  </si>
  <si>
    <t>JLB1329</t>
  </si>
  <si>
    <t>JLB1330</t>
  </si>
  <si>
    <t>JLB1331</t>
  </si>
  <si>
    <t>JLB1332</t>
  </si>
  <si>
    <t>JLB1333</t>
  </si>
  <si>
    <t>JLB1334</t>
  </si>
  <si>
    <t>JLB1335</t>
  </si>
  <si>
    <t>JLB1336</t>
  </si>
  <si>
    <t>JLB1337</t>
  </si>
  <si>
    <t>JLB1338</t>
  </si>
  <si>
    <t>JLB1339</t>
  </si>
  <si>
    <t>JLB1340</t>
  </si>
  <si>
    <t>JLB1341</t>
  </si>
  <si>
    <t>JLB1342</t>
  </si>
  <si>
    <t>JLB1343</t>
  </si>
  <si>
    <t>JLB1344</t>
  </si>
  <si>
    <t>JLB1345</t>
  </si>
  <si>
    <t>JLB1346</t>
  </si>
  <si>
    <t>JLB1347</t>
  </si>
  <si>
    <t>JLB1348</t>
  </si>
  <si>
    <t>JLB1349</t>
  </si>
  <si>
    <t>JLB1350</t>
  </si>
  <si>
    <t>JLB1351</t>
  </si>
  <si>
    <t>JLB1352</t>
  </si>
  <si>
    <t>JLB1353</t>
  </si>
  <si>
    <t>JLB1354</t>
  </si>
  <si>
    <t>JLB1355</t>
  </si>
  <si>
    <t>JLB1356</t>
  </si>
  <si>
    <t>JLB1357</t>
  </si>
  <si>
    <t>JLB1358</t>
  </si>
  <si>
    <t>JLB1359</t>
  </si>
  <si>
    <t>JLB1360</t>
  </si>
  <si>
    <t>JLB1361</t>
  </si>
  <si>
    <t>JLB1362</t>
  </si>
  <si>
    <t>JLB1363</t>
  </si>
  <si>
    <t>JLB1364</t>
  </si>
  <si>
    <t>JLB1365</t>
  </si>
  <si>
    <t>JLB1366</t>
  </si>
  <si>
    <t>JLB1367</t>
  </si>
  <si>
    <t>JLB1368</t>
  </si>
  <si>
    <t>JLB1369</t>
  </si>
  <si>
    <t>JLB1370</t>
  </si>
  <si>
    <t>JLB1371</t>
  </si>
  <si>
    <t>JLB1372</t>
  </si>
  <si>
    <t>JLB1373</t>
  </si>
  <si>
    <t>JLB1374</t>
  </si>
  <si>
    <t>JLB1375</t>
  </si>
  <si>
    <t>JLB1376</t>
  </si>
  <si>
    <t>JLB1377</t>
  </si>
  <si>
    <t>JLB1378</t>
  </si>
  <si>
    <t>JLB1379</t>
  </si>
  <si>
    <t>JLB1380</t>
  </si>
  <si>
    <t>JLB1381</t>
  </si>
  <si>
    <t>JLB1382</t>
  </si>
  <si>
    <t>JLB1383</t>
  </si>
  <si>
    <t>JLB1384</t>
  </si>
  <si>
    <t>JLB1385</t>
  </si>
  <si>
    <t>JLB1386</t>
  </si>
  <si>
    <t>JLB1387</t>
  </si>
  <si>
    <t>JLB1388</t>
  </si>
  <si>
    <t>JLB1389</t>
  </si>
  <si>
    <t>JLB1390</t>
  </si>
  <si>
    <t>JLB1391</t>
  </si>
  <si>
    <t>JLB1392</t>
  </si>
  <si>
    <t>JLB1393</t>
  </si>
  <si>
    <t>JLB1394</t>
  </si>
  <si>
    <t>JLB1395</t>
  </si>
  <si>
    <t>JLB1396</t>
  </si>
  <si>
    <t>JLB1397</t>
  </si>
  <si>
    <t>JLB1398</t>
  </si>
  <si>
    <t>JLB1399</t>
  </si>
  <si>
    <t>JLB1400</t>
  </si>
  <si>
    <t>JLB1401</t>
  </si>
  <si>
    <t>JLB1402</t>
  </si>
  <si>
    <t>JLB1403</t>
  </si>
  <si>
    <t>JLB1404</t>
  </si>
  <si>
    <t>JLB1405</t>
  </si>
  <si>
    <t>JLB1406</t>
  </si>
  <si>
    <t>JLB1407</t>
  </si>
  <si>
    <t>JLB1408</t>
  </si>
  <si>
    <t>JLB1409</t>
  </si>
  <si>
    <t>JLB1410</t>
  </si>
  <si>
    <t>JLB1411</t>
  </si>
  <si>
    <t>JLB1412</t>
  </si>
  <si>
    <t>JLB1413</t>
  </si>
  <si>
    <t>JLB1414</t>
  </si>
  <si>
    <t>JLB1415</t>
  </si>
  <si>
    <t>JLB1416</t>
  </si>
  <si>
    <t>JLB1417</t>
  </si>
  <si>
    <t>JLB1418</t>
  </si>
  <si>
    <t>JLB1419</t>
  </si>
  <si>
    <t>JLB1420</t>
  </si>
  <si>
    <t>JLB1421</t>
  </si>
  <si>
    <t>JLB1422</t>
  </si>
  <si>
    <t>JLB1423</t>
  </si>
  <si>
    <t>JLB1424</t>
  </si>
  <si>
    <t>JLB1425</t>
  </si>
  <si>
    <t>JLB1426</t>
  </si>
  <si>
    <t>JLB1427</t>
  </si>
  <si>
    <t>JLB1428</t>
  </si>
  <si>
    <t>JLB1429</t>
  </si>
  <si>
    <t>JLB1430</t>
  </si>
  <si>
    <t>JLB1431</t>
  </si>
  <si>
    <t>JLB1432</t>
  </si>
  <si>
    <t>JLB1433</t>
  </si>
  <si>
    <t>JLB1434</t>
  </si>
  <si>
    <t>JLB1435</t>
  </si>
  <si>
    <t>JLB1436</t>
  </si>
  <si>
    <t>JLB1437</t>
  </si>
  <si>
    <t>JLB1438</t>
  </si>
  <si>
    <t>JLB1439</t>
  </si>
  <si>
    <t>JLB1440</t>
  </si>
  <si>
    <t>JLB1441</t>
  </si>
  <si>
    <t>JLB1442</t>
  </si>
  <si>
    <t>JLB1443</t>
  </si>
  <si>
    <t>JLB1444</t>
  </si>
  <si>
    <t>JLB1445</t>
  </si>
  <si>
    <t>JLB1446</t>
  </si>
  <si>
    <t>JLB1447</t>
  </si>
  <si>
    <t>JLB1448</t>
  </si>
  <si>
    <t>JLB1449</t>
  </si>
  <si>
    <t>JLB1450</t>
  </si>
  <si>
    <t>JLB1451</t>
  </si>
  <si>
    <t>JLB1452</t>
  </si>
  <si>
    <t>JLB1453</t>
  </si>
  <si>
    <t>JLB1454</t>
  </si>
  <si>
    <t>JLB1455</t>
  </si>
  <si>
    <t>JLB1456</t>
  </si>
  <si>
    <t>JLB1457</t>
  </si>
  <si>
    <t>JLB1458</t>
  </si>
  <si>
    <t>JLB1459</t>
  </si>
  <si>
    <t>JLB1460</t>
  </si>
  <si>
    <t>JLB1461</t>
  </si>
  <si>
    <t>JLB1462</t>
  </si>
  <si>
    <t>JLB1463</t>
  </si>
  <si>
    <t>JLB1464</t>
  </si>
  <si>
    <t>JLB1465</t>
  </si>
  <si>
    <t>JLB1466</t>
  </si>
  <si>
    <t>JLB1467</t>
  </si>
  <si>
    <t>JLB1468</t>
  </si>
  <si>
    <t>JLB1469</t>
  </si>
  <si>
    <t>JLB1470</t>
  </si>
  <si>
    <t>JLB1471</t>
  </si>
  <si>
    <t>JLB1472</t>
  </si>
  <si>
    <t>JLB1473</t>
  </si>
  <si>
    <t>JLB1474</t>
  </si>
  <si>
    <t>JLB1475</t>
  </si>
  <si>
    <t>JLB1476</t>
  </si>
  <si>
    <t>JLB1477</t>
  </si>
  <si>
    <t>JLB1478</t>
  </si>
  <si>
    <t>JLB1479</t>
  </si>
  <si>
    <t>JLB1480</t>
  </si>
  <si>
    <t>JLB1481</t>
  </si>
  <si>
    <t>JLB1482</t>
  </si>
  <si>
    <t>JLB1483</t>
  </si>
  <si>
    <t>JLB1484</t>
  </si>
  <si>
    <t>JLB1485</t>
  </si>
  <si>
    <t>JLB1486</t>
  </si>
  <si>
    <t>JLB1487</t>
  </si>
  <si>
    <t>JLB1488</t>
  </si>
  <si>
    <t>JLB1489</t>
  </si>
  <si>
    <t>JLB1490</t>
  </si>
  <si>
    <t>JLB1491</t>
  </si>
  <si>
    <t>JLB1492</t>
  </si>
  <si>
    <t>JLB1493</t>
  </si>
  <si>
    <t>JLB1494</t>
  </si>
  <si>
    <t>JLB1495</t>
  </si>
  <si>
    <t>JLB1496</t>
  </si>
  <si>
    <t>JLB1497</t>
  </si>
  <si>
    <t>JLB1498</t>
  </si>
  <si>
    <t>JLB1499</t>
  </si>
  <si>
    <t>JLB1500</t>
  </si>
  <si>
    <t>JLB1501</t>
  </si>
  <si>
    <t>JLB1502</t>
  </si>
  <si>
    <t>JLB1503</t>
  </si>
  <si>
    <t>JLB1504</t>
  </si>
  <si>
    <t>JLB1505</t>
  </si>
  <si>
    <t>JLB1506</t>
  </si>
  <si>
    <t>JLB1507</t>
  </si>
  <si>
    <t>JLB1508</t>
  </si>
  <si>
    <t>JLB1509</t>
  </si>
  <si>
    <t>JLB1510</t>
  </si>
  <si>
    <t>JLB1511</t>
  </si>
  <si>
    <t>JLB1512</t>
  </si>
  <si>
    <t>JLB1513</t>
  </si>
  <si>
    <t>JLB1514</t>
  </si>
  <si>
    <t>JLB1515</t>
  </si>
  <si>
    <t>JLB1516</t>
  </si>
  <si>
    <t>JLB1517</t>
  </si>
  <si>
    <t>JLB1518</t>
  </si>
  <si>
    <t>JLB1519</t>
  </si>
  <si>
    <t>JLB1520</t>
  </si>
  <si>
    <t>JLB1521</t>
  </si>
  <si>
    <t>JLB1522</t>
  </si>
  <si>
    <t>JLB1523</t>
  </si>
  <si>
    <t>JLB1524</t>
  </si>
  <si>
    <t>JLB1525</t>
  </si>
  <si>
    <t>JLB1526</t>
  </si>
  <si>
    <t>JLB1527</t>
  </si>
  <si>
    <t>JLB1528</t>
  </si>
  <si>
    <t>JLB1529</t>
  </si>
  <si>
    <t>JLB1530</t>
  </si>
  <si>
    <t>JLB1531</t>
  </si>
  <si>
    <t>JLB1532</t>
  </si>
  <si>
    <t>JLB1533</t>
  </si>
  <si>
    <t>JLB1534</t>
  </si>
  <si>
    <t>JLB1535</t>
  </si>
  <si>
    <t>JLB1536</t>
  </si>
  <si>
    <t>JLB1537</t>
  </si>
  <si>
    <t>JLB1538</t>
  </si>
  <si>
    <t>JLB1539</t>
  </si>
  <si>
    <t>JLB1540</t>
  </si>
  <si>
    <t>JLB1541</t>
  </si>
  <si>
    <t>JLB1542</t>
  </si>
  <si>
    <t>JLB1543</t>
  </si>
  <si>
    <t>JLB1544</t>
  </si>
  <si>
    <t>JLB1545</t>
  </si>
  <si>
    <t>JLB1546</t>
  </si>
  <si>
    <t>JLB1547</t>
  </si>
  <si>
    <t>JLB1548</t>
  </si>
  <si>
    <t>JLB1549</t>
  </si>
  <si>
    <t>JLB1550</t>
  </si>
  <si>
    <t>JLB1551</t>
  </si>
  <si>
    <t>JLB1552</t>
  </si>
  <si>
    <t>JLB1553</t>
  </si>
  <si>
    <t>JLB1554</t>
  </si>
  <si>
    <t>JLB1555</t>
  </si>
  <si>
    <t>JLB1556</t>
  </si>
  <si>
    <t>JLB1557</t>
  </si>
  <si>
    <t>JLB1558</t>
  </si>
  <si>
    <t>JLB1559</t>
  </si>
  <si>
    <t>JLB1560</t>
  </si>
  <si>
    <t>JLB1561</t>
  </si>
  <si>
    <t>JLB1562</t>
  </si>
  <si>
    <t>JLB1563</t>
  </si>
  <si>
    <t>JLB1564</t>
  </si>
  <si>
    <t>JLB1565</t>
  </si>
  <si>
    <t>JLB1566</t>
  </si>
  <si>
    <t>JLB1567</t>
  </si>
  <si>
    <t>JLB1568</t>
  </si>
  <si>
    <t>JLB1569</t>
  </si>
  <si>
    <t>JLB1570</t>
  </si>
  <si>
    <t>JLB1571</t>
  </si>
  <si>
    <t>JLB1572</t>
  </si>
  <si>
    <t>JLB1573</t>
  </si>
  <si>
    <t>JLB1574</t>
  </si>
  <si>
    <t>JLB1575</t>
  </si>
  <si>
    <t>JLB1576</t>
  </si>
  <si>
    <t>JLB1577</t>
  </si>
  <si>
    <t>JLB1578</t>
  </si>
  <si>
    <t>JLB1579</t>
  </si>
  <si>
    <t>JLB1580</t>
  </si>
  <si>
    <t>JLB1581</t>
  </si>
  <si>
    <t>JLB1582</t>
  </si>
  <si>
    <t>JLB1583</t>
  </si>
  <si>
    <t>JLB1584</t>
  </si>
  <si>
    <t>JLB1585</t>
  </si>
  <si>
    <t>JLB1586</t>
  </si>
  <si>
    <t>JLB1587</t>
  </si>
  <si>
    <t>JLB1588</t>
  </si>
  <si>
    <t>JLB1589</t>
  </si>
  <si>
    <t>JLB1590</t>
  </si>
  <si>
    <t>JLB1591</t>
  </si>
  <si>
    <t>JLB1592</t>
  </si>
  <si>
    <t>JLB1593</t>
  </si>
  <si>
    <t>JLB1594</t>
  </si>
  <si>
    <t>JLB1595</t>
  </si>
  <si>
    <t>JLB1596</t>
  </si>
  <si>
    <t>JLB1597</t>
  </si>
  <si>
    <t>JLB1598</t>
  </si>
  <si>
    <t>JLB1599</t>
  </si>
  <si>
    <t>JLB1600</t>
  </si>
  <si>
    <t>JLB1601</t>
  </si>
  <si>
    <t>JLB1602</t>
  </si>
  <si>
    <t>JLB1603</t>
  </si>
  <si>
    <t>JLB1604</t>
  </si>
  <si>
    <t>JLB1605</t>
  </si>
  <si>
    <t>JLB1606</t>
  </si>
  <si>
    <t>JLB1607</t>
  </si>
  <si>
    <t>JLB1608</t>
  </si>
  <si>
    <t>JLB1609</t>
  </si>
  <si>
    <t>JLB1610</t>
  </si>
  <si>
    <t>JLB1611</t>
  </si>
  <si>
    <t>JLB1612</t>
  </si>
  <si>
    <t>JLB1613</t>
  </si>
  <si>
    <t>JLB1614</t>
  </si>
  <si>
    <t>JLB1615</t>
  </si>
  <si>
    <t>JLB1616</t>
  </si>
  <si>
    <t>JLB1617</t>
  </si>
  <si>
    <t>JLB1618</t>
  </si>
  <si>
    <t>JLB1619</t>
  </si>
  <si>
    <t>JLB1620</t>
  </si>
  <si>
    <t>JLB1621</t>
  </si>
  <si>
    <t>JLB1622</t>
  </si>
  <si>
    <t>JLB1623</t>
  </si>
  <si>
    <t>JLB1624</t>
  </si>
  <si>
    <t>JLB1625</t>
  </si>
  <si>
    <t>JLB1626</t>
  </si>
  <si>
    <t>JLB1627</t>
  </si>
  <si>
    <t>JLB1628</t>
  </si>
  <si>
    <t>JLB1629</t>
  </si>
  <si>
    <t>JLB1630</t>
  </si>
  <si>
    <t>JLB1631</t>
  </si>
  <si>
    <t>JLB1632</t>
  </si>
  <si>
    <t>JLB1633</t>
  </si>
  <si>
    <t>JLB1634</t>
  </si>
  <si>
    <t>JLB1635</t>
  </si>
  <si>
    <t>JLB1636</t>
  </si>
  <si>
    <t>JLB1637</t>
  </si>
  <si>
    <t>JLB1638</t>
  </si>
  <si>
    <t>JLB1639</t>
  </si>
  <si>
    <t>JLB1640</t>
  </si>
  <si>
    <t>JLB1641</t>
  </si>
  <si>
    <t>JLB1642</t>
  </si>
  <si>
    <t>JLB1643</t>
  </si>
  <si>
    <t>JLB1644</t>
  </si>
  <si>
    <t>JLB1645</t>
  </si>
  <si>
    <t>JLB1646</t>
  </si>
  <si>
    <t>JLB1647</t>
  </si>
  <si>
    <t>JLB1648</t>
  </si>
  <si>
    <t>JLB1649</t>
  </si>
  <si>
    <t>JLB1650</t>
  </si>
  <si>
    <t>JLB1651</t>
  </si>
  <si>
    <t>JLB1652</t>
  </si>
  <si>
    <t>JLB1653</t>
  </si>
  <si>
    <t>JLB1654</t>
  </si>
  <si>
    <t>JLB1655</t>
  </si>
  <si>
    <t>JLB1656</t>
  </si>
  <si>
    <t>JLB1657</t>
  </si>
  <si>
    <t>JLB1658</t>
  </si>
  <si>
    <t>JLB1659</t>
  </si>
  <si>
    <t>JLB1660</t>
  </si>
  <si>
    <t>JLB1661</t>
  </si>
  <si>
    <t>JLB1662</t>
  </si>
  <si>
    <t>JLB1663</t>
  </si>
  <si>
    <t>JLB1664</t>
  </si>
  <si>
    <t>JLB1665</t>
  </si>
  <si>
    <t>JLB1666</t>
  </si>
  <si>
    <t>JLB1667</t>
  </si>
  <si>
    <t>JLB1668</t>
  </si>
  <si>
    <t>JLB1669</t>
  </si>
  <si>
    <t>JLB1670</t>
  </si>
  <si>
    <t>JLB1671</t>
  </si>
  <si>
    <t>JLB1672</t>
  </si>
  <si>
    <t>JLB1673</t>
  </si>
  <si>
    <t>JLB1674</t>
  </si>
  <si>
    <t>JLB1675</t>
  </si>
  <si>
    <t>JLB1676</t>
  </si>
  <si>
    <t>JLB1677</t>
  </si>
  <si>
    <t>JLB1678</t>
  </si>
  <si>
    <t>JLB1679</t>
  </si>
  <si>
    <t>JLB1680</t>
  </si>
  <si>
    <t>JLB1681</t>
  </si>
  <si>
    <t>JLB1682</t>
  </si>
  <si>
    <t>JLB1683</t>
  </si>
  <si>
    <t>JLB1684</t>
  </si>
  <si>
    <t>JLB1685</t>
  </si>
  <si>
    <t>JLB1686</t>
  </si>
  <si>
    <t>JLB1687</t>
  </si>
  <si>
    <t>JLB1688</t>
  </si>
  <si>
    <t>JLB1689</t>
  </si>
  <si>
    <t>JLB1690</t>
  </si>
  <si>
    <t>JLB1691</t>
  </si>
  <si>
    <t>JLB1692</t>
  </si>
  <si>
    <t>JLB1693</t>
  </si>
  <si>
    <t>JLB1694</t>
  </si>
  <si>
    <t>JLB1695</t>
  </si>
  <si>
    <t>JLB1696</t>
  </si>
  <si>
    <t>JLB1697</t>
  </si>
  <si>
    <t>JLB1698</t>
  </si>
  <si>
    <t>JLB1699</t>
  </si>
  <si>
    <t>JLB1700</t>
  </si>
  <si>
    <t>JLB1701</t>
  </si>
  <si>
    <t>JLB1702</t>
  </si>
  <si>
    <t>JLB1703</t>
  </si>
  <si>
    <t>JLB1704</t>
  </si>
  <si>
    <t>JLB1705</t>
  </si>
  <si>
    <t>JLB1706</t>
  </si>
  <si>
    <t>JLB1707</t>
  </si>
  <si>
    <t>JLB1708</t>
  </si>
  <si>
    <t>JLB1709</t>
  </si>
  <si>
    <t>JLB1710</t>
  </si>
  <si>
    <t>JLB1711</t>
  </si>
  <si>
    <t>JLB1712</t>
  </si>
  <si>
    <t>JLB1713</t>
  </si>
  <si>
    <t>JLB1714</t>
  </si>
  <si>
    <t>JLB1715</t>
  </si>
  <si>
    <t>JLB1716</t>
  </si>
  <si>
    <t>JLB1717</t>
  </si>
  <si>
    <t>JLB1718</t>
  </si>
  <si>
    <t>JLB1719</t>
  </si>
  <si>
    <t>JLB1720</t>
  </si>
  <si>
    <t>JLB1721</t>
  </si>
  <si>
    <t>JLB1722</t>
  </si>
  <si>
    <t>JLB1723</t>
  </si>
  <si>
    <t>JLB1724</t>
  </si>
  <si>
    <t>JLB1725</t>
  </si>
  <si>
    <t>JLB1726</t>
  </si>
  <si>
    <t>JLB1727</t>
  </si>
  <si>
    <t>JLB1728</t>
  </si>
  <si>
    <t>JLB1729</t>
  </si>
  <si>
    <t>JLB1730</t>
  </si>
  <si>
    <t>JLB1731</t>
  </si>
  <si>
    <t>JLB1732</t>
  </si>
  <si>
    <t>JLB1733</t>
  </si>
  <si>
    <t>JLB1734</t>
  </si>
  <si>
    <t>JLB1735</t>
  </si>
  <si>
    <t>JLB1736</t>
  </si>
  <si>
    <t>JLB1737</t>
  </si>
  <si>
    <t>JLB1738</t>
  </si>
  <si>
    <t>JLB1739</t>
  </si>
  <si>
    <t>JLB1740</t>
  </si>
  <si>
    <t>JLB1741</t>
  </si>
  <si>
    <t>JLB1742</t>
  </si>
  <si>
    <t>JLB1743</t>
  </si>
  <si>
    <t>JLB1744</t>
  </si>
  <si>
    <t>JLB1745</t>
  </si>
  <si>
    <t>JLB1746</t>
  </si>
  <si>
    <t>JLB1747</t>
  </si>
  <si>
    <t>JLB1748</t>
  </si>
  <si>
    <t>JLB1749</t>
  </si>
  <si>
    <t>JLB1750</t>
  </si>
  <si>
    <t>JLB1751</t>
  </si>
  <si>
    <t>JLB1752</t>
  </si>
  <si>
    <t>JLB1753</t>
  </si>
  <si>
    <t>JLB1754</t>
  </si>
  <si>
    <t>JLB1755</t>
  </si>
  <si>
    <t>JLB1756</t>
  </si>
  <si>
    <t>JLB1757</t>
  </si>
  <si>
    <t>JLB1758</t>
  </si>
  <si>
    <t>JLB1759</t>
  </si>
  <si>
    <t>JLB1760</t>
  </si>
  <si>
    <t>JLB1761</t>
  </si>
  <si>
    <t>JLB1762</t>
  </si>
  <si>
    <t>JLB1763</t>
  </si>
  <si>
    <t>JLB1764</t>
  </si>
  <si>
    <t>JLB1765</t>
  </si>
  <si>
    <t>JLB1766</t>
  </si>
  <si>
    <t>JLB1767</t>
  </si>
  <si>
    <t>JLB1768</t>
  </si>
  <si>
    <t>JLB1769</t>
  </si>
  <si>
    <t>JLB1770</t>
  </si>
  <si>
    <t>JLB1771</t>
  </si>
  <si>
    <t>JLB1772</t>
  </si>
  <si>
    <t>JLB1773</t>
  </si>
  <si>
    <t>JLB1774</t>
  </si>
  <si>
    <t>JLB1775</t>
  </si>
  <si>
    <t>JLB1776</t>
  </si>
  <si>
    <t>JLB1777</t>
  </si>
  <si>
    <t>JLB1778</t>
  </si>
  <si>
    <t>JLB1779</t>
  </si>
  <si>
    <t>JLB1780</t>
  </si>
  <si>
    <t>JLB1781</t>
  </si>
  <si>
    <t>JLB1782</t>
  </si>
  <si>
    <t>JLB1783</t>
  </si>
  <si>
    <t>JLB1784</t>
  </si>
  <si>
    <t>JLB1785</t>
  </si>
  <si>
    <t>JLB1786</t>
  </si>
  <si>
    <t>JLB1787</t>
  </si>
  <si>
    <t>JLB1788</t>
  </si>
  <si>
    <t>JLB1789</t>
  </si>
  <si>
    <t>JLB1790</t>
  </si>
  <si>
    <t>JLB1791</t>
  </si>
  <si>
    <t>JLB1792</t>
  </si>
  <si>
    <t>JLB1793</t>
  </si>
  <si>
    <t>Parting Parting Frozen 8 Grade D</t>
  </si>
  <si>
    <t>JLB1794</t>
  </si>
  <si>
    <t>Parting Parting Frozen 8 Premium</t>
  </si>
  <si>
    <t>JLB1795</t>
  </si>
  <si>
    <t>usus bersih Usus bersih Fresh</t>
  </si>
  <si>
    <t>JLB1796</t>
  </si>
  <si>
    <t>usus bersih Usus Bersih Fresh Grade</t>
  </si>
  <si>
    <t>JLB1797</t>
  </si>
  <si>
    <t>usus bersih Usus Bersih Frozen</t>
  </si>
  <si>
    <t>JLB1798</t>
  </si>
  <si>
    <t>usus bersih Usus Bersih Frozen Grade</t>
  </si>
  <si>
    <t>JLB1799</t>
  </si>
  <si>
    <t>Parting Parting Frozen 13 Grade D</t>
  </si>
  <si>
    <t>JLB1800</t>
  </si>
  <si>
    <t>Parting Parting Frozen 13 Premium</t>
  </si>
  <si>
    <t>JLB1801</t>
  </si>
  <si>
    <t>Parting Parting Frozen 16 Grade A</t>
  </si>
  <si>
    <t>JLB1802</t>
  </si>
  <si>
    <t>Parting Parting Frozen 16 Grade B</t>
  </si>
  <si>
    <t>JLB1803</t>
  </si>
  <si>
    <t>Parting Parting Frozen 16 Grade C</t>
  </si>
  <si>
    <t>JLB1804</t>
  </si>
  <si>
    <t>Parting Parting Frozen 16 Grade D</t>
  </si>
  <si>
    <t>JLB1805</t>
  </si>
  <si>
    <t>Parting Parting Frozen 16 Premium</t>
  </si>
  <si>
    <t>JLB1806</t>
  </si>
  <si>
    <t>Parting Parting Frozen 4 Grade A</t>
  </si>
  <si>
    <t>JLB1807</t>
  </si>
  <si>
    <t>Parting Parting Frozen 4 Grade B</t>
  </si>
  <si>
    <t>JLB1808</t>
  </si>
  <si>
    <t>Parting Parting Frozen 4 Grade C</t>
  </si>
  <si>
    <t>JLB1809</t>
  </si>
  <si>
    <t>Parting Parting Frozen 4 Grade D</t>
  </si>
  <si>
    <t>JLB1810</t>
  </si>
  <si>
    <t>Parting Parting Frozen 4 Premium</t>
  </si>
  <si>
    <t>JLB1811</t>
  </si>
  <si>
    <t>Parting Parting Frozen 6 Grade A</t>
  </si>
  <si>
    <t>JLB1812</t>
  </si>
  <si>
    <t>Parting Parting Frozen 6 Grade B</t>
  </si>
  <si>
    <t>JLB1813</t>
  </si>
  <si>
    <t>Parting Parting Frozen 6 Grade C</t>
  </si>
  <si>
    <t>JLB1814</t>
  </si>
  <si>
    <t>Parting Parting Frozen 6 Grade D</t>
  </si>
  <si>
    <t>JLB1815</t>
  </si>
  <si>
    <t>Parting Parting Frozen 6 Premium</t>
  </si>
  <si>
    <t>JLB1816</t>
  </si>
  <si>
    <t>Parting Parting Frozen 8 Grade A</t>
  </si>
  <si>
    <t>JLB1817</t>
  </si>
  <si>
    <t>Parting Parting Frozen 8 Grade B</t>
  </si>
  <si>
    <t>JLB1818</t>
  </si>
  <si>
    <t>Parting Parting Frozen 8 Grade C</t>
  </si>
  <si>
    <t>JLB1819</t>
  </si>
  <si>
    <t>Parting Parting 6 Fresh Grade B</t>
  </si>
  <si>
    <t>JLB1820</t>
  </si>
  <si>
    <t>Parting Parting 6 Fresh Grade C</t>
  </si>
  <si>
    <t>JLB1821</t>
  </si>
  <si>
    <t>Parting Parting 6 Fresh Grade D</t>
  </si>
  <si>
    <t>JLB1822</t>
  </si>
  <si>
    <t>Parting Parting 6 Fresh Premium</t>
  </si>
  <si>
    <t>JLB1823</t>
  </si>
  <si>
    <t>Parting Parting 6 Marinasi</t>
  </si>
  <si>
    <t>JLB1824</t>
  </si>
  <si>
    <t>Parting Parting 8 Fresh Grade A</t>
  </si>
  <si>
    <t>JLB1825</t>
  </si>
  <si>
    <t>Parting Parting 8 Fresh Grade B</t>
  </si>
  <si>
    <t>JLB1826</t>
  </si>
  <si>
    <t>Parting Parting 8 Fresh Grade C</t>
  </si>
  <si>
    <t>JLB1827</t>
  </si>
  <si>
    <t>Parting Parting 8 Fresh Grade D</t>
  </si>
  <si>
    <t>JLB1828</t>
  </si>
  <si>
    <t>Parting Parting 8 Fresh Premium</t>
  </si>
  <si>
    <t>JLB1829</t>
  </si>
  <si>
    <t>Parting Parting 8 Marinasi</t>
  </si>
  <si>
    <t>JLB1830</t>
  </si>
  <si>
    <t>Parting Parting Frozen 10 Grade A</t>
  </si>
  <si>
    <t>JLB1831</t>
  </si>
  <si>
    <t>Parting Parting Frozen 10 Grade B</t>
  </si>
  <si>
    <t>JLB1832</t>
  </si>
  <si>
    <t>Parting Parting Frozen 10 Grade C</t>
  </si>
  <si>
    <t>JLB1833</t>
  </si>
  <si>
    <t>Parting Parting Frozen 10 Grade D</t>
  </si>
  <si>
    <t>JLB1834</t>
  </si>
  <si>
    <t>Parting Parting Frozen 10 Premium</t>
  </si>
  <si>
    <t>JLB1835</t>
  </si>
  <si>
    <t>Parting Parting Frozen 12 Graade D</t>
  </si>
  <si>
    <t>JLB1836</t>
  </si>
  <si>
    <t>Parting Parting Frozen 12 Grade A</t>
  </si>
  <si>
    <t>JLB1837</t>
  </si>
  <si>
    <t>Parting Parting Frozen 12 Grade B</t>
  </si>
  <si>
    <t>JLB1838</t>
  </si>
  <si>
    <t>Parting Parting Frozen 12 Grade C</t>
  </si>
  <si>
    <t>JLB1839</t>
  </si>
  <si>
    <t>Parting Parting Frozen 12 Premium</t>
  </si>
  <si>
    <t>JLB1840</t>
  </si>
  <si>
    <t>Parting Parting Frozen 13 Grade A</t>
  </si>
  <si>
    <t>JLB1841</t>
  </si>
  <si>
    <t>Parting Parting Frozen 13 Grade B</t>
  </si>
  <si>
    <t>JLB1842</t>
  </si>
  <si>
    <t>Parting Parting Frozen 13 Grade C</t>
  </si>
  <si>
    <t>JLB1843</t>
  </si>
  <si>
    <t>Parting Parting 4 Fresh Grade D</t>
  </si>
  <si>
    <t>JLB1844</t>
  </si>
  <si>
    <t>Parting Parting 4 Fresh Premium</t>
  </si>
  <si>
    <t>JLB1845</t>
  </si>
  <si>
    <t>Parting Parting 4 Marinasi</t>
  </si>
  <si>
    <t>JLB1846</t>
  </si>
  <si>
    <t>Parting Parting 6 Fresh Grade A</t>
  </si>
  <si>
    <t>JLB1847</t>
  </si>
  <si>
    <t>Paha Utuh Fresh</t>
  </si>
  <si>
    <t>JLB1848</t>
  </si>
  <si>
    <t>Paha Bawah Fresh</t>
  </si>
  <si>
    <t>JLB1849</t>
  </si>
  <si>
    <t>Paha Utuh Frozen</t>
  </si>
  <si>
    <t>JLB1850</t>
  </si>
  <si>
    <t>Paha Bawah Frozen</t>
  </si>
  <si>
    <t>JLB1851</t>
  </si>
  <si>
    <t>Boneless BL Fresh Ceker Grade A</t>
  </si>
  <si>
    <t>JLB1852</t>
  </si>
  <si>
    <t>Boneless BL Fresh Ceker Grade B</t>
  </si>
  <si>
    <t>JLB1853</t>
  </si>
  <si>
    <t>Boneless BL Fresh Ceker Grade C</t>
  </si>
  <si>
    <t>JLB1854</t>
  </si>
  <si>
    <t>Boneless BL Frozen Ceker Grade A</t>
  </si>
  <si>
    <t>JLB1855</t>
  </si>
  <si>
    <t>Boneless BL Frozen Ceker Grade B</t>
  </si>
  <si>
    <t>JLB1856</t>
  </si>
  <si>
    <t>Boneless BL Frozen Ceker Grade C</t>
  </si>
  <si>
    <t>TRD0001</t>
  </si>
  <si>
    <t>Kulit Leher</t>
  </si>
  <si>
    <t>TRD0002</t>
  </si>
  <si>
    <t>Kulit Leher Frozen</t>
  </si>
  <si>
    <t>TRD0003</t>
  </si>
  <si>
    <t>Kulit Body Frozen</t>
  </si>
  <si>
    <t>Krk</t>
  </si>
  <si>
    <t>sayap grade A</t>
  </si>
  <si>
    <t>Lemak</t>
  </si>
  <si>
    <t>Kepala</t>
  </si>
  <si>
    <t>Harga Jual</t>
  </si>
  <si>
    <t>Week 1</t>
  </si>
  <si>
    <t>Item</t>
  </si>
  <si>
    <t>Price</t>
  </si>
  <si>
    <t>Tungir</t>
  </si>
  <si>
    <t>Jantung</t>
  </si>
  <si>
    <t>Ceker B</t>
  </si>
  <si>
    <t>BLD Grade D</t>
  </si>
  <si>
    <t>BLP Grade D</t>
  </si>
  <si>
    <t>Diff</t>
  </si>
  <si>
    <t>COGS/Item</t>
  </si>
  <si>
    <t>Paha Atas</t>
  </si>
  <si>
    <t>JLB1862</t>
  </si>
  <si>
    <t>GP Margin</t>
  </si>
  <si>
    <t>Yield</t>
  </si>
  <si>
    <t>kulit</t>
  </si>
  <si>
    <t>Sayap</t>
  </si>
  <si>
    <t>Est, Harga Jual</t>
  </si>
  <si>
    <t>PT, KARYA GUDANG RABAT</t>
  </si>
  <si>
    <t>AU 0.5-0.6</t>
  </si>
  <si>
    <t>AU 0.6-0.7</t>
  </si>
  <si>
    <t>AU 0.7-0.8</t>
  </si>
  <si>
    <t>AU 0.8-0.9</t>
  </si>
  <si>
    <t>AU 0.9-1.0</t>
  </si>
  <si>
    <t>AU 1.0-1.1</t>
  </si>
  <si>
    <t>AU 1.1-1.2</t>
  </si>
  <si>
    <t>AU 1.2-1.3</t>
  </si>
  <si>
    <t>AU 1.3-1.4</t>
  </si>
  <si>
    <t>AU 1.4-1.5</t>
  </si>
  <si>
    <t>AU 1.5-1.6</t>
  </si>
  <si>
    <t>AU 1.6-1.7</t>
  </si>
  <si>
    <t>AU 1.7-1.8</t>
  </si>
  <si>
    <t>AU 1.8-1.9</t>
  </si>
  <si>
    <t>AU 1.9-2.0</t>
  </si>
  <si>
    <t>AU 2.0-2.1</t>
  </si>
  <si>
    <t>AU 1,5</t>
  </si>
  <si>
    <t>Paha Bawah</t>
  </si>
  <si>
    <t>Usus</t>
  </si>
  <si>
    <t>Giblet</t>
  </si>
  <si>
    <t>AU 0.4-0.5 Grade A</t>
  </si>
  <si>
    <t>AU 0.5-0.6 Grade A</t>
  </si>
  <si>
    <t>AU 0.6-0.7 Grade A</t>
  </si>
  <si>
    <t>AU 0.7-0.8 Grade A</t>
  </si>
  <si>
    <t>AU 0.8-0.9 Grade A</t>
  </si>
  <si>
    <t>AU 0.9-1.0 Grade A</t>
  </si>
  <si>
    <t>AU 1.0-1.1 Grade A</t>
  </si>
  <si>
    <t>AU 1.1-1.2 Grade A</t>
  </si>
  <si>
    <t>AU 1.2-1.3 Grade A</t>
  </si>
  <si>
    <t>AU 1.3-1.4 Grade A</t>
  </si>
  <si>
    <t>AU 1.4-1.5 Grade A</t>
  </si>
  <si>
    <t>AU 1.5-1.6 Grade A</t>
  </si>
  <si>
    <t>AU 1.6-1.7 Grade A</t>
  </si>
  <si>
    <t>AU 1.7-1.8 Grade A</t>
  </si>
  <si>
    <t>AU 1.8-1.9 Grade A</t>
  </si>
  <si>
    <t>AU 1.9-2.0 Grade A</t>
  </si>
  <si>
    <t>AU 2.0-2.1 Grade A</t>
  </si>
  <si>
    <t>JLB1865</t>
  </si>
  <si>
    <t>JLB1866</t>
  </si>
  <si>
    <t>JLB1867</t>
  </si>
  <si>
    <t>JLB1859</t>
  </si>
  <si>
    <t>JLB1858</t>
  </si>
  <si>
    <t>Karkas Uk 2.7 Karkas Uk 2.7 Frozen HJA - Hati Grade</t>
  </si>
  <si>
    <t>Karkas Uk 2.7 Karkas Uk 2.7 Frozen HJA - Hati Grade D</t>
  </si>
  <si>
    <t>Karkas Uk 2.7 Karkas Uk 2.7 Frozen HJA - Jantung</t>
  </si>
  <si>
    <t>Karkas Uk 2.7 Karkas Uk 2.7 Frozen HJA - Jantung Grade</t>
  </si>
  <si>
    <t>Karkas Uk 2.7 Karkas Uk 2.7 Frozen HJA - Jantung Grade D</t>
  </si>
  <si>
    <t>Karkas Uk 2.7 Karkas Uk 2.7 Frozen Hja Grade</t>
  </si>
  <si>
    <t>Karkas Uk 2.7 Karkas Uk 2.7 Frozen HJA Grade D</t>
  </si>
  <si>
    <t>Karkas Uk 2.7 Karkas Uk 2.7 Frozen Kepala</t>
  </si>
  <si>
    <t>Karkas Uk 2.7 Karkas Uk 2.7 Frozen Kepala - Batok Kepala</t>
  </si>
  <si>
    <t>Karkas Uk 2.7 Karkas Uk 2.7 Frozen Kepala - Batok Kepala Grade D</t>
  </si>
  <si>
    <t>Karkas Uk 2.7 Karkas Uk 2.7 Frozen Kepala - Kulit Leher</t>
  </si>
  <si>
    <t>Karkas Uk 2.7 Karkas Uk 2.7 Frozen Kepala - Kulit Leher Grade D</t>
  </si>
  <si>
    <t>Karkas Uk 2.7 Karkas UK 2.7 Frozen Kepala - Selang Leher</t>
  </si>
  <si>
    <t>Karkas Uk 2.7 Karkas UK 2.7 Frozen Kepala - Trimming Leher</t>
  </si>
  <si>
    <t>Karkas Uk 2.7 Karkas Uk 2.7 Frozen Kepala - Trimming Leher Grade D</t>
  </si>
  <si>
    <t>Karkas Uk 2.7 Karkas Uk 2.7 Frozen Kepala - Tulang Leher</t>
  </si>
  <si>
    <t>Karkas Uk 2.7 Karkas Uk 2.7 Frozen Kepala - Tulang Leher Grade D</t>
  </si>
  <si>
    <t>Karkas Uk 2.7 Karkas UK 2.7 Frozen Kepala Grade D</t>
  </si>
  <si>
    <t>Karkas Uk 2.7 Karkas Uk 2.7 Frozen Premium</t>
  </si>
  <si>
    <t>Karkas Uk 2.7 Karkas Uk 2.7 Frozen Usus Kotor</t>
  </si>
  <si>
    <t>Karkas Uk 2.7 Karkas Uk 2.7 Frozen Usus Kotor Grade D</t>
  </si>
  <si>
    <t>Karkas Uk 0.4 Karaks Uk 0.4 Frozen Kepala - Selang Leher Grade D</t>
  </si>
  <si>
    <t>karkas Uk 0.4 Karkas Uk 0.4 Fresh Ceker</t>
  </si>
  <si>
    <t>karkas Uk 0.4 Karkas Uk 0.4 Fresh Ceker Grade D</t>
  </si>
  <si>
    <t>Karkas Uk 0.4 Karkas Uk 0.4 Fresh Grade A</t>
  </si>
  <si>
    <t>karkas Uk 0.4 Karkas Uk 0.4 Fresh Grade B</t>
  </si>
  <si>
    <t>Karkas Uk 0.4 Karkas Uk 0.4 Fresh Grade C</t>
  </si>
  <si>
    <t>Karkas Uk 0.4 Karkas Uk 0.4 Fresh Grade D</t>
  </si>
  <si>
    <t>karkas Uk 0.4 Karkas Uk 0.4 Fresh HJA</t>
  </si>
  <si>
    <t>Karkas Uk 0.4 Karkas Uk 0.4 Fresh Hja - Ampela</t>
  </si>
  <si>
    <t>Karkas Uk 0.4 Karkas Uk 0.4 Fresh HJA - Ampela Grade</t>
  </si>
  <si>
    <t>Karkas Uk 0.4 Karkas Uk 0.4 Fresh HJA - Ampela Grade D</t>
  </si>
  <si>
    <t>Karkas Uk 0.4 Karkas Uk 0.4 Fresh HJA - Hati</t>
  </si>
  <si>
    <t>Karkas Uk 0.4 Karkas Uk 0.4 Fresh HJA - Hati Grade</t>
  </si>
  <si>
    <t>Karkas Uk 0.4 Karkas Uk 0.4 Fresh HJA - Hati Grade D</t>
  </si>
  <si>
    <t>Karkas Uk 0.4 Karkas Uk 0.4 Fresh HJA - Jantung</t>
  </si>
  <si>
    <t>Karkas Uk 0.4 Karkas Uk 0.4 Fresh HJA - Jantung Grade</t>
  </si>
  <si>
    <t>Karkas Uk 0.4 Karkas Uk 0.4 Fresh HJA - Jantung Grade D</t>
  </si>
  <si>
    <t>Karkas Uk 0.4 Karkas Uk 0.4 Fresh HJA Grade</t>
  </si>
  <si>
    <t>Karkas Uk 0.4 Karkas Uk 0.4 Fresh HJA Grade D</t>
  </si>
  <si>
    <t>Karkas Uk 0.4 Karkas Uk 0.4 Fresh Kepala</t>
  </si>
  <si>
    <t>Karkas Uk 0.4 Karkas Uk 0.4 fresh kepala - Batok kepala</t>
  </si>
  <si>
    <t>karkas Uk 0.4 Karkas Uk 0.4 Fresh Kepala - Batok Kepala Grade D</t>
  </si>
  <si>
    <t>karkas Uk 0.4 Karkas Uk 0.4 fresh kepala - Kulit Leher</t>
  </si>
  <si>
    <t>karkas Uk 0.4 Karkas Uk 0.4 fresh kepala - Kulit Leher Grade D</t>
  </si>
  <si>
    <t>karkas Uk 0.4 Karkas Uk 0.4 fresh kepala - Selang Leher</t>
  </si>
  <si>
    <t>karkas Uk 0.4 Karkas Uk 0.4 Fresh kepala - Trimming Leher</t>
  </si>
  <si>
    <t>karkas Uk 0.4 Karkas Uk 0.4 Fresh Kepala - Trimming Leher Grade D</t>
  </si>
  <si>
    <t>Karkas Uk 0.4 Karkas Uk 0.4 Fresh kepala - Tulang Leher</t>
  </si>
  <si>
    <t>karkas Uk 0.4 Karkas Uk 0.4 fresh Kepala - Tulang Leher Grade D</t>
  </si>
  <si>
    <t>Karkas Uk 0.4 Karkas Uk 0.4 Fresh Kepala Grade D</t>
  </si>
  <si>
    <t>karkas Uk 0.4 Karkas Uk 0.4 Fresh Kepala -Selang leher grade D</t>
  </si>
  <si>
    <t>Karkas Uk 0.4 Karkas Uk 0.4 Fresh Premium</t>
  </si>
  <si>
    <t>Karkas Uk 0.4 Karkas Uk 0.4 Fresh Usus Kotor</t>
  </si>
  <si>
    <t>Karkas Uk 0.4 Karkas Uk 0.4 Fresh Usus Kotor Grade D</t>
  </si>
  <si>
    <t>Karkas Uk 0.4 Karkas Uk 0.4 Frozen Ceker</t>
  </si>
  <si>
    <t>Karkas Uk 0.4 Karkas Uk 0.4 Frozen Ceker Grade D</t>
  </si>
  <si>
    <t>Karkas Uk 0.4 Karkas Uk 0.4 Frozen Grade A</t>
  </si>
  <si>
    <t>Karkas Uk 0.4 Karkas Uk 0.4 Frozen Grade B</t>
  </si>
  <si>
    <t>karkas Uk 0.4 Karkas Uk 0.4 Frozen Grade C</t>
  </si>
  <si>
    <t>Karkas Uk 0.4 Karkas Uk 0.4 Frozen Grade D</t>
  </si>
  <si>
    <t>Karkas Uk 0.4 Karkas Uk 0.4 Frozen HJA</t>
  </si>
  <si>
    <t>Karkas Uk 0.4 Karkas Uk 0.4 Frozen HJA - Ampela</t>
  </si>
  <si>
    <t>Karkas Uk 0.4 Karkas Uk 0.4 Frozen HJA - Ampela Grade</t>
  </si>
  <si>
    <t>Karkas Uk 0.4 Karkas Uk 0.4 Frozen HJA - Hati</t>
  </si>
  <si>
    <t>Karkas Uk 0.4 Karkas Uk 0.4 Frozen HJA - Hati Grade</t>
  </si>
  <si>
    <t>Karkas Uk 0.4 Karkas Uk 0.4 Frozen HJA - Hati Grade D</t>
  </si>
  <si>
    <t>Karkas Uk 0.4 Karkas Uk 0.4 Frozen HJA - Jantung</t>
  </si>
  <si>
    <t>Karkas Uk 0.4 Karkas Uk 0.4 Frozen HJA - Jantung Grade</t>
  </si>
  <si>
    <t>Karkas Uk 0.4 Karkas Uk 0.4 Frozen HJA - Jantung Grade D</t>
  </si>
  <si>
    <t>Karkas Uk 0.4 Karkas Uk 0.4 Frozen Hja Grade</t>
  </si>
  <si>
    <t>Karkas Uk 0.4 Karkas Uk 0.4 Frozen HJA Grade D</t>
  </si>
  <si>
    <t>Karkas Uk 0.4 Karkas Uk 0.4 Frozen Kepala</t>
  </si>
  <si>
    <t>Karkas Uk 0.4 Karkas Uk 0.4 Frozen Kepala - Batok Kepala</t>
  </si>
  <si>
    <t>Karkas Uk 0.4 Karkas Uk 0.4 Frozen Kepala - Batok Kepala Grade D</t>
  </si>
  <si>
    <t>Karkas Uk 0.4 Karkas Uk 0.4 Frozen Kepala - Kulit Leher</t>
  </si>
  <si>
    <t>Karkas Uk 0.4 Karkas Uk 0.4 Frozen Kepala - Kulit Leher Grade D</t>
  </si>
  <si>
    <t>Karkas Uk 0.4 Karkas UK 0.4 Frozen Kepala - Selang Leher</t>
  </si>
  <si>
    <t>Karkas Uk 0.4 Karkas UK 0.4 Frozen Kepala - Trimming Leher</t>
  </si>
  <si>
    <t>Karkas Uk 0.4 Karkas Uk 0.4 Frozen Kepala - Trimming Leher Grade D</t>
  </si>
  <si>
    <t>Karkas Uk 0.4 Karkas Uk 0.4 Frozen Kepala - Tulang Leher</t>
  </si>
  <si>
    <t>Karkas Uk 0.4 Karkas Uk 0.4 Frozen Kepala - Tulang Leher Grade D</t>
  </si>
  <si>
    <t>Karkas Uk 0.4 Karkas UK 0.4 Frozen Kepala Grade D</t>
  </si>
  <si>
    <t>karkas Uk 0.4 Karkas Uk 0.4 Frozen Premium</t>
  </si>
  <si>
    <t>Karkas Uk 0.4 Karkas Uk 0.4 Frozen Usus Kotor</t>
  </si>
  <si>
    <t>Karkas Uk 0.4 Karkas Uk 0.4 Frozen Usus Kotor Grade D</t>
  </si>
  <si>
    <t>Karkas Uk 0.5 Karaks Uk 0.5 Frozen Kepala - Selang Leher Grade D</t>
  </si>
  <si>
    <t>Karkas Uk 0.5 Karkas Uk 0.5 Fresh Ceker</t>
  </si>
  <si>
    <t>Karkas Uk 0.5 Karkas Uk 0.5 Fresh Ceker Grade D</t>
  </si>
  <si>
    <t>Karkas Uk 0.5 Karkas Uk 0.5 Fresh Grade A</t>
  </si>
  <si>
    <t>Karkas Uk 0.5 Karkas Uk 0.5 Fresh Grade B</t>
  </si>
  <si>
    <t>Karkas Uk 0.5 Karkas Uk 0.5 Fresh Grade C</t>
  </si>
  <si>
    <t>Karkas Uk 0.5 Karkas Uk 0.5 Fresh Grade D</t>
  </si>
  <si>
    <t>Karkas Uk 0.5 Karkas Uk 0.5 Fresh HJA</t>
  </si>
  <si>
    <t>Karkas Uk 0.5 Karkas Uk 0.5 Fresh Hja - Ampela</t>
  </si>
  <si>
    <t>Karkas Uk 0.5 Karkas Uk 0.5 Fresh HJA - Ampela Grade</t>
  </si>
  <si>
    <t>Karkas Uk 0.5 Karkas Uk 0.5 Fresh HJA - Ampela Grade D</t>
  </si>
  <si>
    <t>Karkas Uk 0.5 Karkas Uk 0.5 Fresh HJA - Hati</t>
  </si>
  <si>
    <t>Karkas Uk 0.5 Karkas Uk 0.5 Fresh HJA - Hati Grade</t>
  </si>
  <si>
    <t>Karkas Uk 0.5 Karkas Uk 0.5 Fresh HJA - Hati Grade D</t>
  </si>
  <si>
    <t>Karkas Uk 0.5 Karkas Uk 0.5 Fresh HJA - Jantung</t>
  </si>
  <si>
    <t>Karkas Uk 0.5 Karkas Uk 0.5 Fresh HJA - Jantung Grade</t>
  </si>
  <si>
    <t>Karkas Uk 0.5 Karkas Uk 0.5 Fresh HJA - Jantung Grade D</t>
  </si>
  <si>
    <t>Karkas Uk 0.5 Karkas Uk 0.5 Fresh HJA Grade</t>
  </si>
  <si>
    <t>Karkas Uk 0.5 Karkas Uk 0.5 Fresh HJA Grade D</t>
  </si>
  <si>
    <t>Karkas Uk 0.5 Karkas Uk 0.5 Fresh Kepala</t>
  </si>
  <si>
    <t>Karkas Uk 0.5 Karkas Uk 0.5 fresh kepala - Batok kepala</t>
  </si>
  <si>
    <t>Karkas Uk 0.5 Karkas Uk 0.5 Fresh Kepala - Batok Kepala Grade D</t>
  </si>
  <si>
    <t>Karkas Uk 0.5 Karkas Uk 0.5 fresh kepala - Kulit Leher</t>
  </si>
  <si>
    <t>Karkas Uk 0.5 Karkas Uk 0.5 fresh kepala - Kulit Leher Grade D</t>
  </si>
  <si>
    <t>Karkas Uk 0.5 Karkas Uk 0.5 fresh kepala - Selang Leher</t>
  </si>
  <si>
    <t>Karkas Uk 0.5 Karkas Uk 0.5 Fresh kepala - Trimming Leher</t>
  </si>
  <si>
    <t>Karkas Uk 0.5 Karkas Uk 0.5 Fresh Kepala - Trimming Leher Grade D</t>
  </si>
  <si>
    <t>Karkas Uk 0.5 Karkas Uk 0.5 Fresh kepala - Tulang Leher</t>
  </si>
  <si>
    <t>Karkas Uk 0.5 Karkas Uk 0.5 fresh Kepala - Tulang Leher Grade D</t>
  </si>
  <si>
    <t>Karkas Uk 0.5 Karkas Uk 0.5 Fresh Kepala Grade D</t>
  </si>
  <si>
    <t>Karkas Uk 0.5 Karkas Uk 0.5 Fresh Kepala -Selang leher grade D</t>
  </si>
  <si>
    <t>Karkas Uk 0.5 Karkas Uk 0.5 Fresh Premium</t>
  </si>
  <si>
    <t>Karkas Uk 0.5 Karkas Uk 0.5 Fresh Usus Kotor</t>
  </si>
  <si>
    <t>Karkas Uk 0.5 Karkas Uk 0.5 Fresh Usus Kotor Grade D</t>
  </si>
  <si>
    <t>Karkas Uk 0.5 Karkas Uk 0.5 Frozen Ceker</t>
  </si>
  <si>
    <t>Karkas Uk 0.5 Karkas Uk 0.5 Frozen Ceker Grade D</t>
  </si>
  <si>
    <t>Karkas Uk 0.5 Karkas Uk 0.5 Frozen Grade A</t>
  </si>
  <si>
    <t>Karkas Uk 0.5 Karkas Uk 0.5 Frozen Grade B</t>
  </si>
  <si>
    <t>Karkas Uk 0.5 Karkas Uk 0.5 Frozen Grade C</t>
  </si>
  <si>
    <t>Karkas Uk 0.5 Karkas Uk 0.5 Frozen Grade D</t>
  </si>
  <si>
    <t>Karkas Uk 0.5 Karkas Uk 0.5 Frozen HJA</t>
  </si>
  <si>
    <t>Karkas Uk 0.5 Karkas Uk 0.5 Frozen HJA - Ampela</t>
  </si>
  <si>
    <t>Karkas Uk 0.5 Karkas Uk 0.5 Frozen HJA - Ampela Grade</t>
  </si>
  <si>
    <t>Karkas Uk 0.5 Karkas Uk 0.5 Frozen HJA - Hati</t>
  </si>
  <si>
    <t>Karkas Uk 0.5 Karkas Uk 0.5 Frozen HJA - Hati Grade</t>
  </si>
  <si>
    <t>Karkas Uk 0.5 Karkas Uk 0.5 Frozen HJA - Hati Grade D</t>
  </si>
  <si>
    <t>Karkas Uk 0.5 Karkas Uk 0.5 Frozen HJA - Jantung</t>
  </si>
  <si>
    <t>Karkas Uk 0.5 Karkas Uk 0.5 Frozen HJA - Jantung Grade</t>
  </si>
  <si>
    <t>Karkas Uk 0.5 Karkas Uk 0.5 Frozen HJA - Jantung Grade D</t>
  </si>
  <si>
    <t>Karkas Uk 0.5 Karkas Uk 0.5 Frozen Hja Grade</t>
  </si>
  <si>
    <t>Karkas Uk 0.5 Karkas Uk 0.5 Frozen HJA Grade D</t>
  </si>
  <si>
    <t>Karkas Uk 0.5 Karkas Uk 0.5 Frozen Kepala</t>
  </si>
  <si>
    <t>Karkas Uk 0.5 Karkas Uk 0.5 Frozen Kepala - Batok Kepala</t>
  </si>
  <si>
    <t>Karkas Uk 0.5 Karkas Uk 0.5 Frozen Kepala - Batok Kepala Grade D</t>
  </si>
  <si>
    <t>Karkas Uk 0.5 Karkas Uk 0.5 Frozen Kepala - Kulit Leher</t>
  </si>
  <si>
    <t>Karkas Uk 0.5 Karkas Uk 0.5 Frozen Kepala - Kulit Leher Grade D</t>
  </si>
  <si>
    <t>Karkas Uk 0.5 Karkas UK 0.5 Frozen Kepala - Selang Leher</t>
  </si>
  <si>
    <t>Karkas Uk 0.5 Karkas UK 0.5 Frozen Kepala - Trimming Leher</t>
  </si>
  <si>
    <t>Karkas Uk 0.5 Karkas Uk 0.5 Frozen Kepala - Trimming Leher Grade D</t>
  </si>
  <si>
    <t>Karkas Uk 0.5 Karkas Uk 0.5 Frozen Kepala - Tulang Leher</t>
  </si>
  <si>
    <t>Karkas Uk 0.5 Karkas Uk 0.5 Frozen Kepala - Tulang Leher Grade D</t>
  </si>
  <si>
    <t>Karkas Uk 0.5 Karkas UK 0.5 Frozen Kepala Grade D</t>
  </si>
  <si>
    <t>Karkas Uk 0.5 Karkas Uk 0.5 Frozen Usus Kotor</t>
  </si>
  <si>
    <t>Karkas Uk 0.5 Karkas Uk 0.5 Frozen Usus Kotor Grade D</t>
  </si>
  <si>
    <t>Karkas Uk 0.6 Karaks Uk 0.6 Frozen Kepala - Selang Leher Grade D</t>
  </si>
  <si>
    <t>Karkas Uk 0.6 Karkas Uk 0.6 Fresh Ceker</t>
  </si>
  <si>
    <t>Karkas Uk 0.6 Karkas Uk 0.6 Fresh Ceker Grade D</t>
  </si>
  <si>
    <t>Karkas Uk 0.6 Karkas Uk 0.6 Fresh Grade A</t>
  </si>
  <si>
    <t>Karkas Uk 0.6 Karkas Uk 0.6 Fresh Grade B</t>
  </si>
  <si>
    <t>Karkas Uk 0.6 Karkas Uk 0.6 Fresh Grade C</t>
  </si>
  <si>
    <t>Karkas Uk 0.6 Karkas Uk 0.6 Fresh Grade D</t>
  </si>
  <si>
    <t>Karkas Uk 0.6 Karkas Uk 0.6 Fresh HJA</t>
  </si>
  <si>
    <t>Karkas Uk 0.6 Karkas Uk 0.6 Fresh Hja - Ampela</t>
  </si>
  <si>
    <t>Karkas Uk 0.6 Karkas Uk 0.6 Fresh HJA - Ampela Grade</t>
  </si>
  <si>
    <t>Karkas Uk 0.6 Karkas Uk 0.6 Fresh HJA - Ampela Grade D</t>
  </si>
  <si>
    <t>Karkas Uk 0.6 Karkas Uk 0.6 Fresh HJA - Hati</t>
  </si>
  <si>
    <t>Karkas Uk 0.6 Karkas Uk 0.6 Fresh HJA - Hati Grade</t>
  </si>
  <si>
    <t>Karkas Uk 0.6 Karkas Uk 0.6 Fresh HJA - Hati Grade D</t>
  </si>
  <si>
    <t>Karkas Uk 0.6 Karkas Uk 0.6 Fresh HJA - Jantung</t>
  </si>
  <si>
    <t>Karkas Uk 0.6 Karkas Uk 0.6 Fresh HJA - Jantung Grade</t>
  </si>
  <si>
    <t>Karkas Uk 0.6 Karkas Uk 0.6 Fresh HJA - Jantung Grade D</t>
  </si>
  <si>
    <t>Karkas Uk 0.6 Karkas Uk 0.6 Fresh HJA Grade</t>
  </si>
  <si>
    <t>Karkas Uk 0.6 Karkas Uk 0.6 Fresh HJA Grade D</t>
  </si>
  <si>
    <t>Karkas Uk 0.6 Karkas Uk 0.6 Fresh Kepala</t>
  </si>
  <si>
    <t>Karkas Uk 0.6 Karkas Uk 0.6 fresh kepala - Batok kepala</t>
  </si>
  <si>
    <t>Karkas Uk 0.6 Karkas Uk 0.6 Fresh Kepala - Batok Kepala Grade D</t>
  </si>
  <si>
    <t>Karkas Uk 0.6 Karkas Uk 0.6 fresh kepala - Kulit Leher</t>
  </si>
  <si>
    <t>Karkas Uk 0.6 Karkas Uk 0.6 fresh kepala - Kulit Leher Grade D</t>
  </si>
  <si>
    <t>Karkas Uk 0.6 Karkas Uk 0.6 fresh kepala - Selang Leher</t>
  </si>
  <si>
    <t>Karkas Uk 0.6 Karkas Uk 0.6 Fresh kepala - Trimming Leher</t>
  </si>
  <si>
    <t>Karkas Uk 0.6 Karkas Uk 0.6 Fresh Kepala - Trimming Leher Grade D</t>
  </si>
  <si>
    <t>Karkas Uk 0.6 Karkas Uk 0.6 Fresh kepala - Tulang Leher</t>
  </si>
  <si>
    <t>Karkas Uk 0.6 Karkas Uk 0.6 fresh Kepala - Tulang Leher Grade D</t>
  </si>
  <si>
    <t>Karkas Uk 0.6 Karkas Uk 0.6 Fresh Kepala Grade D</t>
  </si>
  <si>
    <t>Karkas Uk 0.6 Karkas Uk 0.6 Fresh Kepala -Selang leher grade D</t>
  </si>
  <si>
    <t>Karkas Uk 0.6 Karkas Uk 0.6 Fresh Premium</t>
  </si>
  <si>
    <t>Karkas Uk 0.6 Karkas Uk 0.6 Fresh Usus Kotor</t>
  </si>
  <si>
    <t>Karkas Uk 0.6 Karkas Uk 0.6 Fresh Usus Kotor Grade D</t>
  </si>
  <si>
    <t>Karkas Uk 0.6 Karkas Uk 0.6 Frozen Ceker</t>
  </si>
  <si>
    <t>Karkas Uk 0.6 Karkas Uk 0.6 Frozen Ceker Grade D</t>
  </si>
  <si>
    <t>Karkas Uk 0.6 Karkas Uk 0.6 Frozen Grade A</t>
  </si>
  <si>
    <t>Karkas Uk 0.6 Karkas Uk 0.6 Frozen Grade B</t>
  </si>
  <si>
    <t>Karkas Uk 0.6 Karkas Uk 0.6 Frozen Grade C</t>
  </si>
  <si>
    <t>Karkas Uk 0.6 Karkas Uk 0.6 Frozen Grade D</t>
  </si>
  <si>
    <t>Karkas Uk 0.6 Karkas Uk 0.6 Frozen HJA</t>
  </si>
  <si>
    <t>Karkas Uk 0.6 Karkas Uk 0.6 Frozen HJA - Ampela</t>
  </si>
  <si>
    <t>Karkas Uk 0.6 Karkas Uk 0.6 Frozen HJA - Ampela Grade</t>
  </si>
  <si>
    <t>Karkas Uk 0.6 Karkas Uk 0.6 Frozen HJA - Hati</t>
  </si>
  <si>
    <t>Karkas Uk 0.6 Karkas Uk 0.6 Frozen HJA - Hati Grade</t>
  </si>
  <si>
    <t>Karkas Uk 0.6 Karkas Uk 0.6 Frozen HJA - Hati Grade D</t>
  </si>
  <si>
    <t>Karkas Uk 0.6 Karkas Uk 0.6 Frozen HJA - Jantung</t>
  </si>
  <si>
    <t>Karkas Uk 0.6 Karkas Uk 0.6 Frozen HJA - Jantung Grade</t>
  </si>
  <si>
    <t>Karkas Uk 0.6 Karkas Uk 0.6 Frozen HJA - Jantung Grade D</t>
  </si>
  <si>
    <t>Karkas Uk 0.6 Karkas Uk 0.6 Frozen Hja Grade</t>
  </si>
  <si>
    <t>Karkas Uk 0.6 Karkas Uk 0.6 Frozen HJA Grade D</t>
  </si>
  <si>
    <t>Karkas Uk 0.6 Karkas Uk 0.6 Frozen Kepala</t>
  </si>
  <si>
    <t>Karkas Uk 0.6 Karkas Uk 0.6 Frozen Kepala - Batok Kepala</t>
  </si>
  <si>
    <t>Karkas Uk 0.6 Karkas Uk 0.6 Frozen Kepala - Batok Kepala Grade D</t>
  </si>
  <si>
    <t>Karkas Uk 0.6 Karkas Uk 0.6 Frozen Kepala - Kulit Leher</t>
  </si>
  <si>
    <t>Karkas Uk 0.6 Karkas Uk 0.6 Frozen Kepala - Kulit Leher Grade D</t>
  </si>
  <si>
    <t>Karkas Uk 0.6 Karkas UK 0.6 Frozen Kepala - Selang Leher</t>
  </si>
  <si>
    <t>Karkas Uk 0.6 Karkas UK 0.6 Frozen Kepala - Trimming Leher</t>
  </si>
  <si>
    <t>Karkas Uk 0.6 Karkas Uk 0.6 Frozen Kepala - Trimming Leher Grade D</t>
  </si>
  <si>
    <t>Karkas Uk 0.6 Karkas Uk 0.6 Frozen Kepala - Tulang Leher</t>
  </si>
  <si>
    <t>Karkas Uk 0.6 Karkas Uk 0.6 Frozen Kepala - Tulang Leher Grade D</t>
  </si>
  <si>
    <t>Karkas Uk 0.6 Karkas UK 0.6 Frozen Kepala Grade D</t>
  </si>
  <si>
    <t>Karkas Uk 0.6 Karkas Uk 0.6 Frozen Usus Kotor</t>
  </si>
  <si>
    <t>Karkas Uk 0.6 Karkas Uk 0.6 Frozen Usus Kotor Grade D</t>
  </si>
  <si>
    <t>Karkas Uk 0.7 Karaks Uk 0.7 Frozen Kepala - Selang Leher Grade D</t>
  </si>
  <si>
    <t>Karkas Uk 0.7 Karkas Uk 0.7 Fresh Ceker</t>
  </si>
  <si>
    <t>Karkas Uk 0.7 Karkas Uk 0.7 Fresh Ceker Grade D</t>
  </si>
  <si>
    <t>Karkas Uk 0.7 Karkas Uk 0.7 Fresh Grade A</t>
  </si>
  <si>
    <t>Karkas Uk 0.7 Karkas Uk 0.7 Fresh Grade B</t>
  </si>
  <si>
    <t>Karkas Uk 0.7 Karkas Uk 0.7 Fresh Grade C</t>
  </si>
  <si>
    <t>Karkas Uk 0.7 Karkas Uk 0.7 Fresh Grade D</t>
  </si>
  <si>
    <t>Karkas Uk 0.7 Karkas Uk 0.7 Fresh HJA</t>
  </si>
  <si>
    <t>Karkas Uk 0.7 Karkas Uk 0.7 Fresh Hja - Ampela</t>
  </si>
  <si>
    <t>Karkas Uk 0.7 Karkas Uk 0.7 Fresh HJA - Ampela Grade</t>
  </si>
  <si>
    <t>Karkas Uk 0.7 Karkas Uk 0.7 Fresh HJA - Ampela Grade D</t>
  </si>
  <si>
    <t>Karkas Uk 0.7 Karkas Uk 0.7 Fresh HJA - Hati</t>
  </si>
  <si>
    <t>Karkas Uk 0.7 Karkas Uk 0.7 Fresh HJA - Hati Grade</t>
  </si>
  <si>
    <t>Karkas Uk 0.7 Karkas Uk 0.7 Fresh HJA - Hati Grade D</t>
  </si>
  <si>
    <t>Karkas Uk 0.7 Karkas Uk 0.7 Fresh HJA - Jantung</t>
  </si>
  <si>
    <t>Karkas Uk 0.7 Karkas Uk 0.7 Fresh HJA - Jantung Grade</t>
  </si>
  <si>
    <t>Karkas Uk 0.7 Karkas Uk 0.7 Fresh HJA - Jantung Grade D</t>
  </si>
  <si>
    <t>Karkas Uk 0.7 Karkas Uk 0.7 Fresh HJA Grade</t>
  </si>
  <si>
    <t>Karkas Uk 0.7 Karkas Uk 0.7 Fresh HJA Grade D</t>
  </si>
  <si>
    <t>Karkas Uk 0.7 Karkas Uk 0.7 Fresh Kepala</t>
  </si>
  <si>
    <t>Karkas Uk 0.7 Karkas Uk 0.7 fresh kepala - Batok kepala</t>
  </si>
  <si>
    <t>Karkas Uk 0.7 Karkas Uk 0.7 Fresh Kepala - Batok Kepala Grade D</t>
  </si>
  <si>
    <t>Karkas Uk 0.7 Karkas Uk 0.7 fresh kepala - Kulit Leher</t>
  </si>
  <si>
    <t>Karkas Uk 0.7 Karkas Uk 0.7 fresh kepala - Kulit Leher Grade D</t>
  </si>
  <si>
    <t>Karkas Uk 0.7 Karkas Uk 0.7 fresh kepala - Selang Leher</t>
  </si>
  <si>
    <t>Karkas Uk 0.7 Karkas Uk 0.7 Fresh kepala - Trimming Leher</t>
  </si>
  <si>
    <t>Karkas Uk 0.7 Karkas Uk 0.7 Fresh Kepala - Trimming Leher Grade D</t>
  </si>
  <si>
    <t>Karkas Uk 0.7 Karkas Uk 0.7 Fresh kepala - Tulang Leher</t>
  </si>
  <si>
    <t>Karkas Uk 0.7 Karkas Uk 0.7 fresh Kepala - Tulang Leher Grade D</t>
  </si>
  <si>
    <t>Karkas Uk 0.7 Karkas Uk 0.7 Fresh Kepala Grade D</t>
  </si>
  <si>
    <t>Karkas Uk 0.7 Karkas Uk 0.7 Fresh Kepala -Selang leher grade D</t>
  </si>
  <si>
    <t>Karkas Uk 0.7 Karkas Uk 0.7 Fresh Premium</t>
  </si>
  <si>
    <t>Karkas Uk 0.7 Karkas Uk 0.7 Fresh Usus Kotor</t>
  </si>
  <si>
    <t>Karkas Uk 0.7 Karkas Uk 0.7 Fresh Usus Kotor Grade D</t>
  </si>
  <si>
    <t>Karkas Uk 0.7 Karkas Uk 0.7 Frozen Ceker</t>
  </si>
  <si>
    <t>Karkas Uk 0.7 Karkas Uk 0.7 Frozen Ceker Grade D</t>
  </si>
  <si>
    <t>Karkas Uk 0.7 Karkas Uk 0.7 Frozen Grade A</t>
  </si>
  <si>
    <t>Karkas Uk 0.7 Karkas Uk 0.7 Frozen Grade B</t>
  </si>
  <si>
    <t>Karkas Uk 0.7 Karkas Uk 0.7 Frozen Grade C</t>
  </si>
  <si>
    <t>Karkas Uk 0.7 Karkas Uk 0.7 Frozen Grade D</t>
  </si>
  <si>
    <t>Karkas Uk 0.7 Karkas Uk 0.7 Frozen HJA</t>
  </si>
  <si>
    <t>Karkas Uk 0.7 Karkas Uk 0.7 Frozen HJA - Ampela</t>
  </si>
  <si>
    <t>Karkas Uk 0.7 Karkas Uk 0.7 Frozen HJA - Ampela Grade</t>
  </si>
  <si>
    <t>Karkas Uk 0.7 Karkas Uk 0.7 Frozen HJA - Hati</t>
  </si>
  <si>
    <t>Karkas Uk 0.7 Karkas Uk 0.7 Frozen HJA - Hati Grade</t>
  </si>
  <si>
    <t>Karkas Uk 0.7 Karkas Uk 0.7 Frozen HJA - Hati Grade D</t>
  </si>
  <si>
    <t>Karkas Uk 0.7 Karkas Uk 0.7 Frozen HJA - Jantung</t>
  </si>
  <si>
    <t>Karkas Uk 0.7 Karkas Uk 0.7 Frozen HJA - Jantung Grade</t>
  </si>
  <si>
    <t>Karkas Uk 0.7 Karkas Uk 0.7 Frozen HJA - Jantung Grade D</t>
  </si>
  <si>
    <t>Karkas Uk 0.7 Karkas Uk 0.7 Frozen Hja Grade</t>
  </si>
  <si>
    <t>Karkas Uk 0.7 Karkas Uk 0.7 Frozen HJA Grade D</t>
  </si>
  <si>
    <t>Karkas Uk 0.7 Karkas Uk 0.7 Frozen Kepala</t>
  </si>
  <si>
    <t>Karkas Uk 0.7 Karkas Uk 0.7 Frozen Kepala - Batok Kepala</t>
  </si>
  <si>
    <t>Karkas Uk 0.7 Karkas Uk 0.7 Frozen Kepala - Batok Kepala Grade D</t>
  </si>
  <si>
    <t>Karkas Uk 0.7 Karkas Uk 0.7 Frozen Kepala - Kulit Leher</t>
  </si>
  <si>
    <t>Karkas Uk 0.7 Karkas Uk 0.7 Frozen Kepala - Kulit Leher Grade D</t>
  </si>
  <si>
    <t>Karkas Uk 0.7 Karkas UK 0.7 Frozen Kepala - Selang Leher</t>
  </si>
  <si>
    <t>Karkas Uk 0.7 Karkas UK 0.7 Frozen Kepala - Trimming Leher</t>
  </si>
  <si>
    <t>Karkas Uk 0.7 Karkas Uk 0.7 Frozen Kepala - Trimming Leher Grade D</t>
  </si>
  <si>
    <t>Karkas Uk 0.7 Karkas Uk 0.7 Frozen Kepala - Tulang Leher</t>
  </si>
  <si>
    <t>Karkas Uk 0.7 Karkas Uk 0.7 Frozen Kepala - Tulang Leher Grade D</t>
  </si>
  <si>
    <t>Karkas Uk 0.7 Karkas UK 0.7 Frozen Kepala Grade D</t>
  </si>
  <si>
    <t>Karkas Uk 0.7 Karkas Uk 0.7 Frozen Usus Kotor</t>
  </si>
  <si>
    <t>Karkas Uk 0.7 Karkas Uk 0.7 Frozen Usus Kotor Grade D</t>
  </si>
  <si>
    <t>Karkas Uk 0.8 Karaks Uk 0.8 Frozen Kepala - Selang Leher Grade D</t>
  </si>
  <si>
    <t>Karkas Uk 0.8 Karkas Uk 0.8 Fresh Ceker</t>
  </si>
  <si>
    <t>Karkas Uk 0.8 Karkas Uk 0.8 Fresh Ceker Grade D</t>
  </si>
  <si>
    <t>Karkas Uk 0.8 Karkas Uk 0.8 Fresh Grade A</t>
  </si>
  <si>
    <t>Karkas Uk 0.8 Karkas Uk 0.8 Fresh Grade B</t>
  </si>
  <si>
    <t>Karkas Uk 0.8 Karkas Uk 0.8 Fresh Grade C</t>
  </si>
  <si>
    <t>Karkas Uk 0.8 Karkas Uk 0.8 Fresh Grade D</t>
  </si>
  <si>
    <t>Karkas Uk 0.8 Karkas Uk 0.8 Fresh HJA</t>
  </si>
  <si>
    <t>Karkas Uk 0.8 Karkas Uk 0.8 Fresh Hja - Ampela</t>
  </si>
  <si>
    <t>Karkas Uk 0.8 Karkas Uk 0.8 Fresh HJA - Ampela Grade</t>
  </si>
  <si>
    <t>Karkas Uk 0.8 Karkas Uk 0.8 Fresh HJA - Ampela Grade D</t>
  </si>
  <si>
    <t>Karkas Uk 0.8 Karkas Uk 0.8 Fresh HJA - Hati</t>
  </si>
  <si>
    <t>Karkas Uk 0.8 Karkas Uk 0.8 Fresh HJA - Hati Grade</t>
  </si>
  <si>
    <t>Karkas Uk 0.8 Karkas Uk 0.8 Fresh HJA - Hati Grade D</t>
  </si>
  <si>
    <t>Karkas Uk 0.8 Karkas Uk 0.8 Fresh HJA - Jantung</t>
  </si>
  <si>
    <t>Karkas Uk 0.8 Karkas Uk 0.8 Fresh HJA - Jantung Grade</t>
  </si>
  <si>
    <t>Karkas Uk 0.8 Karkas Uk 0.8 Fresh HJA - Jantung Grade D</t>
  </si>
  <si>
    <t>Karkas Uk 0.8 Karkas Uk 0.8 Fresh HJA Grade</t>
  </si>
  <si>
    <t>Karkas Uk 0.8 Karkas Uk 0.8 Fresh HJA Grade D</t>
  </si>
  <si>
    <t>Karkas Uk 0.8 Karkas Uk 0.8 Fresh Kepala</t>
  </si>
  <si>
    <t>Karkas Uk 0.8 Karkas Uk 0.8 fresh kepala - Batok kepala</t>
  </si>
  <si>
    <t>Karkas Uk 0.8 Karkas Uk 0.8 Fresh Kepala - Batok Kepala Grade D</t>
  </si>
  <si>
    <t>Karkas Uk 0.8 Karkas Uk 0.8 fresh kepala - Kulit Leher</t>
  </si>
  <si>
    <t>Karkas Uk 0.8 Karkas Uk 0.8 fresh kepala - Kulit Leher Grade D</t>
  </si>
  <si>
    <t>Karkas Uk 0.8 Karkas Uk 0.8 fresh kepala - Selang Leher</t>
  </si>
  <si>
    <t>Karkas Uk 0.8 Karkas Uk 0.8 Fresh kepala - Trimming Leher</t>
  </si>
  <si>
    <t>Karkas Uk 0.8 Karkas Uk 0.8 Fresh Kepala - Trimming Leher Grade D</t>
  </si>
  <si>
    <t>Karkas Uk 0.8 Karkas Uk 0.8 Fresh kepala - Tulang Leher</t>
  </si>
  <si>
    <t>Karkas Uk 0.8 Karkas Uk 0.8 fresh Kepala - Tulang Leher Grade D</t>
  </si>
  <si>
    <t>Karkas Uk 0.8 Karkas Uk 0.8 Fresh Kepala Grade D</t>
  </si>
  <si>
    <t>Karkas Uk 0.8 Karkas Uk 0.8 Fresh Kepala -Selang leher grade D</t>
  </si>
  <si>
    <t>Karkas Uk 0.8 Karkas Uk 0.8 Fresh Premium</t>
  </si>
  <si>
    <t>Karkas Uk 0.8 Karkas Uk 0.8 Fresh Usus Kotor</t>
  </si>
  <si>
    <t>Karkas Uk 0.8 Karkas Uk 0.8 Fresh Usus Kotor Grade D</t>
  </si>
  <si>
    <t>Karkas Uk 0.8 Karkas Uk 0.8 Frozen Ceker</t>
  </si>
  <si>
    <t>Karkas Uk 0.8 Karkas Uk 0.8 Frozen Ceker Grade D</t>
  </si>
  <si>
    <t>Karkas Uk 0.8 Karkas Uk 0.8 Frozen Grade A</t>
  </si>
  <si>
    <t>Karkas Uk 0.8 Karkas Uk 0.8 Frozen Grade B</t>
  </si>
  <si>
    <t>Karkas Uk 0.8 Karkas Uk 0.8 Frozen Grade C</t>
  </si>
  <si>
    <t>Karkas Uk 0.8 Karkas Uk 0.8 Frozen Grade D</t>
  </si>
  <si>
    <t>Karkas Uk 0.8 Karkas Uk 0.8 Frozen HJA</t>
  </si>
  <si>
    <t>Karkas Uk 0.8 Karkas Uk 0.8 Frozen HJA - Ampela</t>
  </si>
  <si>
    <t>Karkas Uk 0.8 Karkas Uk 0.8 Frozen HJA - Ampela Grade</t>
  </si>
  <si>
    <t>Karkas Uk 0.8 Karkas Uk 0.8 Frozen HJA - Hati</t>
  </si>
  <si>
    <t>Karkas Uk 0.8 Karkas Uk 0.8 Frozen HJA - Hati Grade</t>
  </si>
  <si>
    <t>Karkas Uk 0.8 Karkas Uk 0.8 Frozen HJA - Hati Grade D</t>
  </si>
  <si>
    <t>Karkas Uk 0.8 Karkas Uk 0.8 Frozen HJA - Jantung</t>
  </si>
  <si>
    <t>Karkas Uk 0.8 Karkas Uk 0.8 Frozen HJA - Jantung Grade</t>
  </si>
  <si>
    <t>Karkas Uk 0.8 Karkas Uk 0.8 Frozen HJA - Jantung Grade D</t>
  </si>
  <si>
    <t>Karkas Uk 0.8 Karkas Uk 0.8 Frozen Hja Grade</t>
  </si>
  <si>
    <t>Karkas Uk 0.8 Karkas Uk 0.8 Frozen HJA Grade D</t>
  </si>
  <si>
    <t>Karkas Uk 0.8 Karkas Uk 0.8 Frozen Kepala</t>
  </si>
  <si>
    <t>Karkas Uk 0.8 Karkas Uk 0.8 Frozen Kepala - Batok Kepala</t>
  </si>
  <si>
    <t>Karkas Uk 0.8 Karkas Uk 0.8 Frozen Kepala - Batok Kepala Grade D</t>
  </si>
  <si>
    <t>Karkas Uk 0.8 Karkas Uk 0.8 Frozen Kepala - Kulit Leher</t>
  </si>
  <si>
    <t>Karkas Uk 0.8 Karkas Uk 0.8 Frozen Kepala - Kulit Leher Grade D</t>
  </si>
  <si>
    <t>Karkas Uk 0.8 Karkas UK 0.8 Frozen Kepala - Selang Leher</t>
  </si>
  <si>
    <t>Karkas Uk 0.8 Karkas UK 0.8 Frozen Kepala - Trimming Leher</t>
  </si>
  <si>
    <t>Karkas Uk 0.8 Karkas Uk 0.8 Frozen Kepala - Trimming Leher Grade D</t>
  </si>
  <si>
    <t>Karkas Uk 0.8 Karkas Uk 0.8 Frozen Kepala - Tulang Leher</t>
  </si>
  <si>
    <t>Karkas Uk 0.8 Karkas Uk 0.8 Frozen Kepala - Tulang Leher Grade D</t>
  </si>
  <si>
    <t>Karkas Uk 0.8 Karkas UK 0.8 Frozen Kepala Grade D</t>
  </si>
  <si>
    <t>Karkas Uk 0.8 Karkas Uk 0.8 Frozen Usus Kotor</t>
  </si>
  <si>
    <t>Karkas Uk 0.8 Karkas Uk 0.8 Frozen Usus Kotor Grade D</t>
  </si>
  <si>
    <t>Karkas Uk 0.9 Karaks Uk 0.9 Frozen Kepala - Selang Leher Grade D</t>
  </si>
  <si>
    <t>Karkas Uk 0.9 Karkas Uk 0.9 Fresh Ceker</t>
  </si>
  <si>
    <t>Karkas Uk 0.9 Karkas Uk 0.9 Fresh Ceker Grade D</t>
  </si>
  <si>
    <t>Karkas Uk 0.9 Karkas Uk 0.9 Fresh Grade A</t>
  </si>
  <si>
    <t>Karkas Uk 0.9 Karkas Uk 0.9 Fresh Grade B</t>
  </si>
  <si>
    <t>Karkas Uk 0.9 Karkas Uk 0.9 Fresh Grade C</t>
  </si>
  <si>
    <t>Karkas Uk 0.9 Karkas Uk 0.9 Fresh Grade D</t>
  </si>
  <si>
    <t>Karkas Uk 0.9 Karkas Uk 0.9 Fresh HJA</t>
  </si>
  <si>
    <t>Karkas Uk 0.9 Karkas Uk 0.9 Fresh Hja - Ampela</t>
  </si>
  <si>
    <t>Karkas Uk 0.9 Karkas Uk 0.9 Fresh HJA - Ampela Grade</t>
  </si>
  <si>
    <t>Karkas Uk 0.9 Karkas Uk 0.9 Fresh HJA - Ampela Grade D</t>
  </si>
  <si>
    <t>Karkas Uk 0.9 Karkas Uk 0.9 Fresh HJA - Hati</t>
  </si>
  <si>
    <t>Karkas Uk 0.9 Karkas Uk 0.9 Fresh HJA - Hati Grade</t>
  </si>
  <si>
    <t>Karkas Uk 0.9 Karkas Uk 0.9 Fresh HJA - Hati Grade D</t>
  </si>
  <si>
    <t>Karkas Uk 0.9 Karkas Uk 0.9 Fresh HJA - Jantung</t>
  </si>
  <si>
    <t>Karkas Uk 0.9 Karkas Uk 0.9 Fresh HJA - Jantung Grade</t>
  </si>
  <si>
    <t>Karkas Uk 0.9 Karkas Uk 0.9 Fresh HJA - Jantung Grade D</t>
  </si>
  <si>
    <t>Karkas Uk 0.9 Karkas Uk 0.9 Fresh HJA Grade</t>
  </si>
  <si>
    <t>Karkas Uk 0.9 Karkas Uk 0.9 Fresh HJA Grade D</t>
  </si>
  <si>
    <t>Karkas Uk 0.9 Karkas Uk 0.9 Fresh Kepala</t>
  </si>
  <si>
    <t>Karkas Uk 0.9 Karkas Uk 0.9 fresh kepala - Batok kepala</t>
  </si>
  <si>
    <t>Karkas Uk 0.9 Karkas Uk 0.9 Fresh Kepala - Batok Kepala Grade D</t>
  </si>
  <si>
    <t>Karkas Uk 0.9 Karkas Uk 0.9 fresh kepala - Kulit Leher</t>
  </si>
  <si>
    <t>Karkas Uk 0.9 Karkas Uk 0.9 fresh kepala - Kulit Leher Grade D</t>
  </si>
  <si>
    <t>Karkas Uk 0.9 Karkas Uk 0.9 fresh kepala - Selang Leher</t>
  </si>
  <si>
    <t>Karkas Uk 0.9 Karkas Uk 0.9 Fresh kepala - Trimming Leher</t>
  </si>
  <si>
    <t>Karkas Uk 0.9 Karkas Uk 0.9 Fresh Kepala - Trimming Leher Grade D</t>
  </si>
  <si>
    <t>Karkas Uk 0.9 Karkas Uk 0.9 Fresh kepala - Tulang Leher</t>
  </si>
  <si>
    <t>Karkas Uk 0.9 Karkas Uk 0.9 fresh Kepala - Tulang Leher Grade D</t>
  </si>
  <si>
    <t>Karkas Uk 0.9 Karkas Uk 0.9 Fresh Kepala Grade D</t>
  </si>
  <si>
    <t>Karkas Uk 0.9 Karkas Uk 0.9 Fresh Kepala -Selang leher grade D</t>
  </si>
  <si>
    <t>Karkas Uk 0.9 Karkas Uk 0.9 Fresh Premium</t>
  </si>
  <si>
    <t>Karkas Uk 0.9 Karkas Uk 0.9 Fresh Usus Kotor</t>
  </si>
  <si>
    <t>Karkas Uk 0.9 Karkas Uk 0.9 Fresh Usus Kotor Grade D</t>
  </si>
  <si>
    <t>Karkas Uk 0.9 Karkas Uk 0.9 Frozen Ceker</t>
  </si>
  <si>
    <t>Karkas Uk 0.9 Karkas Uk 0.9 Frozen Ceker Grade D</t>
  </si>
  <si>
    <t>Karkas Uk 0.9 Karkas Uk 0.9 Frozen Grade A</t>
  </si>
  <si>
    <t>Karkas Uk 0.9 Karkas Uk 0.9 Frozen Grade B</t>
  </si>
  <si>
    <t>Karkas Uk 0.9 Karkas Uk 0.9 Frozen Grade C</t>
  </si>
  <si>
    <t>Karkas Uk 0.9 Karkas Uk 0.9 Frozen Grade D</t>
  </si>
  <si>
    <t>Karkas Uk 0.9 Karkas Uk 0.9 Frozen HJA</t>
  </si>
  <si>
    <t>Karkas Uk 0.9 Karkas Uk 0.9 Frozen HJA - Ampela</t>
  </si>
  <si>
    <t>Karkas Uk 0.9 Karkas Uk 0.9 Frozen HJA - Ampela Grade</t>
  </si>
  <si>
    <t>Karkas Uk 0.9 Karkas Uk 0.9 Frozen HJA - Hati</t>
  </si>
  <si>
    <t>Karkas Uk 0.9 Karkas Uk 0.9 Frozen HJA - Hati Grade</t>
  </si>
  <si>
    <t>Karkas Uk 0.9 Karkas Uk 0.9 Frozen HJA - Hati Grade D</t>
  </si>
  <si>
    <t>Karkas Uk 0.9 Karkas Uk 0.9 Frozen HJA - Jantung</t>
  </si>
  <si>
    <t>Karkas Uk 0.9 Karkas Uk 0.9 Frozen HJA - Jantung Grade</t>
  </si>
  <si>
    <t>Karkas Uk 0.9 Karkas Uk 0.9 Frozen HJA - Jantung Grade D</t>
  </si>
  <si>
    <t>Karkas Uk 0.9 Karkas Uk 0.9 Frozen Hja Grade</t>
  </si>
  <si>
    <t>Karkas Uk 0.9 Karkas Uk 0.9 Frozen HJA Grade D</t>
  </si>
  <si>
    <t>Karkas Uk 0.9 Karkas Uk 0.9 Frozen Kepala</t>
  </si>
  <si>
    <t>Karkas Uk 0.9 Karkas Uk 0.9 Frozen Kepala - Batok Kepala</t>
  </si>
  <si>
    <t>Karkas Uk 0.9 Karkas Uk 0.9 Frozen Kepala - Batok Kepala Grade D</t>
  </si>
  <si>
    <t>Karkas Uk 0.9 Karkas Uk 0.9 Frozen Kepala - Kulit Leher</t>
  </si>
  <si>
    <t>Karkas Uk 0.9 Karkas Uk 0.9 Frozen Kepala - Kulit Leher Grade D</t>
  </si>
  <si>
    <t>Karkas Uk 0.9 Karkas UK 0.9 Frozen Kepala - Selang Leher</t>
  </si>
  <si>
    <t>Karkas Uk 0.9 Karkas UK 0.9 Frozen Kepala - Trimming Leher</t>
  </si>
  <si>
    <t>Karkas Uk 0.9 Karkas Uk 0.9 Frozen Kepala - Trimming Leher Grade D</t>
  </si>
  <si>
    <t>Karkas Uk 0.9 Karkas Uk 0.9 Frozen Kepala - Tulang Leher</t>
  </si>
  <si>
    <t>Karkas Uk 0.9 Karkas Uk 0.9 Frozen Kepala - Tulang Leher Grade D</t>
  </si>
  <si>
    <t>Karkas Uk 0.9 Karkas UK 0.9 Frozen Kepala Grade D</t>
  </si>
  <si>
    <t>Karkas Uk 0.9 Karkas Uk 0.9 Frozen Usus Kotor</t>
  </si>
  <si>
    <t>Karkas Uk 0.9 Karkas Uk 0.9 Frozen Usus Kotor Grade D</t>
  </si>
  <si>
    <t>Karkas Uk 1.0 Karaks Uk 1.0 Frozen Kepala - Selang Leher Grade D</t>
  </si>
  <si>
    <t>Karkas Uk 1.0 Karkas Uk 1.0 Fresh Ceker</t>
  </si>
  <si>
    <t>Karkas Uk 1.0 Karkas Uk 1.0 Fresh Ceker Grade D</t>
  </si>
  <si>
    <t>Karkas Uk 1.0 Karkas Uk 1.0 Fresh Grade A</t>
  </si>
  <si>
    <t>Karkas Uk 1.0 Karkas Uk 1.0 Fresh Grade B</t>
  </si>
  <si>
    <t>Karkas Uk 1.0 Karkas Uk 1.0 Fresh Grade C</t>
  </si>
  <si>
    <t>Karkas Uk 1.0 Karkas Uk 1.0 Fresh Grade D</t>
  </si>
  <si>
    <t>Karkas Uk 1.0 Karkas Uk 1.0 Fresh HJA</t>
  </si>
  <si>
    <t>Karkas Uk 1.0 Karkas Uk 1.0 Fresh Hja - Ampela</t>
  </si>
  <si>
    <t>Karkas Uk 1.0 Karkas Uk 1.0 Fresh HJA - Ampela Grade</t>
  </si>
  <si>
    <t>Karkas Uk 1.0 Karkas Uk 1.0 Fresh HJA - Ampela Grade D</t>
  </si>
  <si>
    <t>Karkas Uk 1.0 Karkas Uk 1.0 Fresh HJA - Hati</t>
  </si>
  <si>
    <t>Karkas Uk 1.0 Karkas Uk 1.0 Fresh HJA - Hati Grade</t>
  </si>
  <si>
    <t>Karkas Uk 1.0 Karkas Uk 1.0 Fresh HJA - Hati Grade D</t>
  </si>
  <si>
    <t>Karkas Uk 1.0 Karkas Uk 1.0 Fresh HJA - Jantung</t>
  </si>
  <si>
    <t>Karkas Uk 1.0 Karkas Uk 1.0 Fresh HJA - Jantung Grade</t>
  </si>
  <si>
    <t>Karkas Uk 1.0 Karkas Uk 1.0 Fresh HJA - Jantung Grade D</t>
  </si>
  <si>
    <t>Karkas Uk 1.0 Karkas Uk 1.0 Fresh HJA Grade</t>
  </si>
  <si>
    <t>Karkas Uk 1.0 Karkas Uk 1.0 Fresh HJA Grade D</t>
  </si>
  <si>
    <t>Karkas Uk 1.0 Karkas Uk 1.0 Fresh Kepala</t>
  </si>
  <si>
    <t>Karkas Uk 1.0 Karkas Uk 1.0 fresh kepala - Batok kepala</t>
  </si>
  <si>
    <t>Karkas Uk 1.0 Karkas Uk 1.0 Fresh Kepala - Batok Kepala Grade D</t>
  </si>
  <si>
    <t>Karkas Uk 1.0 Karkas Uk 1.0 fresh kepala - Kulit Leher</t>
  </si>
  <si>
    <t>Karkas Uk 1.0 Karkas Uk 1.0 fresh kepala - Kulit Leher Grade D</t>
  </si>
  <si>
    <t>Karkas Uk 1.0 Karkas Uk 1.0 fresh kepala - Selang Leher</t>
  </si>
  <si>
    <t>Karkas Uk 1.0 Karkas Uk 1.0 Fresh kepala - Trimming Leher</t>
  </si>
  <si>
    <t>Karkas Uk 1.0 Karkas Uk 1.0 Fresh Kepala - Trimming Leher Grade D</t>
  </si>
  <si>
    <t>Karkas Uk 1.0 Karkas Uk 1.0 Fresh kepala - Tulang Leher</t>
  </si>
  <si>
    <t>Karkas Uk 1.0 Karkas Uk 1.0 fresh Kepala - Tulang Leher Grade D</t>
  </si>
  <si>
    <t>Karkas Uk 1.0 Karkas Uk 1.0 Fresh Kepala Grade D</t>
  </si>
  <si>
    <t>Karkas Uk 1.0 Karkas Uk 1.0 Fresh Kepala -Selang leher grade D</t>
  </si>
  <si>
    <t>Karkas Uk 1.0 Karkas Uk 1.0 Fresh Premium</t>
  </si>
  <si>
    <t>Karkas Uk 1.0 Karkas Uk 1.0 Fresh Usus Kotor</t>
  </si>
  <si>
    <t>Karkas Uk 1.0 Karkas Uk 1.0 Fresh Usus Kotor Grade D</t>
  </si>
  <si>
    <t>Karkas Uk 1.0 Karkas Uk 1.0 Frozen Ceker</t>
  </si>
  <si>
    <t>Karkas Uk 1.0 Karkas Uk 1.0 Frozen Ceker Grade D</t>
  </si>
  <si>
    <t>Karkas Uk 1.0 Karkas Uk 1.0 Frozen Grade A</t>
  </si>
  <si>
    <t>Karkas Uk 1.0 Karkas Uk 1.0 Frozen Grade B</t>
  </si>
  <si>
    <t>Karkas Uk 1.0 Karkas Uk 1.0 Frozen Grade C</t>
  </si>
  <si>
    <t>Karkas Uk 1.0 Karkas Uk 1.0 Frozen Grade D</t>
  </si>
  <si>
    <t>Karkas Uk 1.0 Karkas Uk 1.0 Frozen HJA</t>
  </si>
  <si>
    <t>Karkas Uk 1.0 Karkas Uk 1.0 Frozen HJA - Ampela</t>
  </si>
  <si>
    <t>Karkas Uk 1.0 Karkas Uk 1.0 Frozen HJA - Ampela Grade</t>
  </si>
  <si>
    <t>Karkas Uk 1.0 Karkas Uk 1.0 Frozen HJA - Hati</t>
  </si>
  <si>
    <t>Karkas Uk 1.0 Karkas Uk 1.0 Frozen HJA - Hati Grade</t>
  </si>
  <si>
    <t>Karkas Uk 1.0 Karkas Uk 1.0 Frozen HJA - Hati Grade D</t>
  </si>
  <si>
    <t>Karkas Uk 1.0 Karkas Uk 1.0 Frozen HJA - Jantung</t>
  </si>
  <si>
    <t>Karkas Uk 1.0 Karkas Uk 1.0 Frozen HJA - Jantung Grade</t>
  </si>
  <si>
    <t>Karkas Uk 1.0 Karkas Uk 1.0 Frozen HJA - Jantung Grade D</t>
  </si>
  <si>
    <t>Karkas Uk 1.0 Karkas Uk 1.0 Frozen Hja Grade</t>
  </si>
  <si>
    <t>Karkas Uk 1.0 Karkas Uk 1.0 Frozen HJA Grade D</t>
  </si>
  <si>
    <t>Karkas Uk 1.0 Karkas Uk 1.0 Frozen Kepala</t>
  </si>
  <si>
    <t>Karkas Uk 1.0 Karkas Uk 1.0 Frozen Kepala - Batok Kepala</t>
  </si>
  <si>
    <t>Karkas Uk 1.0 Karkas Uk 1.0 Frozen Kepala - Batok Kepala Grade D</t>
  </si>
  <si>
    <t>Karkas Uk 1.0 Karkas Uk 1.0 Frozen Kepala - Kulit Leher</t>
  </si>
  <si>
    <t>Karkas Uk 1.0 Karkas Uk 1.0 Frozen Kepala - Kulit Leher Grade D</t>
  </si>
  <si>
    <t>Karkas Uk 1.0 Karkas UK 1.0 Frozen Kepala - Selang Leher</t>
  </si>
  <si>
    <t>Karkas Uk 1.0 Karkas UK 1.0 Frozen Kepala - Trimming Leher</t>
  </si>
  <si>
    <t>Karkas Uk 1.0 Karkas Uk 1.0 Frozen Kepala - Trimming Leher Grade D</t>
  </si>
  <si>
    <t>Karkas Uk 1.0 Karkas Uk 1.0 Frozen Kepala - Tulang Leher</t>
  </si>
  <si>
    <t>Karkas Uk 1.0 Karkas Uk 1.0 Frozen Kepala - Tulang Leher Grade D</t>
  </si>
  <si>
    <t>Karkas Uk 1.0 Karkas UK 1.0 Frozen Kepala Grade D</t>
  </si>
  <si>
    <t>Karkas Uk 1.0 Karkas Uk 1.0 Frozen Premium</t>
  </si>
  <si>
    <t>Karkas Uk 1.0 Karkas Uk 1.0 Frozen Usus Kotor</t>
  </si>
  <si>
    <t>Karkas Uk 1.0 Karkas Uk 1.0 Frozen Usus Kotor Grade D</t>
  </si>
  <si>
    <t>Karkas Uk 1.1 Karaks Uk 1.1 Frozen Kepala - Selang Leher Grade D</t>
  </si>
  <si>
    <t>Karkas Uk 1.1 Karkas Uk 1.1  Fresh HJA - Jantung Grade</t>
  </si>
  <si>
    <t>Karkas Uk 1.1 Karkas Uk 1.1 Fresh Ceker</t>
  </si>
  <si>
    <t>Karkas Uk 1.1 Karkas Uk 1.1 Fresh Ceker Grade D</t>
  </si>
  <si>
    <t>Karkas Uk 1.1 Karkas Uk 1.1 Fresh Grade A</t>
  </si>
  <si>
    <t>Karkas Uk 1.1 Karkas Uk 1.1 Fresh Grade B</t>
  </si>
  <si>
    <t>Karkas Uk 1.1 Karkas Uk 1.1 Fresh Grade C</t>
  </si>
  <si>
    <t>Karkas Uk 1.1 Karkas Uk 1.1 Fresh Grade D</t>
  </si>
  <si>
    <t>Karkas Uk 1.1 Karkas Uk 1.1 Fresh HJA</t>
  </si>
  <si>
    <t>Karkas Uk 1.1 Karkas Uk 1.1 Fresh Hja - Ampela</t>
  </si>
  <si>
    <t>Karkas Uk 1.1 Karkas Uk 1.1 Fresh HJA - Ampela Grade</t>
  </si>
  <si>
    <t>Karkas Uk 1.1 Karkas Uk 1.1 Fresh HJA - Ampela Grade D</t>
  </si>
  <si>
    <t>Karkas Uk 1.1 Karkas Uk 1.1 Fresh HJA - Hati</t>
  </si>
  <si>
    <t>Karkas Uk 1.1 Karkas Uk 1.1 Fresh HJA - Hati Grade</t>
  </si>
  <si>
    <t>Karkas Uk 1.1 Karkas Uk 1.1 Fresh HJA - Hati Grade D</t>
  </si>
  <si>
    <t>Karkas Uk 1.1 Karkas Uk 1.1 Fresh HJA - Jantung</t>
  </si>
  <si>
    <t>Karkas Uk 1.1 Karkas Uk 1.1 Fresh HJA - Jantung Grade D</t>
  </si>
  <si>
    <t>Karkas Uk 1.1 Karkas Uk 1.1 Fresh HJA Grade</t>
  </si>
  <si>
    <t>Karkas Uk 1.1 Karkas Uk 1.1 Fresh HJA Grade D</t>
  </si>
  <si>
    <t>Karkas Uk 1.1 Karkas Uk 1.1 Fresh Kepala</t>
  </si>
  <si>
    <t>Karkas Uk 1.1 Karkas Uk 1.1 fresh kepala - Batok kepala</t>
  </si>
  <si>
    <t>Karkas Uk 1.1 Karkas Uk 1.1 Fresh Kepala - Batok Kepala Grade D</t>
  </si>
  <si>
    <t>Karkas Uk 1.1 Karkas Uk 1.1 fresh kepala - Kulit Leher</t>
  </si>
  <si>
    <t>Karkas Uk 1.1 Karkas Uk 1.1 fresh kepala - Kulit Leher Grade D</t>
  </si>
  <si>
    <t>Karkas Uk 1.1 Karkas Uk 1.1 fresh kepala - Selang Leher</t>
  </si>
  <si>
    <t>Karkas Uk 1.1 Karkas Uk 1.1 Fresh kepala - Trimming Leher</t>
  </si>
  <si>
    <t>Karkas Uk 1.1 Karkas Uk 1.1 Fresh Kepala - Trimming Leher Grade D</t>
  </si>
  <si>
    <t>Karkas Uk 1.1 Karkas Uk 1.1 Fresh kepala - Tulang Leher</t>
  </si>
  <si>
    <t>Karkas Uk 1.1 Karkas Uk 1.1 fresh Kepala - Tulang Leher Grade D</t>
  </si>
  <si>
    <t>Karkas Uk 1.1 Karkas Uk 1.1 Fresh Kepala Grade D</t>
  </si>
  <si>
    <t>Karkas Uk 1.1 Karkas Uk 1.1 Fresh Kepala -Selang leher grade D</t>
  </si>
  <si>
    <t>Karkas Uk 1.1 Karkas Uk 1.1 Fresh Premium</t>
  </si>
  <si>
    <t>Karkas Uk 1.1 Karkas Uk 1.1 Fresh Usus Kotor</t>
  </si>
  <si>
    <t>Karkas Uk 1.1 Karkas Uk 1.1 Fresh Usus Kotor Grade D</t>
  </si>
  <si>
    <t>Karkas Uk 1.1 Karkas Uk 1.1 Frozen Ceker</t>
  </si>
  <si>
    <t>Karkas Uk 1.1 Karkas Uk 1.1 Frozen Ceker Grade D</t>
  </si>
  <si>
    <t>Karkas Uk 1.1 Karkas Uk 1.1 Frozen Grade A</t>
  </si>
  <si>
    <t>Karkas Uk 1.1 Karkas Uk 1.1 Frozen Grade B</t>
  </si>
  <si>
    <t>Karkas Uk 1.1 Karkas Uk 1.1 Frozen Grade C</t>
  </si>
  <si>
    <t>Karkas Uk 1.1 Karkas Uk 1.1 Frozen Grade D</t>
  </si>
  <si>
    <t>Karkas Uk 1.1 Karkas Uk 1.1 Frozen HJA</t>
  </si>
  <si>
    <t>Karkas Uk 1.1 Karkas Uk 1.1 Frozen HJA - Ampela</t>
  </si>
  <si>
    <t>Karkas Uk 1.1 Karkas Uk 1.1 Frozen HJA - Ampela Grade</t>
  </si>
  <si>
    <t>Karkas Uk 1.1 Karkas Uk 1.1 Frozen HJA - Hati</t>
  </si>
  <si>
    <t>Karkas Uk 1.1 Karkas Uk 1.1 Frozen HJA - Hati Grade</t>
  </si>
  <si>
    <t>Karkas Uk 1.1 Karkas Uk 1.1 Frozen HJA - Hati Grade D</t>
  </si>
  <si>
    <t>Karkas Uk 1.1 Karkas Uk 1.1 Frozen HJA - Jantung</t>
  </si>
  <si>
    <t>Karkas Uk 1.1 Karkas Uk 1.1 Frozen HJA - Jantung Grade</t>
  </si>
  <si>
    <t>Karkas Uk 1.1 Karkas Uk 1.1 Frozen HJA - Jantung Grade D</t>
  </si>
  <si>
    <t>Karkas Uk 1.1 Karkas Uk 1.1 Frozen Hja Grade</t>
  </si>
  <si>
    <t>Karkas Uk 1.1 Karkas Uk 1.1 Frozen HJA Grade D</t>
  </si>
  <si>
    <t>Karkas Uk 1.1 Karkas Uk 1.1 Frozen Kepala</t>
  </si>
  <si>
    <t>Karkas Uk 1.1 Karkas Uk 1.1 Frozen Kepala - Batok Kepala</t>
  </si>
  <si>
    <t>Karkas Uk 1.1 Karkas Uk 1.1 Frozen Kepala - Batok Kepala Grade D</t>
  </si>
  <si>
    <t>Karkas Uk 1.1 Karkas Uk 1.1 Frozen Kepala - Kulit Leher</t>
  </si>
  <si>
    <t>Karkas Uk 1.1 Karkas Uk 1.1 Frozen Kepala - Kulit Leher Grade D</t>
  </si>
  <si>
    <t>Karkas Uk 1.1 Karkas UK 1.1 Frozen Kepala - Selang Leher</t>
  </si>
  <si>
    <t>Karkas Uk 1.1 Karkas UK 1.1 Frozen Kepala - Trimming Leher</t>
  </si>
  <si>
    <t>Karkas Uk 1.1 Karkas Uk 1.1 Frozen Kepala - Trimming Leher Grade D</t>
  </si>
  <si>
    <t>Karkas Uk 1.1 Karkas Uk 1.1 Frozen Kepala - Tulang Leher</t>
  </si>
  <si>
    <t>Karkas Uk 1.1 Karkas Uk 1.1 Frozen Kepala - Tulang Leher Grade D</t>
  </si>
  <si>
    <t>Karkas Uk 1.1 Karkas UK 1.1 Frozen Kepala Grade D</t>
  </si>
  <si>
    <t>Karkas Uk 1.1 Karkas Uk 1.1 Frozen Premium</t>
  </si>
  <si>
    <t>Karkas Uk 1.1 Karkas Uk 1.1 Frozen Usus Kotor</t>
  </si>
  <si>
    <t>Karkas Uk 1.1 Karkas Uk 1.1 Frozen Usus Kotor Grade D</t>
  </si>
  <si>
    <t>Karkas Uk 1.2 Karaks Uk 1.2 Frozen Kepala - Selang Leher Grade D</t>
  </si>
  <si>
    <t>Karkas Uk 1.2 Karkas Uk 1.2  Fresh HJA - Jantung Grade</t>
  </si>
  <si>
    <t>Karkas Uk 1.2 Karkas Uk 1.2 Fresh Ceker</t>
  </si>
  <si>
    <t>Karkas Uk 1.2 Karkas Uk 1.2 Fresh Ceker Grade D</t>
  </si>
  <si>
    <t>Karkas Uk 1.2 Karkas Uk 1.2 Fresh Grade A</t>
  </si>
  <si>
    <t>Karkas Uk 1.2 Karkas Uk 1.2 Fresh Grade B</t>
  </si>
  <si>
    <t>Karkas Uk 1.2 Karkas Uk 1.2 Fresh Grade C</t>
  </si>
  <si>
    <t>Karkas Uk 1.2 Karkas Uk 1.2 Fresh Grade D</t>
  </si>
  <si>
    <t>Karkas Uk 1.2 Karkas Uk 1.2 Fresh HJA</t>
  </si>
  <si>
    <t>Karkas Uk 1.2 Karkas Uk 1.2 Fresh Hja - Ampela</t>
  </si>
  <si>
    <t>Karkas Uk 1.2 Karkas Uk 1.2 Fresh HJA - Ampela Grade</t>
  </si>
  <si>
    <t>Karkas Uk 1.2 Karkas Uk 1.2 Fresh HJA - Ampela Grade D</t>
  </si>
  <si>
    <t>Karkas Uk 1.2 Karkas Uk 1.2 Fresh HJA - Hati</t>
  </si>
  <si>
    <t>Karkas Uk 1.2 Karkas Uk 1.2 Fresh HJA - Hati Grade</t>
  </si>
  <si>
    <t>Karkas Uk 1.2 Karkas Uk 1.2 Fresh HJA - Hati Grade D</t>
  </si>
  <si>
    <t>Karkas Uk 1.2 Karkas Uk 1.2 Fresh HJA - Jantung</t>
  </si>
  <si>
    <t>Karkas Uk 1.2 Karkas Uk 1.2 Fresh HJA - Jantung Grade D</t>
  </si>
  <si>
    <t>Karkas Uk 1.2 Karkas Uk 1.2 Fresh HJA Grade</t>
  </si>
  <si>
    <t>Karkas Uk 1.2 Karkas Uk 1.2 Fresh HJA Grade D</t>
  </si>
  <si>
    <t>Karkas Uk 1.2 Karkas Uk 1.2 Fresh Kepala</t>
  </si>
  <si>
    <t>Karkas Uk 1.2 Karkas Uk 1.2 fresh kepala - Batok kepala</t>
  </si>
  <si>
    <t>Karkas Uk 1.2 Karkas Uk 1.2 Fresh Kepala - Batok Kepala Grade D</t>
  </si>
  <si>
    <t>Karkas Uk 1.2 Karkas Uk 1.2 fresh kepala - Kulit Leher</t>
  </si>
  <si>
    <t>Karkas Uk 1.2 Karkas Uk 1.2 fresh kepala - Kulit Leher Grade D</t>
  </si>
  <si>
    <t>Karkas Uk 1.2 Karkas Uk 1.2 fresh kepala - Selang Leher</t>
  </si>
  <si>
    <t>Karkas Uk 1.2 Karkas Uk 1.2 Fresh kepala - Trimming Leher</t>
  </si>
  <si>
    <t>Karkas Uk 1.2 Karkas Uk 1.2 Fresh Kepala - Trimming Leher Grade D</t>
  </si>
  <si>
    <t>Karkas Uk 1.2 Karkas Uk 1.2 Fresh kepala - Tulang Leher</t>
  </si>
  <si>
    <t>Karkas Uk 1.2 Karkas Uk 1.2 fresh Kepala - Tulang Leher Grade D</t>
  </si>
  <si>
    <t>Karkas Uk 1.2 Karkas Uk 1.2 Fresh Kepala Grade D</t>
  </si>
  <si>
    <t>Karkas Uk 1.2 Karkas Uk 1.2 Fresh Kepala -Selang leher grade D</t>
  </si>
  <si>
    <t>Karkas Uk 1.2 Karkas Uk 1.2 Fresh Premium</t>
  </si>
  <si>
    <t>Karkas Uk 1.2 Karkas Uk 1.2 Fresh Usus Kotor</t>
  </si>
  <si>
    <t>Karkas Uk 1.2 Karkas Uk 1.2 Fresh Usus Kotor Grade D</t>
  </si>
  <si>
    <t>Karkas Uk 1.2 Karkas Uk 1.2 Frozen Ceker</t>
  </si>
  <si>
    <t>Karkas Uk 1.2 Karkas Uk 1.2 Frozen Ceker Grade D</t>
  </si>
  <si>
    <t>Karkas Uk 1.2 Karkas Uk 1.2 Frozen Grade A</t>
  </si>
  <si>
    <t>Karkas Uk 1.2 Karkas Uk 1.2 Frozen Grade B</t>
  </si>
  <si>
    <t>Karkas Uk 1.2 Karkas Uk 1.2 Frozen Grade C</t>
  </si>
  <si>
    <t>Karkas Uk 1.2 Karkas Uk 1.2 Frozen Grade D</t>
  </si>
  <si>
    <t>Karkas Uk 1.2 Karkas Uk 1.2 Frozen HJA</t>
  </si>
  <si>
    <t>Karkas Uk 1.2 Karkas Uk 1.2 Frozen HJA - Ampela</t>
  </si>
  <si>
    <t>Karkas Uk 1.2 Karkas Uk 1.2 Frozen HJA - Ampela Grade</t>
  </si>
  <si>
    <t>Karkas Uk 1.2 Karkas Uk 1.2 Frozen HJA - Hati</t>
  </si>
  <si>
    <t>Karkas Uk 1.2 Karkas Uk 1.2 Frozen HJA - Hati Grade</t>
  </si>
  <si>
    <t>Karkas Uk 1.2 Karkas Uk 1.2 Frozen HJA - Hati Grade D</t>
  </si>
  <si>
    <t>Karkas Uk 1.2 Karkas Uk 1.2 Frozen HJA - Jantung</t>
  </si>
  <si>
    <t>Karkas Uk 1.2 Karkas Uk 1.2 Frozen HJA - Jantung Grade</t>
  </si>
  <si>
    <t>Karkas Uk 1.2 Karkas Uk 1.2 Frozen HJA - Jantung Grade D</t>
  </si>
  <si>
    <t>Karkas Uk 1.2 Karkas Uk 1.2 Frozen Hja Grade</t>
  </si>
  <si>
    <t>Karkas Uk 1.2 Karkas Uk 1.2 Frozen HJA Grade D</t>
  </si>
  <si>
    <t>Karkas Uk 1.2 Karkas Uk 1.2 Frozen Kepala</t>
  </si>
  <si>
    <t>Karkas Uk 1.2 Karkas Uk 1.2 Frozen Kepala - Batok Kepala</t>
  </si>
  <si>
    <t>Karkas Uk 1.2 Karkas Uk 1.2 Frozen Kepala - Batok Kepala Grade D</t>
  </si>
  <si>
    <t>Karkas Uk 1.2 Karkas Uk 1.2 Frozen Kepala - Kulit Leher</t>
  </si>
  <si>
    <t>Karkas Uk 1.2 Karkas Uk 1.2 Frozen Kepala - Kulit Leher Grade D</t>
  </si>
  <si>
    <t>Karkas Uk 1.2 Karkas UK 1.2 Frozen Kepala - Selang Leher</t>
  </si>
  <si>
    <t>Karkas Uk 1.2 Karkas UK 1.2 Frozen Kepala - Trimming Leher</t>
  </si>
  <si>
    <t>Karkas Uk 1.2 Karkas Uk 1.2 Frozen Kepala - Trimming Leher Grade D</t>
  </si>
  <si>
    <t>Karkas Uk 1.2 Karkas Uk 1.2 Frozen Kepala - Tulang Leher</t>
  </si>
  <si>
    <t>Karkas Uk 1.2 Karkas Uk 1.2 Frozen Kepala - Tulang Leher Grade D</t>
  </si>
  <si>
    <t>Karkas Uk 1.2 Karkas UK 1.2 Frozen Kepala Grade D</t>
  </si>
  <si>
    <t>Karkas Uk 1.2 Karkas Uk 1.2 Frozen Premium</t>
  </si>
  <si>
    <t>Karkas Uk 1.2 Karkas Uk 1.2 Frozen Usus Kotor</t>
  </si>
  <si>
    <t>Karkas Uk 1.2 Karkas Uk 1.2 Frozen Usus Kotor Grade D</t>
  </si>
  <si>
    <t>Karkas Uk 1.3 Karaks Uk 1.3 Frozen Kepala - Selang Leher Grade D</t>
  </si>
  <si>
    <t>Karkas Uk 1.3 Karkas Uk 1.3  Fresh HJA - Jantung Grade</t>
  </si>
  <si>
    <t>Karkas Uk 1.3 Karkas Uk 1.3 Fresh Ceker</t>
  </si>
  <si>
    <t>Karkas Uk 1.3 Karkas Uk 1.3 Fresh Ceker Grade D</t>
  </si>
  <si>
    <t>Karkas Uk 1.3 Karkas Uk 1.3 Fresh Grade A</t>
  </si>
  <si>
    <t>Karkas Uk 1.3 Karkas Uk 1.3 Fresh Grade B</t>
  </si>
  <si>
    <t>Karkas Uk 1.3 Karkas Uk 1.3 Fresh Grade C</t>
  </si>
  <si>
    <t>Karkas Uk 1.3 Karkas Uk 1.3 Fresh Grade D</t>
  </si>
  <si>
    <t>Karkas Uk 1.3 Karkas Uk 1.3 Fresh HJA</t>
  </si>
  <si>
    <t>Karkas Uk 1.3 Karkas Uk 1.3 Fresh Hja - Ampela</t>
  </si>
  <si>
    <t>Karkas Uk 1.3 Karkas Uk 1.3 Fresh HJA - Ampela Grade</t>
  </si>
  <si>
    <t>Karkas Uk 1.3 Karkas Uk 1.3 Fresh HJA - Ampela Grade D</t>
  </si>
  <si>
    <t>Karkas Uk 1.3 Karkas Uk 1.3 Fresh HJA - Hati</t>
  </si>
  <si>
    <t>Karkas Uk 1.3 Karkas Uk 1.3 Fresh HJA - Hati Grade</t>
  </si>
  <si>
    <t>Karkas Uk 1.3 Karkas Uk 1.3 Fresh HJA - Hati Grade D</t>
  </si>
  <si>
    <t>Karkas Uk 1.3 Karkas Uk 1.3 Fresh HJA - Jantung</t>
  </si>
  <si>
    <t>Karkas Uk 1.3 Karkas Uk 1.3 Fresh HJA - Jantung Grade D</t>
  </si>
  <si>
    <t>Karkas Uk 1.3 Karkas Uk 1.3 Fresh HJA Grade</t>
  </si>
  <si>
    <t>Karkas Uk 1.3 Karkas Uk 1.3 Fresh HJA Grade D</t>
  </si>
  <si>
    <t>Karkas Uk 1.3 Karkas Uk 1.3 Fresh Kepala</t>
  </si>
  <si>
    <t>Karkas Uk 1.3 Karkas Uk 1.3 fresh kepala - Batok kepala</t>
  </si>
  <si>
    <t>Karkas Uk 1.3 Karkas Uk 1.3 Fresh Kepala - Batok Kepala Grade D</t>
  </si>
  <si>
    <t>Karkas Uk 1.3 Karkas Uk 1.3 fresh kepala - Kulit Leher</t>
  </si>
  <si>
    <t>Karkas Uk 1.3 Karkas Uk 1.3 fresh kepala - Kulit Leher Grade D</t>
  </si>
  <si>
    <t>Karkas Uk 1.3 Karkas Uk 1.3 fresh kepala - Selang Leher</t>
  </si>
  <si>
    <t>Karkas Uk 1.3 Karkas Uk 1.3 Fresh kepala - Trimming Leher</t>
  </si>
  <si>
    <t>Karkas Uk 1.3 Karkas Uk 1.3 Fresh Kepala - Trimming Leher Grade D</t>
  </si>
  <si>
    <t>Karkas Uk 1.3 Karkas Uk 1.3 Fresh kepala - Tulang Leher</t>
  </si>
  <si>
    <t>Karkas Uk 1.3 Karkas Uk 1.3 fresh Kepala - Tulang Leher Grade D</t>
  </si>
  <si>
    <t>Karkas Uk 1.3 Karkas Uk 1.3 Fresh Kepala Grade D</t>
  </si>
  <si>
    <t>Karkas Uk 1.3 Karkas Uk 1.3 Fresh Kepala -Selang leher grade D</t>
  </si>
  <si>
    <t>Karkas Uk 1.3 Karkas Uk 1.3 Fresh Premium</t>
  </si>
  <si>
    <t>Karkas Uk 1.3 Karkas Uk 1.3 Fresh Usus Kotor</t>
  </si>
  <si>
    <t>Karkas Uk 1.3 Karkas Uk 1.3 Fresh Usus Kotor Grade D</t>
  </si>
  <si>
    <t>Karkas Uk 1.3 Karkas Uk 1.3 Frozen Ceker</t>
  </si>
  <si>
    <t>Karkas Uk 1.3 Karkas Uk 1.3 Frozen Ceker Grade D</t>
  </si>
  <si>
    <t>Karkas Uk 1.3 Karkas Uk 1.3 Frozen Grade A</t>
  </si>
  <si>
    <t>Karkas Uk 1.3 Karkas Uk 1.3 Frozen Grade B</t>
  </si>
  <si>
    <t>Karkas Uk 1.3 Karkas Uk 1.3 Frozen Grade C</t>
  </si>
  <si>
    <t>Karkas Uk 1.3 Karkas Uk 1.3 Frozen Grade D</t>
  </si>
  <si>
    <t>Karkas Uk 1.3 Karkas Uk 1.3 Frozen HJA</t>
  </si>
  <si>
    <t>Karkas Uk 1.3 Karkas Uk 1.3 Frozen HJA - Ampela</t>
  </si>
  <si>
    <t>Karkas Uk 1.3 Karkas Uk 1.3 Frozen HJA - Ampela Grade</t>
  </si>
  <si>
    <t>Karkas Uk 1.3 Karkas Uk 1.3 Frozen HJA - Hati</t>
  </si>
  <si>
    <t>Karkas Uk 1.3 Karkas Uk 1.3 Frozen HJA - Hati Grade</t>
  </si>
  <si>
    <t>Karkas Uk 1.3 Karkas Uk 1.3 Frozen HJA - Hati Grade D</t>
  </si>
  <si>
    <t>Karkas Uk 1.3 Karkas Uk 1.3 Frozen HJA - Jantung</t>
  </si>
  <si>
    <t>Karkas Uk 1.3 Karkas Uk 1.3 Frozen HJA - Jantung Grade</t>
  </si>
  <si>
    <t>Karkas Uk 1.3 Karkas Uk 1.3 Frozen HJA - Jantung Grade D</t>
  </si>
  <si>
    <t>Karkas Uk 1.3 Karkas Uk 1.3 Frozen Hja Grade</t>
  </si>
  <si>
    <t>Karkas Uk 1.3 Karkas Uk 1.3 Frozen HJA Grade D</t>
  </si>
  <si>
    <t>Karkas Uk 1.3 Karkas Uk 1.3 Frozen Kepala</t>
  </si>
  <si>
    <t>Karkas Uk 1.3 Karkas Uk 1.3 Frozen Kepala - Batok Kepala</t>
  </si>
  <si>
    <t>Karkas Uk 1.3 Karkas Uk 1.3 Frozen Kepala - Batok Kepala Grade D</t>
  </si>
  <si>
    <t>Karkas Uk 1.3 Karkas Uk 1.3 Frozen Kepala - Kulit Leher</t>
  </si>
  <si>
    <t>Karkas Uk 1.3 Karkas Uk 1.3 Frozen Kepala - Kulit Leher Grade D</t>
  </si>
  <si>
    <t>Karkas Uk 1.3 Karkas UK 1.3 Frozen Kepala - Selang Leher</t>
  </si>
  <si>
    <t>Karkas Uk 1.3 Karkas UK 1.3 Frozen Kepala - Trimming Leher</t>
  </si>
  <si>
    <t>Karkas Uk 1.3 Karkas Uk 1.3 Frozen Kepala - Trimming Leher Grade D</t>
  </si>
  <si>
    <t>Karkas Uk 1.3 Karkas Uk 1.3 Frozen Kepala - Tulang Leher</t>
  </si>
  <si>
    <t>Karkas Uk 1.3 Karkas Uk 1.3 Frozen Kepala - Tulang Leher Grade D</t>
  </si>
  <si>
    <t>Karkas Uk 1.3 Karkas UK 1.3 Frozen Kepala Grade D</t>
  </si>
  <si>
    <t>Karkas Uk 1.3 Karkas Uk 1.3 Frozen Premium</t>
  </si>
  <si>
    <t>Karkas Uk 1.3 Karkas Uk 1.3 Frozen Usus Kotor</t>
  </si>
  <si>
    <t>Karkas Uk 1.3 Karkas Uk 1.3 Frozen Usus Kotor Grade D</t>
  </si>
  <si>
    <t>Karkas Uk 1.4 Karaks Uk 1.4 Frozen Kepala - Selang Leher Grade D</t>
  </si>
  <si>
    <t>Karkas Uk 1.4 Karkas Uk 1.4  Fresh HJA - Jantung Grade</t>
  </si>
  <si>
    <t>Karkas Uk 1.4 Karkas Uk 1.4 Fresh Ceker</t>
  </si>
  <si>
    <t>Karkas Uk 1.4 Karkas Uk 1.4 Fresh Ceker Grade D</t>
  </si>
  <si>
    <t>Karkas Uk 1.4 Karkas Uk 1.4 Fresh Grade A</t>
  </si>
  <si>
    <t>Karkas Uk 1.4 Karkas Uk 1.4 Fresh Grade B</t>
  </si>
  <si>
    <t>Karkas Uk 1.4 Karkas Uk 1.4 Fresh Grade C</t>
  </si>
  <si>
    <t>Karkas Uk 1.4 Karkas Uk 1.4 Fresh Grade D</t>
  </si>
  <si>
    <t>Karkas Uk 1.4 Karkas Uk 1.4 Fresh HJA</t>
  </si>
  <si>
    <t>Karkas Uk 1.4 Karkas Uk 1.4 Fresh Hja - Ampela</t>
  </si>
  <si>
    <t>Karkas Uk 1.4 Karkas Uk 1.4 Fresh HJA - Ampela Grade</t>
  </si>
  <si>
    <t>Karkas Uk 1.4 Karkas Uk 1.4 Fresh HJA - Ampela Grade D</t>
  </si>
  <si>
    <t>Karkas Uk 1.4 Karkas Uk 1.4 Fresh HJA - Hati</t>
  </si>
  <si>
    <t>Karkas Uk 1.4 Karkas Uk 1.4 Fresh HJA - Hati Grade</t>
  </si>
  <si>
    <t>Karkas Uk 1.4 Karkas Uk 1.4 Fresh HJA - Hati Grade D</t>
  </si>
  <si>
    <t>Karkas Uk 1.4 Karkas Uk 1.4 Fresh HJA - Jantung</t>
  </si>
  <si>
    <t>Karkas Uk 1.4 Karkas Uk 1.4 Fresh HJA - Jantung Grade D</t>
  </si>
  <si>
    <t>Karkas Uk 1.4 Karkas Uk 1.4 Fresh HJA Grade</t>
  </si>
  <si>
    <t>Karkas Uk 1.4 Karkas Uk 1.4 Fresh HJA Grade D</t>
  </si>
  <si>
    <t>Karkas Uk 1.4 Karkas Uk 1.4 Fresh Kepala</t>
  </si>
  <si>
    <t>Karkas Uk 1.4 Karkas Uk 1.4 fresh kepala - Batok kepala</t>
  </si>
  <si>
    <t>Karkas Uk 1.4 Karkas Uk 1.4 Fresh Kepala - Batok Kepala Grade D</t>
  </si>
  <si>
    <t>Karkas Uk 1.4 Karkas Uk 1.4 fresh kepala - Kulit Leher</t>
  </si>
  <si>
    <t>Karkas Uk 1.4 Karkas Uk 1.4 fresh kepala - Kulit Leher Grade D</t>
  </si>
  <si>
    <t>Karkas Uk 1.4 Karkas Uk 1.4 fresh kepala - Selang Leher</t>
  </si>
  <si>
    <t>Karkas Uk 1.4 Karkas Uk 1.4 Fresh kepala - Trimming Leher</t>
  </si>
  <si>
    <t>Karkas Uk 1.4 Karkas Uk 1.4 Fresh Kepala - Trimming Leher Grade D</t>
  </si>
  <si>
    <t>Karkas Uk 1.4 Karkas Uk 1.4 Fresh kepala - Tulang Leher</t>
  </si>
  <si>
    <t>Karkas Uk 1.4 Karkas Uk 1.4 fresh Kepala - Tulang Leher Grade D</t>
  </si>
  <si>
    <t>Karkas Uk 1.4 Karkas Uk 1.4 Fresh Kepala Grade D</t>
  </si>
  <si>
    <t>Karkas Uk 1.4 Karkas Uk 1.4 Fresh Kepala -Selang leher grade D</t>
  </si>
  <si>
    <t>Karkas Uk 1.4 Karkas Uk 1.4 Fresh Premium</t>
  </si>
  <si>
    <t>Karkas Uk 1.4 Karkas Uk 1.4 Fresh Usus Kotor</t>
  </si>
  <si>
    <t>Karkas Uk 1.4 Karkas Uk 1.4 Fresh Usus Kotor Grade D</t>
  </si>
  <si>
    <t>Karkas Uk 1.4 Karkas Uk 1.4 Frozen Ceker</t>
  </si>
  <si>
    <t>Karkas Uk 1.4 Karkas Uk 1.4 Frozen Ceker Grade D</t>
  </si>
  <si>
    <t>Karkas Uk 1.4 Karkas Uk 1.4 Frozen Grade A</t>
  </si>
  <si>
    <t>Karkas Uk 1.4 Karkas Uk 1.4 Frozen Grade B</t>
  </si>
  <si>
    <t>Karkas Uk 1.4 Karkas Uk 1.4 Frozen Grade C</t>
  </si>
  <si>
    <t>Karkas Uk 1.4 Karkas Uk 1.4 Frozen Grade D</t>
  </si>
  <si>
    <t>Karkas Uk 1.4 Karkas Uk 1.4 Frozen HJA</t>
  </si>
  <si>
    <t>Karkas Uk 1.4 Karkas Uk 1.4 Frozen HJA - Ampela</t>
  </si>
  <si>
    <t>Karkas Uk 1.4 Karkas Uk 1.4 Frozen HJA - Ampela Grade</t>
  </si>
  <si>
    <t>Karkas Uk 1.4 Karkas Uk 1.4 Frozen HJA - Hati</t>
  </si>
  <si>
    <t>Karkas Uk 1.4 Karkas Uk 1.4 Frozen HJA - Hati Grade</t>
  </si>
  <si>
    <t>Karkas Uk 1.4 Karkas Uk 1.4 Frozen HJA - Hati Grade D</t>
  </si>
  <si>
    <t>Karkas Uk 1.4 Karkas Uk 1.4 Frozen HJA - Jantung</t>
  </si>
  <si>
    <t>Karkas Uk 1.4 Karkas Uk 1.4 Frozen HJA - Jantung Grade</t>
  </si>
  <si>
    <t>Karkas Uk 1.4 Karkas Uk 1.4 Frozen HJA - Jantung Grade D</t>
  </si>
  <si>
    <t>Karkas Uk 1.4 Karkas Uk 1.4 Frozen Hja Grade</t>
  </si>
  <si>
    <t>Karkas Uk 1.4 Karkas Uk 1.4 Frozen HJA Grade D</t>
  </si>
  <si>
    <t>Karkas Uk 1.4 Karkas Uk 1.4 Frozen Kepala</t>
  </si>
  <si>
    <t>Karkas Uk 1.4 Karkas Uk 1.4 Frozen Kepala - Batok Kepala</t>
  </si>
  <si>
    <t>Karkas Uk 1.4 Karkas Uk 1.4 Frozen Kepala - Batok Kepala Grade D</t>
  </si>
  <si>
    <t>Karkas Uk 1.4 Karkas Uk 1.4 Frozen Kepala - Kulit Leher</t>
  </si>
  <si>
    <t>Karkas Uk 1.4 Karkas Uk 1.4 Frozen Kepala - Kulit Leher Grade D</t>
  </si>
  <si>
    <t>Karkas Uk 1.4 Karkas UK 1.4 Frozen Kepala - Selang Leher</t>
  </si>
  <si>
    <t>Karkas Uk 1.4 Karkas UK 1.4 Frozen Kepala - Trimming Leher</t>
  </si>
  <si>
    <t>Karkas Uk 1.4 Karkas Uk 1.4 Frozen Kepala - Trimming Leher Grade D</t>
  </si>
  <si>
    <t>Karkas Uk 1.4 Karkas Uk 1.4 Frozen Kepala - Tulang Leher</t>
  </si>
  <si>
    <t>Karkas Uk 1.4 Karkas Uk 1.4 Frozen Kepala - Tulang Leher Grade D</t>
  </si>
  <si>
    <t>Karkas Uk 1.4 Karkas UK 1.4 Frozen Kepala Grade D</t>
  </si>
  <si>
    <t>Karkas Uk 1.4 Karkas Uk 1.4 Frozen Premium</t>
  </si>
  <si>
    <t>Karkas Uk 1.4 Karkas Uk 1.4 Frozen Usus Kotor</t>
  </si>
  <si>
    <t>Karkas Uk 1.4 Karkas Uk 1.4 Frozen Usus Kotor Grade D</t>
  </si>
  <si>
    <t>Karkas Uk 1.5 Karaks Uk 1.5 Frozen Kepala - Selang Leher Grade D</t>
  </si>
  <si>
    <t>Karkas Uk 1.5 Karkas Uk 1.5  Fresh HJA - Jantung Grade</t>
  </si>
  <si>
    <t>Karkas Uk 1.5 Karkas Uk 1.5 Fresh Ceker</t>
  </si>
  <si>
    <t>Karkas Uk 1.5 Karkas Uk 1.5 Fresh Ceker Grade D</t>
  </si>
  <si>
    <t>Karkas Uk 1.5 Karkas Uk 1.5 Fresh Grade A</t>
  </si>
  <si>
    <t>Karkas Uk 1.5 Karkas Uk 1.5 Fresh Grade B</t>
  </si>
  <si>
    <t>Karkas Uk 1.5 Karkas Uk 1.5 Fresh Grade C</t>
  </si>
  <si>
    <t>Karkas Uk 1.5 Karkas Uk 1.5 Fresh Grade D</t>
  </si>
  <si>
    <t>Karkas Uk 1.5 Karkas Uk 1.5 Fresh HJA</t>
  </si>
  <si>
    <t>Karkas Uk 1.5 Karkas Uk 1.5 Fresh Hja - Ampela</t>
  </si>
  <si>
    <t>Karkas Uk 1.5 Karkas Uk 1.5 Fresh HJA - Ampela Grade</t>
  </si>
  <si>
    <t>Karkas Uk 1.5 Karkas Uk 1.5 Fresh HJA - Ampela Grade D</t>
  </si>
  <si>
    <t>Karkas Uk 1.5 Karkas Uk 1.5 Fresh HJA - Hati</t>
  </si>
  <si>
    <t>Karkas Uk 1.5 Karkas Uk 1.5 Fresh HJA - Hati Grade</t>
  </si>
  <si>
    <t>Karkas Uk 1.5 Karkas Uk 1.5 Fresh HJA - Hati Grade D</t>
  </si>
  <si>
    <t>Karkas Uk 1.5 Karkas Uk 1.5 Fresh HJA - Jantung</t>
  </si>
  <si>
    <t>Karkas Uk 1.5 Karkas Uk 1.5 Fresh HJA - Jantung Grade D</t>
  </si>
  <si>
    <t>Karkas Uk 1.5 Karkas Uk 1.5 Fresh HJA Grade</t>
  </si>
  <si>
    <t>Karkas Uk 1.5 Karkas Uk 1.5 Fresh HJA Grade D</t>
  </si>
  <si>
    <t>Karkas Uk 1.5 Karkas Uk 1.5 Fresh Kepala</t>
  </si>
  <si>
    <t>Karkas Uk 1.5 Karkas Uk 1.5 fresh kepala - Batok kepala</t>
  </si>
  <si>
    <t>Karkas Uk 1.5 Karkas Uk 1.5 Fresh Kepala - Batok Kepala Grade D</t>
  </si>
  <si>
    <t>Karkas Uk 1.5 Karkas Uk 1.5 fresh kepala - Kulit Leher</t>
  </si>
  <si>
    <t>Karkas Uk 1.5 Karkas Uk 1.5 fresh kepala - Kulit Leher Grade D</t>
  </si>
  <si>
    <t>Karkas Uk 1.5 Karkas Uk 1.5 fresh kepala - Selang Leher</t>
  </si>
  <si>
    <t>Karkas Uk 1.5 Karkas Uk 1.5 Fresh kepala - Trimming Leher</t>
  </si>
  <si>
    <t>Karkas Uk 1.5 Karkas Uk 1.5 Fresh Kepala - Trimming Leher Grade D</t>
  </si>
  <si>
    <t>Karkas Uk 1.5 Karkas Uk 1.5 Fresh kepala - Tulang Leher</t>
  </si>
  <si>
    <t>Karkas Uk 1.5 Karkas Uk 1.5 fresh Kepala - Tulang Leher Grade D</t>
  </si>
  <si>
    <t>Karkas Uk 1.5 Karkas Uk 1.5 Fresh Kepala Grade D</t>
  </si>
  <si>
    <t>Karkas Uk 1.5 Karkas Uk 1.5 Fresh Kepala -Selang leher grade D</t>
  </si>
  <si>
    <t>Karkas Uk 1.5 Karkas Uk 1.5 Fresh Premium</t>
  </si>
  <si>
    <t>Karkas Uk 1.5 Karkas Uk 1.5 Fresh Usus Kotor</t>
  </si>
  <si>
    <t>Karkas Uk 1.5 Karkas Uk 1.5 Fresh Usus Kotor Grade D</t>
  </si>
  <si>
    <t>Karkas Uk 1.5 Karkas Uk 1.5 Frozen Ceker</t>
  </si>
  <si>
    <t>Karkas Uk 1.5 Karkas Uk 1.5 Frozen Ceker Grade D</t>
  </si>
  <si>
    <t>Karkas Uk 1.5 Karkas Uk 1.5 Frozen Grade A</t>
  </si>
  <si>
    <t>Karkas Uk 1.5 Karkas Uk 1.5 Frozen Grade B</t>
  </si>
  <si>
    <t>Karkas Uk 1.5 Karkas Uk 1.5 Frozen Grade C</t>
  </si>
  <si>
    <t>Karkas Uk 1.5 Karkas Uk 1.5 Frozen Grade D</t>
  </si>
  <si>
    <t>Karkas Uk 1.5 Karkas Uk 1.5 Frozen HJA</t>
  </si>
  <si>
    <t>Karkas Uk 1.5 Karkas Uk 1.5 Frozen HJA - Ampela</t>
  </si>
  <si>
    <t>Karkas Uk 1.5 Karkas Uk 1.5 Frozen HJA - Ampela Grade</t>
  </si>
  <si>
    <t>Karkas Uk 1.5 Karkas Uk 1.5 Frozen HJA - Hati</t>
  </si>
  <si>
    <t>Karkas Uk 1.5 Karkas Uk 1.5 Frozen HJA - Hati Grade</t>
  </si>
  <si>
    <t>Karkas Uk 1.5 Karkas Uk 1.5 Frozen HJA - Hati Grade D</t>
  </si>
  <si>
    <t>Karkas Uk 1.5 Karkas Uk 1.5 Frozen HJA - Jantung</t>
  </si>
  <si>
    <t>Karkas Uk 1.5 Karkas Uk 1.5 Frozen HJA - Jantung Grade</t>
  </si>
  <si>
    <t>Karkas Uk 1.5 Karkas Uk 1.5 Frozen HJA - Jantung Grade D</t>
  </si>
  <si>
    <t>Karkas Uk 1.5 Karkas Uk 1.5 Frozen Hja Grade</t>
  </si>
  <si>
    <t>Karkas Uk 1.5 Karkas Uk 1.5 Frozen HJA Grade D</t>
  </si>
  <si>
    <t>Karkas Uk 1.5 Karkas Uk 1.5 Frozen Kepala</t>
  </si>
  <si>
    <t>Karkas Uk 1.5 Karkas Uk 1.5 Frozen Kepala - Batok Kepala</t>
  </si>
  <si>
    <t>Karkas Uk 1.5 Karkas Uk 1.5 Frozen Kepala - Batok Kepala Grade D</t>
  </si>
  <si>
    <t>Karkas Uk 1.5 Karkas Uk 1.5 Frozen Kepala - Kulit Leher</t>
  </si>
  <si>
    <t>Karkas Uk 1.5 Karkas Uk 1.5 Frozen Kepala - Kulit Leher Grade D</t>
  </si>
  <si>
    <t>Karkas Uk 1.5 Karkas UK 1.5 Frozen Kepala - Selang Leher</t>
  </si>
  <si>
    <t>Karkas Uk 1.5 Karkas UK 1.5 Frozen Kepala - Trimming Leher</t>
  </si>
  <si>
    <t>Karkas Uk 1.5 Karkas Uk 1.5 Frozen Kepala - Trimming Leher Grade D</t>
  </si>
  <si>
    <t>Karkas Uk 1.5 Karkas Uk 1.5 Frozen Kepala - Tulang Leher</t>
  </si>
  <si>
    <t>Karkas Uk 1.5 Karkas Uk 1.5 Frozen Kepala - Tulang Leher Grade D</t>
  </si>
  <si>
    <t>Karkas Uk 1.5 Karkas UK 1.5 Frozen Kepala Grade D</t>
  </si>
  <si>
    <t>Karkas Uk 1.5 Karkas Uk 1.5 Frozen Premium</t>
  </si>
  <si>
    <t>Karkas Uk 1.5 Karkas Uk 1.5 Frozen Usus Kotor</t>
  </si>
  <si>
    <t>Karkas Uk 1.5 Karkas Uk 1.5 Frozen Usus Kotor Grade D</t>
  </si>
  <si>
    <t>Karkas Uk 1.6 Karaks Uk 1.6 Frozen Kepala - Selang Leher Grade D</t>
  </si>
  <si>
    <t>Karkas Uk 1.6 Karkas Uk 1.6  Fresh HJA - Jantung Grade</t>
  </si>
  <si>
    <t>Karkas Uk 1.6 Karkas Uk 1.6 Fresh Ceker</t>
  </si>
  <si>
    <t>Karkas Uk 1.6 Karkas Uk 1.6 Fresh Ceker Grade D</t>
  </si>
  <si>
    <t>Karkas Uk 1.6 Karkas Uk 1.6 Fresh Grade A</t>
  </si>
  <si>
    <t>Karkas Uk 1.6 Karkas Uk 1.6 Fresh Grade B</t>
  </si>
  <si>
    <t>Karkas Uk 1.6 Karkas Uk 1.6 Fresh Grade C</t>
  </si>
  <si>
    <t>Karkas Uk 1.6 Karkas Uk 1.6 Fresh Grade D</t>
  </si>
  <si>
    <t>Karkas Uk 1.6 Karkas Uk 1.6 Fresh HJA</t>
  </si>
  <si>
    <t>Karkas Uk 1.6 Karkas Uk 1.6 Fresh Hja - Ampela</t>
  </si>
  <si>
    <t>Karkas Uk 1.6 Karkas Uk 1.6 Fresh HJA - Ampela Grade</t>
  </si>
  <si>
    <t>Karkas Uk 1.6 Karkas Uk 1.6 Fresh HJA - Ampela Grade D</t>
  </si>
  <si>
    <t>Karkas Uk 1.6 Karkas Uk 1.6 Fresh HJA - Hati</t>
  </si>
  <si>
    <t>Karkas Uk 1.6 Karkas Uk 1.6 Fresh HJA - Hati Grade</t>
  </si>
  <si>
    <t>Karkas Uk 1.6 Karkas Uk 1.6 Fresh HJA - Hati Grade D</t>
  </si>
  <si>
    <t>Karkas Uk 1.6 Karkas Uk 1.6 Fresh HJA - Jantung</t>
  </si>
  <si>
    <t>Karkas Uk 1.6 Karkas Uk 1.6 Fresh HJA - Jantung Grade D</t>
  </si>
  <si>
    <t>Karkas Uk 1.6 Karkas Uk 1.6 Fresh HJA Grade</t>
  </si>
  <si>
    <t>Karkas Uk 1.6 Karkas Uk 1.6 Fresh HJA Grade D</t>
  </si>
  <si>
    <t>Karkas Uk 1.6 Karkas Uk 1.6 Fresh Kepala</t>
  </si>
  <si>
    <t>Karkas Uk 1.6 Karkas Uk 1.6 fresh kepala - Batok kepala</t>
  </si>
  <si>
    <t>Karkas Uk 1.6 Karkas Uk 1.6 Fresh Kepala - Batok Kepala Grade D</t>
  </si>
  <si>
    <t>Karkas Uk 1.6 Karkas Uk 1.6 fresh kepala - Kulit Leher</t>
  </si>
  <si>
    <t>Karkas Uk 1.6 Karkas Uk 1.6 fresh kepala - Kulit Leher Grade D</t>
  </si>
  <si>
    <t>Karkas Uk 1.6 Karkas Uk 1.6 fresh kepala - Selang Leher</t>
  </si>
  <si>
    <t>Karkas Uk 1.6 Karkas Uk 1.6 Fresh kepala - Trimming Leher</t>
  </si>
  <si>
    <t>Karkas Uk 1.6 Karkas Uk 1.6 Fresh Kepala - Trimming Leher Grade D</t>
  </si>
  <si>
    <t>Karkas Uk 1.6 Karkas Uk 1.6 Fresh kepala - Tulang Leher</t>
  </si>
  <si>
    <t>Karkas Uk 1.6 Karkas Uk 1.6 fresh Kepala - Tulang Leher Grade D</t>
  </si>
  <si>
    <t>Karkas Uk 1.6 Karkas Uk 1.6 Fresh Kepala Grade D</t>
  </si>
  <si>
    <t>Karkas Uk 1.6 Karkas Uk 1.6 Fresh Kepala -Selang leher grade D</t>
  </si>
  <si>
    <t>Karkas Uk 1.6 Karkas Uk 1.6 Fresh Premium</t>
  </si>
  <si>
    <t>Karkas Uk 1.6 Karkas Uk 1.6 Fresh Usus Kotor</t>
  </si>
  <si>
    <t>Karkas Uk 1.6 Karkas Uk 1.6 Fresh Usus Kotor Grade D</t>
  </si>
  <si>
    <t>Karkas Uk 1.6 Karkas Uk 1.6 Frozen Ceker</t>
  </si>
  <si>
    <t>Karkas Uk 1.6 Karkas Uk 1.6 Frozen Ceker Grade D</t>
  </si>
  <si>
    <t>Karkas Uk 1.6 Karkas Uk 1.6 Frozen Grade A</t>
  </si>
  <si>
    <t>Karkas Uk 1.6 Karkas Uk 1.6 Frozen Grade B</t>
  </si>
  <si>
    <t>Karkas Uk 1.6 Karkas Uk 1.6 Frozen Grade C</t>
  </si>
  <si>
    <t>Karkas Uk 1.6 Karkas Uk 1.6 Frozen Grade D</t>
  </si>
  <si>
    <t>Karkas Uk 1.6 Karkas Uk 1.6 Frozen HJA</t>
  </si>
  <si>
    <t>Karkas Uk 1.6 Karkas Uk 1.6 Frozen HJA - Ampela</t>
  </si>
  <si>
    <t>Karkas Uk 1.6 Karkas Uk 1.6 Frozen HJA - Ampela Grade</t>
  </si>
  <si>
    <t>Karkas Uk 1.6 Karkas Uk 1.6 Frozen HJA - Hati</t>
  </si>
  <si>
    <t>Karkas Uk 1.6 Karkas Uk 1.6 Frozen HJA - Hati Grade</t>
  </si>
  <si>
    <t>Karkas Uk 1.6 Karkas Uk 1.6 Frozen HJA - Hati Grade D</t>
  </si>
  <si>
    <t>Karkas Uk 1.6 Karkas Uk 1.6 Frozen HJA - Jantung</t>
  </si>
  <si>
    <t>Karkas Uk 1.6 Karkas Uk 1.6 Frozen HJA - Jantung Grade</t>
  </si>
  <si>
    <t>Karkas Uk 1.6 Karkas Uk 1.6 Frozen HJA - Jantung Grade D</t>
  </si>
  <si>
    <t>Karkas Uk 1.6 Karkas Uk 1.6 Frozen Hja Grade</t>
  </si>
  <si>
    <t>Karkas Uk 1.6 Karkas Uk 1.6 Frozen HJA Grade D</t>
  </si>
  <si>
    <t>Karkas Uk 1.6 Karkas Uk 1.6 Frozen Kepala</t>
  </si>
  <si>
    <t>Karkas Uk 1.6 Karkas Uk 1.6 Frozen Kepala - Batok Kepala</t>
  </si>
  <si>
    <t>Karkas Uk 1.6 Karkas Uk 1.6 Frozen Kepala - Batok Kepala Grade D</t>
  </si>
  <si>
    <t>Karkas Uk 1.6 Karkas Uk 1.6 Frozen Kepala - Kulit Leher</t>
  </si>
  <si>
    <t>Karkas Uk 1.6 Karkas Uk 1.6 Frozen Kepala - Kulit Leher Grade D</t>
  </si>
  <si>
    <t>Karkas Uk 1.6 Karkas UK 1.6 Frozen Kepala - Selang Leher</t>
  </si>
  <si>
    <t>Karkas Uk 1.6 Karkas UK 1.6 Frozen Kepala - Trimming Leher</t>
  </si>
  <si>
    <t>Karkas Uk 1.6 Karkas Uk 1.6 Frozen Kepala - Trimming Leher Grade D</t>
  </si>
  <si>
    <t>Karkas Uk 1.6 Karkas Uk 1.6 Frozen Kepala - Tulang Leher</t>
  </si>
  <si>
    <t>Karkas Uk 1.6 Karkas Uk 1.6 Frozen Kepala - Tulang Leher Grade D</t>
  </si>
  <si>
    <t>Karkas Uk 1.6 Karkas UK 1.6 Frozen Kepala Grade D</t>
  </si>
  <si>
    <t>Karkas Uk 1.6 Karkas Uk 1.6 Frozen Premium</t>
  </si>
  <si>
    <t>Karkas Uk 1.6 Karkas Uk 1.6 Frozen Usus Kotor</t>
  </si>
  <si>
    <t>Karkas Uk 1.6 Karkas Uk 1.6 Frozen Usus Kotor Grade D</t>
  </si>
  <si>
    <t>Karkas Uk 1.7 Karaks Uk 1.7 Frozen Kepala - Selang Leher Grade D</t>
  </si>
  <si>
    <t>Karkas Uk 1.7 Karkas Uk 1.7  Fresh HJA - Jantung Grade</t>
  </si>
  <si>
    <t>Karkas Uk 1.7 Karkas Uk 1.7 Fresh Ceker</t>
  </si>
  <si>
    <t>Karkas Uk 1.7 Karkas Uk 1.7 Fresh Ceker Grade D</t>
  </si>
  <si>
    <t>Karkas Uk 1.7 Karkas Uk 1.7 Fresh Grade A</t>
  </si>
  <si>
    <t>Karkas Uk 1.7 Karkas Uk 1.7 Fresh Grade B</t>
  </si>
  <si>
    <t>Karkas Uk 1.7 Karkas Uk 1.7 Fresh Grade C</t>
  </si>
  <si>
    <t>Karkas Uk 1.7 Karkas Uk 1.7 Fresh Grade D</t>
  </si>
  <si>
    <t>Karkas Uk 1.7 Karkas Uk 1.7 Fresh HJA</t>
  </si>
  <si>
    <t>Karkas Uk 1.7 Karkas Uk 1.7 Fresh Hja - Ampela</t>
  </si>
  <si>
    <t>Karkas Uk 1.7 Karkas Uk 1.7 Fresh HJA - Ampela Grade</t>
  </si>
  <si>
    <t>Karkas Uk 1.7 Karkas Uk 1.7 Fresh HJA - Ampela Grade D</t>
  </si>
  <si>
    <t>Karkas Uk 1.7 Karkas Uk 1.7 Fresh HJA - Hati</t>
  </si>
  <si>
    <t>Karkas Uk 1.7 Karkas Uk 1.7 Fresh HJA - Hati Grade</t>
  </si>
  <si>
    <t>Karkas Uk 1.7 Karkas Uk 1.7 Fresh HJA - Hati Grade D</t>
  </si>
  <si>
    <t>Karkas Uk 1.7 Karkas Uk 1.7 Fresh HJA - Jantung</t>
  </si>
  <si>
    <t>Karkas Uk 1.7 Karkas Uk 1.7 Fresh HJA - Jantung Grade D</t>
  </si>
  <si>
    <t>Karkas Uk 1.7 Karkas Uk 1.7 Fresh HJA Grade</t>
  </si>
  <si>
    <t>Karkas Uk 1.7 Karkas Uk 1.7 Fresh HJA Grade D</t>
  </si>
  <si>
    <t>Karkas Uk 1.7 Karkas Uk 1.7 Fresh Kepala</t>
  </si>
  <si>
    <t>Karkas Uk 1.7 Karkas Uk 1.7 fresh kepala - Batok kepala</t>
  </si>
  <si>
    <t>Karkas Uk 1.7 Karkas Uk 1.7 Fresh Kepala - Batok Kepala Grade D</t>
  </si>
  <si>
    <t>Karkas Uk 1.7 Karkas Uk 1.7 fresh kepala - Kulit Leher</t>
  </si>
  <si>
    <t>Karkas Uk 1.7 Karkas Uk 1.7 fresh kepala - Kulit Leher Grade D</t>
  </si>
  <si>
    <t>Karkas Uk 1.7 Karkas Uk 1.7 fresh kepala - Selang Leher</t>
  </si>
  <si>
    <t>Karkas Uk 1.7 Karkas Uk 1.7 Fresh kepala - Trimming Leher</t>
  </si>
  <si>
    <t>Karkas Uk 1.7 Karkas Uk 1.7 Fresh Kepala - Trimming Leher Grade D</t>
  </si>
  <si>
    <t>Karkas Uk 1.7 Karkas Uk 1.7 Fresh kepala - Tulang Leher</t>
  </si>
  <si>
    <t>Karkas Uk 1.7 Karkas Uk 1.7 fresh Kepala - Tulang Leher Grade D</t>
  </si>
  <si>
    <t>Karkas Uk 1.7 Karkas Uk 1.7 Fresh Kepala Grade D</t>
  </si>
  <si>
    <t>Karkas Uk 1.7 Karkas Uk 1.7 Fresh Kepala -Selang leher grade D</t>
  </si>
  <si>
    <t>Karkas Uk 1.7 Karkas Uk 1.7 Fresh Premium</t>
  </si>
  <si>
    <t>Karkas Uk 1.7 Karkas Uk 1.7 Fresh Usus Kotor</t>
  </si>
  <si>
    <t>Karkas Uk 1.7 Karkas Uk 1.7 Fresh Usus Kotor Grade D</t>
  </si>
  <si>
    <t>Karkas Uk 1.7 Karkas Uk 1.7 Frozen Ceker</t>
  </si>
  <si>
    <t>Karkas Uk 1.7 Karkas Uk 1.7 Frozen Ceker Grade D</t>
  </si>
  <si>
    <t>Karkas Uk 1.7 Karkas Uk 1.7 Frozen Grade A</t>
  </si>
  <si>
    <t>Karkas Uk 1.7 Karkas Uk 1.7 Frozen Grade B</t>
  </si>
  <si>
    <t>Karkas Uk 1.7 Karkas Uk 1.7 Frozen Grade C</t>
  </si>
  <si>
    <t>Karkas Uk 1.7 Karkas Uk 1.7 Frozen Grade D</t>
  </si>
  <si>
    <t>Karkas Uk 1.7 Karkas Uk 1.7 Frozen HJA</t>
  </si>
  <si>
    <t>Karkas Uk 1.7 Karkas Uk 1.7 Frozen HJA - Ampela</t>
  </si>
  <si>
    <t>Karkas Uk 1.7 Karkas Uk 1.7 Frozen HJA - Ampela Grade</t>
  </si>
  <si>
    <t>Karkas Uk 1.7 Karkas Uk 1.7 Frozen HJA - Hati</t>
  </si>
  <si>
    <t>Karkas Uk 1.7 Karkas Uk 1.7 Frozen HJA - Hati Grade</t>
  </si>
  <si>
    <t>Karkas Uk 1.7 Karkas Uk 1.7 Frozen HJA - Hati Grade D</t>
  </si>
  <si>
    <t>Karkas Uk 1.7 Karkas Uk 1.7 Frozen HJA - Jantung</t>
  </si>
  <si>
    <t>Karkas Uk 1.7 Karkas Uk 1.7 Frozen HJA - Jantung Grade</t>
  </si>
  <si>
    <t>Karkas Uk 1.7 Karkas Uk 1.7 Frozen HJA - Jantung Grade D</t>
  </si>
  <si>
    <t>Karkas Uk 1.7 Karkas Uk 1.7 Frozen Hja Grade</t>
  </si>
  <si>
    <t>Karkas Uk 1.7 Karkas Uk 1.7 Frozen HJA Grade D</t>
  </si>
  <si>
    <t>Karkas Uk 1.7 Karkas Uk 1.7 Frozen Kepala</t>
  </si>
  <si>
    <t>Karkas Uk 1.7 Karkas Uk 1.7 Frozen Kepala - Batok Kepala</t>
  </si>
  <si>
    <t>Karkas Uk 1.7 Karkas Uk 1.7 Frozen Kepala - Batok Kepala Grade D</t>
  </si>
  <si>
    <t>Karkas Uk 1.7 Karkas Uk 1.7 Frozen Kepala - Kulit Leher</t>
  </si>
  <si>
    <t>Karkas Uk 1.7 Karkas Uk 1.7 Frozen Kepala - Kulit Leher Grade D</t>
  </si>
  <si>
    <t>Karkas Uk 1.7 Karkas UK 1.7 Frozen Kepala - Selang Leher</t>
  </si>
  <si>
    <t>Karkas Uk 1.7 Karkas UK 1.7 Frozen Kepala - Trimming Leher</t>
  </si>
  <si>
    <t>Karkas Uk 1.7 Karkas Uk 1.7 Frozen Kepala - Trimming Leher Grade D</t>
  </si>
  <si>
    <t>Karkas Uk 1.7 Karkas Uk 1.7 Frozen Kepala - Tulang Leher</t>
  </si>
  <si>
    <t>Karkas Uk 1.7 Karkas Uk 1.7 Frozen Kepala - Tulang Leher Grade D</t>
  </si>
  <si>
    <t>Karkas Uk 1.7 Karkas UK 1.7 Frozen Kepala Grade D</t>
  </si>
  <si>
    <t>Karkas Uk 1.7 Karkas Uk 1.7 Frozen Premium</t>
  </si>
  <si>
    <t>Karkas Uk 1.7 Karkas Uk 1.7 Frozen Usus Kotor</t>
  </si>
  <si>
    <t>Karkas Uk 1.7 Karkas Uk 1.7 Frozen Usus Kotor Grade D</t>
  </si>
  <si>
    <t>Karkas Uk 1.8 Karaks Uk 1.8 Frozen Kepala - Selang Leher Grade D</t>
  </si>
  <si>
    <t>Karkas Uk 1.8 Karkas Uk 1. Frozen Kepala - Trimming Leher Grade D</t>
  </si>
  <si>
    <t>Karkas Uk 1.8 Karkas Uk 1.8  Fresh HJA - Jantung Grade</t>
  </si>
  <si>
    <t>Karkas Uk 1.8 Karkas Uk 1.8 Fresh Ceker</t>
  </si>
  <si>
    <t>Karkas Uk 1.8 Karkas Uk 1.8 Fresh Ceker Grade D</t>
  </si>
  <si>
    <t>Karkas Uk 1.8 Karkas Uk 1.8 Fresh Grade A</t>
  </si>
  <si>
    <t>Karkas Uk 1.8 Karkas Uk 1.8 Fresh Grade B</t>
  </si>
  <si>
    <t>Karkas Uk 1.8 Karkas Uk 1.8 Fresh Grade C</t>
  </si>
  <si>
    <t>Karkas Uk 1.8 Karkas Uk 1.8 Fresh Grade D</t>
  </si>
  <si>
    <t>Karkas Uk 1.8 Karkas Uk 1.8 Fresh HJA</t>
  </si>
  <si>
    <t>Karkas Uk 1.8 Karkas Uk 1.8 Fresh Hja - Ampela</t>
  </si>
  <si>
    <t>Karkas Uk 1.8 Karkas Uk 1.8 Fresh HJA - Ampela Grade</t>
  </si>
  <si>
    <t>Karkas Uk 1.8 Karkas Uk 1.8 Fresh HJA - Ampela Grade D</t>
  </si>
  <si>
    <t>Karkas Uk 1.8 Karkas Uk 1.8 Fresh HJA - Hati</t>
  </si>
  <si>
    <t>Karkas Uk 1.8 Karkas Uk 1.8 Fresh HJA - Hati Grade</t>
  </si>
  <si>
    <t>Karkas Uk 1.8 Karkas Uk 1.8 Fresh HJA - Hati Grade D</t>
  </si>
  <si>
    <t>Karkas Uk 1.8 Karkas Uk 1.8 Fresh HJA - Jantung</t>
  </si>
  <si>
    <t>Karkas Uk 1.8 Karkas Uk 1.8 Fresh HJA - Jantung Grade D</t>
  </si>
  <si>
    <t>Karkas Uk 1.8 Karkas Uk 1.8 Fresh HJA Grade</t>
  </si>
  <si>
    <t>Karkas Uk 1.8 Karkas Uk 1.8 Fresh HJA Grade D</t>
  </si>
  <si>
    <t>Karkas Uk 1.8 Karkas Uk 1.8 Fresh Kepala</t>
  </si>
  <si>
    <t>Karkas Uk 1.8 Karkas Uk 1.8 fresh kepala - Batok kepala</t>
  </si>
  <si>
    <t>Karkas Uk 1.8 Karkas Uk 1.8 Fresh Kepala - Batok Kepala Grade D</t>
  </si>
  <si>
    <t>Karkas Uk 1.8 Karkas Uk 1.8 fresh kepala - Kulit Leher</t>
  </si>
  <si>
    <t>Karkas Uk 1.8 Karkas Uk 1.8 fresh kepala - Kulit Leher Grade D</t>
  </si>
  <si>
    <t>Karkas Uk 1.8 Karkas Uk 1.8 fresh kepala - Selang Leher</t>
  </si>
  <si>
    <t>Karkas Uk 1.8 Karkas Uk 1.8 Fresh kepala - Trimming Leher</t>
  </si>
  <si>
    <t>Karkas Uk 1.8 Karkas Uk 1.8 Fresh Kepala - Trimming Leher Grade D</t>
  </si>
  <si>
    <t>Karkas Uk 1.8 Karkas Uk 1.8 Fresh kepala - Tulang Leher</t>
  </si>
  <si>
    <t>Karkas Uk 1.8 Karkas Uk 1.8 fresh Kepala - Tulang Leher Grade D</t>
  </si>
  <si>
    <t>Karkas Uk 1.8 Karkas Uk 1.8 Fresh Kepala Grade D</t>
  </si>
  <si>
    <t>Karkas Uk 1.8 Karkas Uk 1.8 Fresh Kepala -Selang leher grade D</t>
  </si>
  <si>
    <t>Karkas Uk 1.8 Karkas Uk 1.8 Fresh Premium</t>
  </si>
  <si>
    <t>Karkas Uk 1.8 Karkas Uk 1.8 Fresh Usus Kotor</t>
  </si>
  <si>
    <t>Karkas Uk 1.8 Karkas Uk 1.8 Fresh Usus Kotor Grade D</t>
  </si>
  <si>
    <t>Karkas Uk 1.8 Karkas Uk 1.8 Frozen Ceker</t>
  </si>
  <si>
    <t>Karkas Uk 1.8 Karkas Uk 1.8 Frozen Ceker Grade D</t>
  </si>
  <si>
    <t>Karkas Uk 1.8 Karkas Uk 1.8 Frozen Grade A</t>
  </si>
  <si>
    <t>Karkas Uk 1.8 Karkas Uk 1.8 Frozen Grade B</t>
  </si>
  <si>
    <t>Karkas Uk 1.8 Karkas Uk 1.8 Frozen Grade C</t>
  </si>
  <si>
    <t>Karkas Uk 1.8 Karkas Uk 1.8 Frozen Grade D</t>
  </si>
  <si>
    <t>Karkas Uk 1.8 Karkas Uk 1.8 Frozen HJA</t>
  </si>
  <si>
    <t>Karkas Uk 1.8 Karkas Uk 1.8 Frozen HJA - Ampela</t>
  </si>
  <si>
    <t>Karkas Uk 1.8 Karkas Uk 1.8 Frozen HJA - Ampela Grade</t>
  </si>
  <si>
    <t>Karkas Uk 1.8 Karkas Uk 1.8 Frozen HJA - Hati</t>
  </si>
  <si>
    <t>Karkas Uk 1.8 Karkas Uk 1.8 Frozen HJA - Hati Grade</t>
  </si>
  <si>
    <t>Karkas Uk 1.8 Karkas Uk 1.8 Frozen HJA - Hati Grade D</t>
  </si>
  <si>
    <t>Karkas Uk 1.8 Karkas Uk 1.8 Frozen HJA - Jantung</t>
  </si>
  <si>
    <t>Karkas Uk 1.8 Karkas Uk 1.8 Frozen HJA - Jantung Grade</t>
  </si>
  <si>
    <t>Karkas Uk 1.8 Karkas Uk 1.8 Frozen HJA - Jantung Grade D</t>
  </si>
  <si>
    <t>Karkas Uk 1.8 Karkas Uk 1.8 Frozen Hja Grade</t>
  </si>
  <si>
    <t>Karkas Uk 1.8 Karkas Uk 1.8 Frozen HJA Grade D</t>
  </si>
  <si>
    <t>Karkas Uk 1.8 Karkas Uk 1.8 Frozen Kepala</t>
  </si>
  <si>
    <t>Karkas Uk 1.8 Karkas Uk 1.8 Frozen Kepala - Batok Kepala</t>
  </si>
  <si>
    <t>Karkas Uk 1.8 Karkas Uk 1.8 Frozen Kepala - Batok Kepala Grade D</t>
  </si>
  <si>
    <t>Karkas Uk 1.8 Karkas Uk 1.8 Frozen Kepala - Kulit Leher</t>
  </si>
  <si>
    <t>Karkas Uk 1.8 Karkas Uk 1.8 Frozen Kepala - Kulit Leher Grade D</t>
  </si>
  <si>
    <t>Karkas Uk 1.8 Karkas UK 1.8 Frozen Kepala - Selang Leher</t>
  </si>
  <si>
    <t>Karkas Uk 1.8 Karkas UK 1.8 Frozen Kepala - Trimming Leher</t>
  </si>
  <si>
    <t>Karkas Uk 1.8 Karkas Uk 1.8 Frozen Kepala - Tulang Leher</t>
  </si>
  <si>
    <t>Karkas Uk 1.8 Karkas Uk 1.8 Frozen Kepala - Tulang Leher Grade D</t>
  </si>
  <si>
    <t>Karkas Uk 1.8 Karkas UK 1.8 Frozen Kepala Grade D</t>
  </si>
  <si>
    <t>Karkas Uk 1.8 Karkas Uk 1.8 Frozen Premium</t>
  </si>
  <si>
    <t>Karkas Uk 1.8 Karkas Uk 1.8 Frozen Usus Kotor</t>
  </si>
  <si>
    <t>Karkas Uk 1.8 Karkas Uk 1.8 Frozen Usus Kotor Grade D</t>
  </si>
  <si>
    <t>Karkas Uk 1.9 Karaks Uk 1.9 Frozen Kepala - Selang Leher Grade D</t>
  </si>
  <si>
    <t>Karkas Uk 1.9 Karkas Uk 1.9  Fresh HJA - Jantung Grade</t>
  </si>
  <si>
    <t>Karkas Uk 1.9 Karkas Uk 1.9 Fresh Ceker</t>
  </si>
  <si>
    <t>Karkas Uk 1.9 Karkas Uk 1.9 Fresh Ceker Grade D</t>
  </si>
  <si>
    <t>Karkas Uk 1.9 Karkas Uk 1.9 Fresh Grade A</t>
  </si>
  <si>
    <t>Karkas Uk 1.9 Karkas Uk 1.9 Fresh Grade B</t>
  </si>
  <si>
    <t>Karkas Uk 1.9 Karkas Uk 1.9 Fresh Grade C</t>
  </si>
  <si>
    <t>Karkas Uk 1.9 Karkas Uk 1.9 Fresh Grade D</t>
  </si>
  <si>
    <t>Karkas Uk 1.9 Karkas Uk 1.9 Fresh HJA</t>
  </si>
  <si>
    <t>Karkas Uk 1.9 Karkas Uk 1.9 Fresh Hja - Ampela</t>
  </si>
  <si>
    <t>Karkas Uk 1.9 Karkas Uk 1.9 Fresh HJA - Ampela Grade</t>
  </si>
  <si>
    <t>Karkas Uk 1.9 Karkas Uk 1.9 Fresh HJA - Ampela Grade D</t>
  </si>
  <si>
    <t>Karkas Uk 1.9 Karkas Uk 1.9 Fresh HJA - Hati</t>
  </si>
  <si>
    <t>Karkas Uk 1.9 Karkas Uk 1.9 Fresh HJA - Hati Grade</t>
  </si>
  <si>
    <t>Karkas Uk 1.9 Karkas Uk 1.9 Fresh HJA - Hati Grade D</t>
  </si>
  <si>
    <t>Karkas Uk 1.9 Karkas Uk 1.9 Fresh HJA - Jantung</t>
  </si>
  <si>
    <t>Karkas Uk 1.9 Karkas Uk 1.9 Fresh HJA - Jantung Grade D</t>
  </si>
  <si>
    <t>Karkas Uk 1.9 Karkas Uk 1.9 Fresh HJA Grade</t>
  </si>
  <si>
    <t>Karkas Uk 1.9 Karkas Uk 1.9 Fresh HJA Grade D</t>
  </si>
  <si>
    <t>Karkas Uk 1.9 Karkas Uk 1.9 Fresh Kepala</t>
  </si>
  <si>
    <t>Karkas Uk 1.9 Karkas Uk 1.9 fresh kepala - Batok kepala</t>
  </si>
  <si>
    <t>Karkas Uk 1.9 Karkas Uk 1.9 Fresh Kepala - Batok Kepala Grade D</t>
  </si>
  <si>
    <t>Karkas Uk 1.9 Karkas Uk 1.9 fresh kepala - Kulit Leher</t>
  </si>
  <si>
    <t>Karkas Uk 1.9 Karkas Uk 1.9 fresh kepala - Kulit Leher Grade D</t>
  </si>
  <si>
    <t>Karkas Uk 1.9 Karkas Uk 1.9 fresh kepala - Selang Leher</t>
  </si>
  <si>
    <t>Karkas Uk 1.9 Karkas Uk 1.9 Fresh kepala - Trimming Leher</t>
  </si>
  <si>
    <t>Karkas Uk 1.9 Karkas Uk 1.9 Fresh Kepala - Trimming Leher Grade D</t>
  </si>
  <si>
    <t>Karkas Uk 1.9 Karkas Uk 1.9 Fresh kepala - Tulang Leher</t>
  </si>
  <si>
    <t>Karkas Uk 1.9 Karkas Uk 1.9 fresh Kepala - Tulang Leher Grade D</t>
  </si>
  <si>
    <t>Karkas Uk 1.9 Karkas Uk 1.9 Fresh Kepala Grade D</t>
  </si>
  <si>
    <t>Karkas Uk 1.9 Karkas Uk 1.9 Fresh Kepala -Selang leher grade D</t>
  </si>
  <si>
    <t>Karkas Uk 1.9 Karkas Uk 1.9 Fresh Premium</t>
  </si>
  <si>
    <t>Karkas Uk 1.9 Karkas Uk 1.9 Fresh Usus Kotor</t>
  </si>
  <si>
    <t>Karkas Uk 1.9 Karkas Uk 1.9 Fresh Usus Kotor Grade D</t>
  </si>
  <si>
    <t>Karkas Uk 1.9 Karkas Uk 1.9 Frozen Ceker</t>
  </si>
  <si>
    <t>Karkas Uk 1.9 Karkas Uk 1.9 Frozen Ceker Grade D</t>
  </si>
  <si>
    <t>Karkas Uk 1.9 Karkas Uk 1.9 Frozen Grade A</t>
  </si>
  <si>
    <t>Karkas Uk 1.9 Karkas Uk 1.9 Frozen Grade B</t>
  </si>
  <si>
    <t>Karkas Uk 1.9 Karkas Uk 1.9 Frozen Grade C</t>
  </si>
  <si>
    <t>Karkas Uk 1.9 Karkas Uk 1.9 Frozen Grade D</t>
  </si>
  <si>
    <t>Karkas Uk 1.9 Karkas Uk 1.9 Frozen HJA</t>
  </si>
  <si>
    <t>Karkas Uk 1.9 Karkas Uk 1.9 Frozen HJA - Ampela</t>
  </si>
  <si>
    <t>Karkas Uk 1.9 Karkas Uk 1.9 Frozen HJA - Ampela Grade</t>
  </si>
  <si>
    <t>Karkas Uk 1.9 Karkas Uk 1.9 Frozen HJA - Hati</t>
  </si>
  <si>
    <t>Karkas Uk 1.9 Karkas Uk 1.9 Frozen HJA - Hati Grade</t>
  </si>
  <si>
    <t>Karkas Uk 1.9 Karkas Uk 1.9 Frozen HJA - Hati Grade D</t>
  </si>
  <si>
    <t>Karkas Uk 1.9 Karkas Uk 1.9 Frozen HJA - Jantung</t>
  </si>
  <si>
    <t>Karkas Uk 1.9 Karkas Uk 1.9 Frozen HJA - Jantung Grade</t>
  </si>
  <si>
    <t>Karkas Uk 1.9 Karkas Uk 1.9 Frozen HJA - Jantung Grade D</t>
  </si>
  <si>
    <t>Karkas Uk 1.9 Karkas Uk 1.9 Frozen Hja Grade</t>
  </si>
  <si>
    <t>Karkas Uk 1.9 Karkas Uk 1.9 Frozen HJA Grade D</t>
  </si>
  <si>
    <t>Karkas Uk 1.9 Karkas Uk 1.9 Frozen Kepala</t>
  </si>
  <si>
    <t>Karkas Uk 1.9 Karkas Uk 1.9 Frozen Kepala - Batok Kepala</t>
  </si>
  <si>
    <t>Karkas Uk 1.9 Karkas Uk 1.9 Frozen Kepala - Batok Kepala Grade D</t>
  </si>
  <si>
    <t>Karkas Uk 1.9 Karkas Uk 1.9 Frozen Kepala - Kulit Leher</t>
  </si>
  <si>
    <t>Karkas Uk 1.9 Karkas Uk 1.9 Frozen Kepala - Kulit Leher Grade D</t>
  </si>
  <si>
    <t>Karkas Uk 1.9 Karkas UK 1.9 Frozen Kepala - Selang Leher</t>
  </si>
  <si>
    <t>Karkas Uk 1.9 Karkas UK 1.9 Frozen Kepala - Trimming Leher</t>
  </si>
  <si>
    <t>Karkas Uk 1.9 Karkas Uk 1.9 Frozen Kepala - Trimming Leher Grade D</t>
  </si>
  <si>
    <t>Karkas Uk 1.9 Karkas Uk 1.9 Frozen Kepala - Tulang Leher</t>
  </si>
  <si>
    <t>Karkas Uk 1.9 Karkas Uk 1.9 Frozen Kepala - Tulang Leher Grade D</t>
  </si>
  <si>
    <t>Karkas Uk 1.9 Karkas UK 1.9 Frozen Kepala Grade D</t>
  </si>
  <si>
    <t>Karkas Uk 1.9 Karkas Uk 1.9 Frozen Premium</t>
  </si>
  <si>
    <t>Karkas Uk 1.9 Karkas Uk 1.9 Frozen Usus Kotor</t>
  </si>
  <si>
    <t>Karkas Uk 1.9 Karkas Uk 1.9 Frozen Usus Kotor Grade D</t>
  </si>
  <si>
    <t>Karkas Uk 2.0 Karaks Uk 2.0 Frozen Kepala - Selang Leher Grade D</t>
  </si>
  <si>
    <t>Karkas Uk 2.0 Karkas Uk 2.0  Fresh HJA - Jantung Grade</t>
  </si>
  <si>
    <t>Karkas Uk 2.0 Karkas Uk 2.0 Fresh Ceker</t>
  </si>
  <si>
    <t>Karkas Uk 2.0 Karkas Uk 2.0 Fresh Ceker Grade D</t>
  </si>
  <si>
    <t>Karkas Uk 2.0 Karkas Uk 2.0 Fresh Grade A</t>
  </si>
  <si>
    <t>Karkas Uk 2.0 Karkas Uk 2.0 Fresh Grade B</t>
  </si>
  <si>
    <t>Karkas Uk 2.0 Karkas Uk 2.0 Fresh Grade C</t>
  </si>
  <si>
    <t>Karkas Uk 2.0 Karkas Uk 2.0 Fresh Grade D</t>
  </si>
  <si>
    <t>Karkas Uk 2.0 Karkas Uk 2.0 Fresh HJA</t>
  </si>
  <si>
    <t>Karkas Uk 2.0 Karkas Uk 2.0 Fresh Hja - Ampela</t>
  </si>
  <si>
    <t>Karkas Uk 2.0 Karkas Uk 2.0 Fresh HJA - Ampela Grade</t>
  </si>
  <si>
    <t>Karkas Uk 2.0 Karkas Uk 2.0 Fresh HJA - Ampela Grade D</t>
  </si>
  <si>
    <t>Karkas Uk 2.0 Karkas Uk 2.0 Fresh HJA - Hati</t>
  </si>
  <si>
    <t>Karkas Uk 2.0 Karkas Uk 2.0 Fresh HJA - Hati Grade</t>
  </si>
  <si>
    <t>Karkas Uk 2.0 Karkas Uk 2.0 Fresh HJA - Hati Grade D</t>
  </si>
  <si>
    <t>Karkas Uk 2.0 Karkas Uk 2.0 Fresh HJA - Jantung</t>
  </si>
  <si>
    <t>Karkas Uk 2.0 Karkas Uk 2.0 Fresh HJA - Jantung Grade D</t>
  </si>
  <si>
    <t>Karkas Uk 2.0 Karkas Uk 2.0 Fresh HJA Grade</t>
  </si>
  <si>
    <t>Karkas Uk 2.0 Karkas Uk 2.0 Fresh HJA Grade D</t>
  </si>
  <si>
    <t>Karkas Uk 2.0 Karkas Uk 2.0 Fresh Kepala</t>
  </si>
  <si>
    <t>Karkas Uk 2.0 Karkas Uk 2.0 fresh kepala - Batok kepala</t>
  </si>
  <si>
    <t>Karkas Uk 2.0 Karkas Uk 2.0 Fresh Kepala - Batok Kepala Grade D</t>
  </si>
  <si>
    <t>Karkas Uk 2.0 Karkas Uk 2.0 fresh kepala - Kulit Leher</t>
  </si>
  <si>
    <t>Karkas Uk 2.0 Karkas Uk 2.0 fresh kepala - Kulit Leher Grade D</t>
  </si>
  <si>
    <t>Karkas Uk 2.0 Karkas Uk 2.0 fresh kepala - Selang Leher</t>
  </si>
  <si>
    <t>Karkas Uk 2.0 Karkas Uk 2.0 Fresh kepala - Trimming Leher</t>
  </si>
  <si>
    <t>Karkas Uk 2.0 Karkas Uk 2.0 Fresh Kepala - Trimming Leher Grade D</t>
  </si>
  <si>
    <t>Karkas Uk 2.0 Karkas Uk 2.0 Fresh kepala - Tulang Leher</t>
  </si>
  <si>
    <t>Karkas Uk 2.0 Karkas Uk 2.0 fresh Kepala - Tulang Leher Grade D</t>
  </si>
  <si>
    <t>Karkas Uk 2.0 Karkas Uk 2.0 Fresh Kepala Grade D</t>
  </si>
  <si>
    <t>Karkas Uk 2.0 Karkas Uk 2.0 Fresh Kepala -Selang leher grade D</t>
  </si>
  <si>
    <t>Karkas Uk 2.0 Karkas Uk 2.0 Fresh Premium</t>
  </si>
  <si>
    <t>Karkas Uk 2.0 Karkas Uk 2.0 Fresh Usus Kotor</t>
  </si>
  <si>
    <t>Karkas Uk 2.0 Karkas Uk 2.0 Fresh Usus Kotor Grade D</t>
  </si>
  <si>
    <t>Karkas Uk 2.0 Karkas Uk 2.0 Frozen Ceker</t>
  </si>
  <si>
    <t>Karkas Uk 2.0 Karkas Uk 2.0 Frozen Ceker Grade D</t>
  </si>
  <si>
    <t>Karkas Uk 2.0 Karkas Uk 2.0 Frozen Grade A</t>
  </si>
  <si>
    <t>Karkas Uk 2.0 Karkas Uk 2.0 Frozen Grade B</t>
  </si>
  <si>
    <t>Karkas Uk 2.0 Karkas Uk 2.0 Frozen Grade C</t>
  </si>
  <si>
    <t>Karkas Uk 2.0 Karkas Uk 2.0 Frozen Grade D</t>
  </si>
  <si>
    <t>Karkas Uk 2.0 Karkas Uk 2.0 Frozen HJA</t>
  </si>
  <si>
    <t>Karkas Uk 2.0 Karkas Uk 2.0 Frozen HJA - Ampela</t>
  </si>
  <si>
    <t>Karkas Uk 2.0 Karkas Uk 2.0 Frozen HJA - Ampela Grade</t>
  </si>
  <si>
    <t>Karkas Uk 2.0 Karkas Uk 2.0 Frozen HJA - Hati</t>
  </si>
  <si>
    <t>Karkas Uk 2.0 Karkas Uk 2.0 Frozen HJA - Hati Grade</t>
  </si>
  <si>
    <t>Karkas Uk 2.0 Karkas Uk 2.0 Frozen HJA - Hati Grade D</t>
  </si>
  <si>
    <t>Karkas Uk 2.0 Karkas Uk 2.0 Frozen HJA - Jantung</t>
  </si>
  <si>
    <t>Karkas Uk 2.0 Karkas Uk 2.0 Frozen HJA - Jantung Grade</t>
  </si>
  <si>
    <t>Karkas Uk 2.0 Karkas Uk 2.0 Frozen HJA - Jantung Grade D</t>
  </si>
  <si>
    <t>Karkas Uk 2.0 Karkas Uk 2.0 Frozen Hja Grade</t>
  </si>
  <si>
    <t>Karkas Uk 2.0 Karkas Uk 2.0 Frozen HJA Grade D</t>
  </si>
  <si>
    <t>Karkas Uk 2.0 Karkas Uk 2.0 Frozen Kepala</t>
  </si>
  <si>
    <t>Karkas Uk 2.0 Karkas Uk 2.0 Frozen Kepala - Batok Kepala</t>
  </si>
  <si>
    <t>Karkas Uk 2.0 Karkas Uk 2.0 Frozen Kepala - Batok Kepala Grade D</t>
  </si>
  <si>
    <t>Karkas Uk 2.0 Karkas Uk 2.0 Frozen Kepala - Kulit Leher</t>
  </si>
  <si>
    <t>Karkas Uk 2.0 Karkas Uk 2.0 Frozen Kepala - Kulit Leher Grade D</t>
  </si>
  <si>
    <t>Karkas Uk 2.0 Karkas UK 2.0 Frozen Kepala - Selang Leher</t>
  </si>
  <si>
    <t>Karkas Uk 2.0 Karkas UK 2.0 Frozen Kepala - Trimming Leher</t>
  </si>
  <si>
    <t>Karkas Uk 2.0 Karkas Uk 2.0 Frozen Kepala - Trimming Leher Grade D</t>
  </si>
  <si>
    <t>Karkas Uk 2.0 Karkas Uk 2.0 Frozen Kepala - Tulang Leher</t>
  </si>
  <si>
    <t>Karkas Uk 2.0 Karkas Uk 2.0 Frozen Kepala - Tulang Leher Grade D</t>
  </si>
  <si>
    <t>Karkas Uk 2.0 Karkas UK 2.0 Frozen Kepala Grade D</t>
  </si>
  <si>
    <t>Karkas Uk 2.0 Karkas Uk 2.0 Frozen Premium</t>
  </si>
  <si>
    <t>Karkas Uk 2.0 Karkas Uk 2.0 Frozen Usus Kotor</t>
  </si>
  <si>
    <t>Karkas Uk 2.0 Karkas Uk 2.0 Frozen Usus Kotor Grade D</t>
  </si>
  <si>
    <t>Karkas Uk 2.1 Karaks Uk 2.1 Frozen Kepala - Selang Leher Grade D</t>
  </si>
  <si>
    <t>Karkas Uk 2.1 Karkas Uk 2.1  Fresh HJA - Jantung Grade</t>
  </si>
  <si>
    <t>Karkas Uk 2.1 Karkas Uk 2.1 Fresh Ceker</t>
  </si>
  <si>
    <t>Karkas Uk 2.1 Karkas Uk 2.1 Fresh Ceker Grade D</t>
  </si>
  <si>
    <t>Karkas Uk 2.1 Karkas Uk 2.1 Fresh Grade A</t>
  </si>
  <si>
    <t>Karkas Uk 2.1 Karkas Uk 2.1 Fresh Grade B</t>
  </si>
  <si>
    <t>Karkas Uk 2.1 Karkas Uk 2.1 Fresh Grade C</t>
  </si>
  <si>
    <t>Karkas Uk 2.1 Karkas Uk 2.1 Fresh Grade D</t>
  </si>
  <si>
    <t>Karkas Uk 2.1 Karkas Uk 2.1 Fresh HJA</t>
  </si>
  <si>
    <t>Karkas Uk 2.1 Karkas Uk 2.1 Fresh Hja - Ampela</t>
  </si>
  <si>
    <t>Karkas Uk 2.1 Karkas Uk 2.1 Fresh HJA - Ampela Grade</t>
  </si>
  <si>
    <t>Karkas Uk 2.1 Karkas Uk 2.1 Fresh HJA - Ampela Grade D</t>
  </si>
  <si>
    <t>Karkas Uk 2.1 Karkas Uk 2.1 Fresh HJA - Hati</t>
  </si>
  <si>
    <t>Karkas Uk 2.1 Karkas Uk 2.1 Fresh HJA - Hati Grade</t>
  </si>
  <si>
    <t>Karkas Uk 2.1 Karkas Uk 2.1 Fresh HJA - Hati Grade D</t>
  </si>
  <si>
    <t>Karkas Uk 2.1 Karkas Uk 2.1 Fresh HJA - Jantung</t>
  </si>
  <si>
    <t>Karkas Uk 2.1 Karkas Uk 2.1 Fresh HJA - Jantung Grade D</t>
  </si>
  <si>
    <t>Karkas Uk 2.1 Karkas Uk 2.1 Fresh HJA Grade</t>
  </si>
  <si>
    <t>Karkas Uk 2.1 Karkas Uk 2.1 Fresh HJA Grade D</t>
  </si>
  <si>
    <t>Karkas Uk 2.1 Karkas Uk 2.1 Fresh Kepala</t>
  </si>
  <si>
    <t>Karkas Uk 2.1 Karkas Uk 2.1 fresh kepala - Batok kepala</t>
  </si>
  <si>
    <t>Karkas Uk 2.1 Karkas Uk 2.1 Fresh Kepala - Batok Kepala Grade D</t>
  </si>
  <si>
    <t>Karkas Uk 2.1 Karkas Uk 2.1 fresh kepala - Kulit Leher</t>
  </si>
  <si>
    <t>Karkas Uk 2.1 Karkas Uk 2.1 fresh kepala - Kulit Leher Grade D</t>
  </si>
  <si>
    <t>Karkas Uk 2.1 Karkas Uk 2.1 fresh kepala - Selang Leher</t>
  </si>
  <si>
    <t>Karkas Uk 2.1 Karkas Uk 2.1 Fresh kepala - Trimming Leher</t>
  </si>
  <si>
    <t>Karkas Uk 2.1 Karkas Uk 2.1 Fresh Kepala - Trimming Leher Grade D</t>
  </si>
  <si>
    <t>Karkas Uk 2.1 Karkas Uk 2.1 Fresh kepala - Tulang Leher</t>
  </si>
  <si>
    <t>Karkas Uk 2.1 Karkas Uk 2.1 fresh Kepala - Tulang Leher Grade D</t>
  </si>
  <si>
    <t>Karkas Uk 2.1 Karkas Uk 2.1 Fresh Kepala Grade D</t>
  </si>
  <si>
    <t>Karkas Uk 2.1 Karkas Uk 2.1 Fresh Kepala -Selang leher grade D</t>
  </si>
  <si>
    <t>Karkas Uk 2.1 Karkas Uk 2.1 Fresh Premium</t>
  </si>
  <si>
    <t>Karkas Uk 2.1 Karkas Uk 2.1 Fresh Usus Kotor</t>
  </si>
  <si>
    <t>Karkas Uk 2.1 Karkas Uk 2.1 Fresh Usus Kotor Grade D</t>
  </si>
  <si>
    <t>Karkas Uk 2.1 Karkas Uk 2.1 Frozen Ceker</t>
  </si>
  <si>
    <t>Karkas Uk 2.1 Karkas Uk 2.1 Frozen Ceker Grade D</t>
  </si>
  <si>
    <t>Karkas Uk 2.1 Karkas Uk 2.1 Frozen Grade A</t>
  </si>
  <si>
    <t>Karkas Uk 2.1 Karkas Uk 2.1 Frozen Grade B</t>
  </si>
  <si>
    <t>Karkas Uk 2.1 Karkas Uk 2.1 Frozen Grade C</t>
  </si>
  <si>
    <t>Karkas Uk 2.1 Karkas Uk 2.1 Frozen Grade D</t>
  </si>
  <si>
    <t>Karkas Uk 2.1 Karkas Uk 2.1 Frozen HJA</t>
  </si>
  <si>
    <t>Karkas Uk 2.1 Karkas Uk 2.1 Frozen HJA - Ampela</t>
  </si>
  <si>
    <t>Karkas Uk 2.1 Karkas Uk 2.1 Frozen HJA - Ampela Grade</t>
  </si>
  <si>
    <t>Karkas Uk 2.1 Karkas Uk 2.1 Frozen HJA - Hati</t>
  </si>
  <si>
    <t>Karkas Uk 2.1 Karkas Uk 2.1 Frozen HJA - Hati Grade</t>
  </si>
  <si>
    <t>Karkas Uk 2.1 Karkas Uk 2.1 Frozen HJA - Hati Grade D</t>
  </si>
  <si>
    <t>Karkas Uk 2.1 Karkas Uk 2.1 Frozen HJA - Jantung</t>
  </si>
  <si>
    <t>Karkas Uk 2.1 Karkas Uk 2.1 Frozen HJA - Jantung Grade</t>
  </si>
  <si>
    <t>Karkas Uk 2.1 Karkas Uk 2.1 Frozen HJA - Jantung Grade D</t>
  </si>
  <si>
    <t>Karkas Uk 2.1 Karkas Uk 2.1 Frozen Hja Grade</t>
  </si>
  <si>
    <t>Karkas Uk 2.1 Karkas Uk 2.1 Frozen HJA Grade D</t>
  </si>
  <si>
    <t>Karkas Uk 2.1 Karkas Uk 2.1 Frozen Kepala</t>
  </si>
  <si>
    <t>Karkas Uk 2.1 Karkas Uk 2.1 Frozen Kepala - Batok Kepala</t>
  </si>
  <si>
    <t>Karkas Uk 2.1 Karkas Uk 2.1 Frozen Kepala - Batok Kepala Grade D</t>
  </si>
  <si>
    <t>Karkas Uk 2.1 Karkas Uk 2.1 Frozen Kepala - Kulit Leher</t>
  </si>
  <si>
    <t>Karkas Uk 2.1 Karkas Uk 2.1 Frozen Kepala - Kulit Leher Grade D</t>
  </si>
  <si>
    <t>Karkas Uk 2.1 Karkas UK 2.1 Frozen Kepala - Selang Leher</t>
  </si>
  <si>
    <t>Karkas Uk 2.1 Karkas UK 2.1 Frozen Kepala - Trimming Leher</t>
  </si>
  <si>
    <t>Karkas Uk 2.1 Karkas Uk 2.1 Frozen Kepala - Trimming Leher Grade D</t>
  </si>
  <si>
    <t>Karkas Uk 2.1 Karkas Uk 2.1 Frozen Kepala - Tulang Leher</t>
  </si>
  <si>
    <t>Karkas Uk 2.1 Karkas Uk 2.1 Frozen Kepala - Tulang Leher Grade D</t>
  </si>
  <si>
    <t>Karkas Uk 2.1 Karkas UK 2.1 Frozen Kepala Grade D</t>
  </si>
  <si>
    <t>Karkas Uk 2.1 Karkas Uk 2.1 Frozen Premium</t>
  </si>
  <si>
    <t>Karkas Uk 2.1 Karkas Uk 2.1 Frozen Usus Kotor</t>
  </si>
  <si>
    <t>Karkas Uk 2.1 Karkas Uk 2.1 Frozen Usus Kotor Grade D</t>
  </si>
  <si>
    <t>Karkas Uk 2.2 Karaks Uk 2.2 Frozen Kepala - Selang Leher Grade D</t>
  </si>
  <si>
    <t>Karkas Uk 2.2 Karkas Uk 2.2  Fresh HJA - Jantung Grade</t>
  </si>
  <si>
    <t>Karkas Uk 2.2 Karkas Uk 2.2 Fresh Ceker</t>
  </si>
  <si>
    <t>Karkas Uk 2.2 Karkas Uk 2.2 Fresh Ceker Grade D</t>
  </si>
  <si>
    <t>Karkas Uk 2.2 Karkas Uk 2.2 Fresh Grade A</t>
  </si>
  <si>
    <t>Karkas Uk 2.2 Karkas Uk 2.2 Fresh Grade B</t>
  </si>
  <si>
    <t>Karkas Uk 2.2 Karkas Uk 2.2 Fresh Grade C</t>
  </si>
  <si>
    <t>Karkas Uk 2.2 Karkas Uk 2.2 Fresh Grade D</t>
  </si>
  <si>
    <t>Karkas Uk 2.2 Karkas Uk 2.2 Fresh HJA</t>
  </si>
  <si>
    <t>Karkas Uk 2.2 Karkas Uk 2.2 Fresh Hja - Ampela</t>
  </si>
  <si>
    <t>Karkas Uk 2.2 Karkas Uk 2.2 Fresh HJA - Ampela Grade</t>
  </si>
  <si>
    <t>Karkas Uk 2.2 Karkas Uk 2.2 Fresh HJA - Ampela Grade D</t>
  </si>
  <si>
    <t>Karkas Uk 2.2 Karkas Uk 2.2 Fresh HJA - Hati</t>
  </si>
  <si>
    <t>Karkas Uk 2.2 Karkas Uk 2.2 Fresh HJA - Hati Grade</t>
  </si>
  <si>
    <t>Karkas Uk 2.2 Karkas Uk 2.2 Fresh HJA - Hati Grade D</t>
  </si>
  <si>
    <t>Karkas Uk 2.2 Karkas Uk 2.2 Fresh HJA - Jantung</t>
  </si>
  <si>
    <t>Karkas Uk 2.2 Karkas Uk 2.2 Fresh HJA - Jantung Grade D</t>
  </si>
  <si>
    <t>Karkas Uk 2.2 Karkas Uk 2.2 Fresh HJA Grade</t>
  </si>
  <si>
    <t>Karkas Uk 2.2 Karkas Uk 2.2 Fresh HJA Grade D</t>
  </si>
  <si>
    <t>Karkas Uk 2.2 Karkas Uk 2.2 Fresh Kepala</t>
  </si>
  <si>
    <t>Karkas Uk 2.2 Karkas Uk 2.2 fresh kepala - Batok kepala</t>
  </si>
  <si>
    <t>Karkas Uk 2.2 Karkas Uk 2.2 Fresh Kepala - Batok Kepala Grade D</t>
  </si>
  <si>
    <t>Karkas Uk 2.2 Karkas Uk 2.2 fresh kepala - Kulit Leher</t>
  </si>
  <si>
    <t>Karkas Uk 2.2 Karkas Uk 2.2 fresh kepala - Kulit Leher Grade D</t>
  </si>
  <si>
    <t>Karkas Uk 2.2 Karkas Uk 2.2 fresh kepala - Selang Leher</t>
  </si>
  <si>
    <t>Karkas Uk 2.2 Karkas Uk 2.2 Fresh kepala - Trimming Leher</t>
  </si>
  <si>
    <t>Karkas Uk 2.2 Karkas Uk 2.2 Fresh Kepala - Trimming Leher Grade D</t>
  </si>
  <si>
    <t>Karkas Uk 2.2 Karkas Uk 2.2 Fresh kepala - Tulang Leher</t>
  </si>
  <si>
    <t>Karkas Uk 2.2 Karkas Uk 2.2 fresh Kepala - Tulang Leher Grade D</t>
  </si>
  <si>
    <t>Karkas Uk 2.2 Karkas Uk 2.2 Fresh Kepala Grade D</t>
  </si>
  <si>
    <t>Karkas Uk 2.2 Karkas Uk 2.2 Fresh Kepala -Selang leher grade D</t>
  </si>
  <si>
    <t>Karkas Uk 2.2 Karkas Uk 2.2 Fresh Premium</t>
  </si>
  <si>
    <t>Karkas Uk 2.2 Karkas Uk 2.2 Fresh Usus Kotor</t>
  </si>
  <si>
    <t>Karkas Uk 2.2 Karkas Uk 2.2 Fresh Usus Kotor Grade D</t>
  </si>
  <si>
    <t>Karkas Uk 2.2 Karkas Uk 2.2 Frozen Ceker</t>
  </si>
  <si>
    <t>Karkas Uk 2.2 Karkas Uk 2.2 Frozen Ceker Grade D</t>
  </si>
  <si>
    <t>Karkas Uk 2.2 Karkas Uk 2.2 Frozen Grade A</t>
  </si>
  <si>
    <t>Karkas Uk 2.2 Karkas Uk 2.2 Frozen Grade B</t>
  </si>
  <si>
    <t>Karkas Uk 2.2 Karkas Uk 2.2 Frozen Grade C</t>
  </si>
  <si>
    <t>Karkas Uk 2.2 Karkas Uk 2.2 Frozen Grade D</t>
  </si>
  <si>
    <t>Karkas Uk 2.2 Karkas Uk 2.2 Frozen HJA</t>
  </si>
  <si>
    <t>Karkas Uk 2.2 Karkas Uk 2.2 Frozen HJA - Ampela</t>
  </si>
  <si>
    <t>Karkas Uk 2.2 Karkas Uk 2.2 Frozen HJA - Ampela Grade</t>
  </si>
  <si>
    <t>Karkas Uk 2.2 Karkas Uk 2.2 Frozen HJA - Hati</t>
  </si>
  <si>
    <t>Karkas Uk 2.2 Karkas Uk 2.2 Frozen HJA - Hati Grade</t>
  </si>
  <si>
    <t>Karkas Uk 2.2 Karkas Uk 2.2 Frozen HJA - Hati Grade D</t>
  </si>
  <si>
    <t>Karkas Uk 2.2 Karkas Uk 2.2 Frozen HJA - Jantung</t>
  </si>
  <si>
    <t>Karkas Uk 2.2 Karkas Uk 2.2 Frozen HJA - Jantung Grade</t>
  </si>
  <si>
    <t>Karkas Uk 2.2 Karkas Uk 2.2 Frozen HJA - Jantung Grade D</t>
  </si>
  <si>
    <t>Karkas Uk 2.2 Karkas Uk 2.2 Frozen Hja Grade</t>
  </si>
  <si>
    <t>Karkas Uk 2.2 Karkas Uk 2.2 Frozen HJA Grade D</t>
  </si>
  <si>
    <t>Karkas Uk 2.2 Karkas Uk 2.2 Frozen Kepala</t>
  </si>
  <si>
    <t>Karkas Uk 2.2 Karkas Uk 2.2 Frozen Kepala - Batok Kepala</t>
  </si>
  <si>
    <t>Karkas Uk 2.2 Karkas Uk 2.2 Frozen Kepala - Batok Kepala Grade D</t>
  </si>
  <si>
    <t>Karkas Uk 2.2 Karkas Uk 2.2 Frozen Kepala - Kulit Leher</t>
  </si>
  <si>
    <t>Karkas Uk 2.2 Karkas Uk 2.2 Frozen Kepala - Kulit Leher Grade D</t>
  </si>
  <si>
    <t>Karkas Uk 2.2 Karkas UK 2.2 Frozen Kepala - Selang Leher</t>
  </si>
  <si>
    <t>Karkas Uk 2.2 Karkas UK 2.2 Frozen Kepala - Trimming Leher</t>
  </si>
  <si>
    <t>Karkas Uk 2.2 Karkas Uk 2.2 Frozen Kepala - Trimming Leher Grade D</t>
  </si>
  <si>
    <t>Karkas Uk 2.2 Karkas Uk 2.2 Frozen Kepala - Tulang Leher</t>
  </si>
  <si>
    <t>Karkas Uk 2.2 Karkas Uk 2.2 Frozen Kepala - Tulang Leher Grade D</t>
  </si>
  <si>
    <t>Karkas Uk 2.2 Karkas UK 2.2 Frozen Kepala Grade D</t>
  </si>
  <si>
    <t>Karkas Uk 2.2 Karkas Uk 2.2 Frozen Premium</t>
  </si>
  <si>
    <t>Karkas Uk 2.2 Karkas Uk 2.2 Frozen Usus Kotor</t>
  </si>
  <si>
    <t>Karkas Uk 2.2 Karkas Uk 2.2 Frozen Usus Kotor Grade D</t>
  </si>
  <si>
    <t>Karkas Uk 2.3 Karaks Uk 2.3 Frozen Kepala - Selang Leher Grade D</t>
  </si>
  <si>
    <t>Karkas Uk 2.3 Karkas Uk 2.3  Fresh HJA - Jantung Grade</t>
  </si>
  <si>
    <t>Karkas Uk 2.3 Karkas Uk 2.3 Fresh Ceker</t>
  </si>
  <si>
    <t>Karkas Uk 2.3 Karkas Uk 2.3 Fresh Ceker Grade D</t>
  </si>
  <si>
    <t>Karkas Uk 2.3 Karkas Uk 2.3 Fresh Grade A</t>
  </si>
  <si>
    <t>Karkas Uk 2.3 Karkas Uk 2.3 Fresh Grade B</t>
  </si>
  <si>
    <t>Karkas Uk 2.3 Karkas Uk 2.3 Fresh Grade C</t>
  </si>
  <si>
    <t>Karkas Uk 2.3 Karkas Uk 2.3 Fresh Grade D</t>
  </si>
  <si>
    <t>Karkas Uk 2.3 Karkas Uk 2.3 Fresh HJA</t>
  </si>
  <si>
    <t>Karkas Uk 2.3 Karkas Uk 2.3 Fresh Hja - Ampela</t>
  </si>
  <si>
    <t>Karkas Uk 2.3 Karkas Uk 2.3 Fresh HJA - Ampela Grade</t>
  </si>
  <si>
    <t>Karkas Uk 2.3 Karkas Uk 2.3 Fresh HJA - Ampela Grade D</t>
  </si>
  <si>
    <t>Karkas Uk 2.3 Karkas Uk 2.3 Fresh HJA - Hati</t>
  </si>
  <si>
    <t>Karkas Uk 2.3 Karkas Uk 2.3 Fresh HJA - Hati Grade</t>
  </si>
  <si>
    <t>Karkas Uk 2.3 Karkas Uk 2.3 Fresh HJA - Hati Grade D</t>
  </si>
  <si>
    <t>Karkas Uk 2.3 Karkas Uk 2.3 Fresh HJA - Jantung</t>
  </si>
  <si>
    <t>Karkas Uk 2.3 Karkas Uk 2.3 Fresh HJA - Jantung Grade D</t>
  </si>
  <si>
    <t>Karkas Uk 2.3 Karkas Uk 2.3 Fresh HJA Grade</t>
  </si>
  <si>
    <t>Karkas Uk 2.3 Karkas Uk 2.3 Fresh HJA Grade D</t>
  </si>
  <si>
    <t>Karkas Uk 2.3 Karkas Uk 2.3 Fresh Kepala</t>
  </si>
  <si>
    <t>Karkas Uk 2.3 Karkas Uk 2.3 fresh kepala - Batok kepala</t>
  </si>
  <si>
    <t>Karkas Uk 2.3 Karkas Uk 2.3 Fresh Kepala - Batok Kepala Grade D</t>
  </si>
  <si>
    <t>Karkas Uk 2.3 Karkas Uk 2.3 fresh kepala - Kulit Leher</t>
  </si>
  <si>
    <t>Karkas Uk 2.3 Karkas Uk 2.3 fresh kepala - Kulit Leher Grade D</t>
  </si>
  <si>
    <t>Karkas Uk 2.3 Karkas Uk 2.3 fresh kepala - Selang Leher</t>
  </si>
  <si>
    <t>Karkas Uk 2.3 Karkas Uk 2.3 Fresh kepala - Trimming Leher</t>
  </si>
  <si>
    <t>Karkas Uk 2.3 Karkas Uk 2.3 Fresh Kepala - Trimming Leher Grade D</t>
  </si>
  <si>
    <t>Karkas Uk 2.3 Karkas Uk 2.3 Fresh kepala - Tulang Leher</t>
  </si>
  <si>
    <t>Karkas Uk 2.3 Karkas Uk 2.3 Fresh Kepala - Tulang Leher Grade D</t>
  </si>
  <si>
    <t>Karkas Uk 2.3 Karkas Uk 2.3 Fresh Kepala Grade D</t>
  </si>
  <si>
    <t>Karkas Uk 2.3 Karkas Uk 2.3 Fresh Kepala -Selang leher grade D</t>
  </si>
  <si>
    <t>Karkas Uk 2.3 Karkas Uk 2.3 Fresh Premium</t>
  </si>
  <si>
    <t>Karkas Uk 2.3 Karkas Uk 2.3 Fresh Usus Kotor</t>
  </si>
  <si>
    <t>Karkas Uk 2.3 Karkas Uk 2.3 Fresh Usus Kotor Grade D</t>
  </si>
  <si>
    <t>Karkas Uk 2.3 Karkas Uk 2.3 Frozen Ceker</t>
  </si>
  <si>
    <t>Karkas Uk 2.3 Karkas Uk 2.3 Frozen Ceker Grade D</t>
  </si>
  <si>
    <t>Karkas Uk 2.3 Karkas Uk 2.3 Frozen Grade A</t>
  </si>
  <si>
    <t>Karkas Uk 2.3 Karkas Uk 2.3 Frozen Grade B</t>
  </si>
  <si>
    <t>Karkas Uk 2.3 Karkas Uk 2.3 Frozen Grade C</t>
  </si>
  <si>
    <t>Karkas Uk 2.3 Karkas Uk 2.3 Frozen Grade D</t>
  </si>
  <si>
    <t>Karkas Uk 2.3 Karkas Uk 2.3 Frozen HJA</t>
  </si>
  <si>
    <t>Karkas Uk 2.3 Karkas Uk 2.3 Frozen HJA - Ampela</t>
  </si>
  <si>
    <t>Karkas Uk 2.3 Karkas Uk 2.3 Frozen HJA - Ampela Grade</t>
  </si>
  <si>
    <t>Karkas Uk 2.3 Karkas Uk 2.3 Frozen HJA - Hati</t>
  </si>
  <si>
    <t>Karkas Uk 2.3 Karkas Uk 2.3 Frozen HJA - Hati Grade</t>
  </si>
  <si>
    <t>Karkas Uk 2.3 Karkas Uk 2.3 Frozen HJA - Hati Grade D</t>
  </si>
  <si>
    <t>Karkas Uk 2.3 Karkas Uk 2.3 Frozen HJA - Jantung</t>
  </si>
  <si>
    <t>Karkas Uk 2.3 Karkas Uk 2.3 Frozen HJA - Jantung Grade</t>
  </si>
  <si>
    <t>Karkas Uk 2.3 Karkas Uk 2.3 Frozen HJA - Jantung Grade D</t>
  </si>
  <si>
    <t>Karkas Uk 2.3 Karkas Uk 2.3 Frozen Hja Grade</t>
  </si>
  <si>
    <t>Karkas Uk 2.3 Karkas Uk 2.3 Frozen HJA Grade D</t>
  </si>
  <si>
    <t>Karkas Uk 2.3 Karkas Uk 2.3 Frozen Kepala</t>
  </si>
  <si>
    <t>Karkas Uk 2.3 Karkas Uk 2.3 Frozen Kepala - Batok Kepala</t>
  </si>
  <si>
    <t>Karkas Uk 2.3 Karkas Uk 2.3 Frozen Kepala - Batok Kepala Grade D</t>
  </si>
  <si>
    <t>Karkas Uk 2.3 Karkas Uk 2.3 Frozen Kepala - Kulit Leher</t>
  </si>
  <si>
    <t>Karkas Uk 2.3 Karkas Uk 2.3 Frozen Kepala - Kulit Leher Grade D</t>
  </si>
  <si>
    <t>Karkas Uk 2.3 Karkas UK 2.3 Frozen Kepala - Selang Leher</t>
  </si>
  <si>
    <t>Karkas Uk 2.3 Karkas UK 2.3 Frozen Kepala - Trimming Leher</t>
  </si>
  <si>
    <t>Karkas Uk 2.3 Karkas Uk 2.3 Frozen Kepala - Trimming Leher Grade D</t>
  </si>
  <si>
    <t>Karkas Uk 2.3 Karkas Uk 2.3 Frozen Kepala - Tulang Leher</t>
  </si>
  <si>
    <t>Karkas Uk 2.3 Karkas Uk 2.3 Frozen Kepala - Tulang Leher Grade D</t>
  </si>
  <si>
    <t>Karkas Uk 2.3 Karkas UK 2.3 Frozen Kepala Grade D</t>
  </si>
  <si>
    <t>Karkas Uk 2.3 Karkas Uk 2.3 Frozen Premium</t>
  </si>
  <si>
    <t>Karkas Uk 2.3 Karkas Uk 2.3 Frozen Usus Kotor</t>
  </si>
  <si>
    <t>Karkas Uk 2.3 Karkas Uk 2.3 Frozen Usus Kotor Grade D</t>
  </si>
  <si>
    <t>Karkas Uk 2.4 Karaks Uk 2.4 Frozen Kepala - Selang Leher Grade D</t>
  </si>
  <si>
    <t>Karkas Uk 2.4 Karkas Uk 2.4  Fresh HJA - Jantung Grade</t>
  </si>
  <si>
    <t>Karkas Uk 2.4 Karkas Uk 2.4 Fresh Ceker</t>
  </si>
  <si>
    <t>Karkas Uk 2.4 Karkas Uk 2.4 Fresh Ceker Grade D</t>
  </si>
  <si>
    <t>Karkas Uk 2.4 Karkas Uk 2.4 Fresh Grade A</t>
  </si>
  <si>
    <t>Karkas Uk 2.4 Karkas Uk 2.4 Fresh Grade B</t>
  </si>
  <si>
    <t>Karkas Uk 2.4 Karkas Uk 2.4 Fresh Grade C</t>
  </si>
  <si>
    <t>Karkas Uk 2.4 Karkas Uk 2.4 Fresh Grade D</t>
  </si>
  <si>
    <t>Karkas Uk 2.4 Karkas Uk 2.4 Fresh HJA</t>
  </si>
  <si>
    <t>Karkas Uk 2.4 Karkas Uk 2.4 Fresh Hja - Ampela</t>
  </si>
  <si>
    <t>Karkas Uk 2.4 Karkas Uk 2.4 Fresh HJA - Ampela Grade</t>
  </si>
  <si>
    <t>Karkas Uk 2.4 Karkas Uk 2.4 Fresh HJA - Ampela Grade D</t>
  </si>
  <si>
    <t>Karkas Uk 2.4 Karkas Uk 2.4 Fresh HJA - Hati</t>
  </si>
  <si>
    <t>Karkas Uk 2.4 Karkas Uk 2.4 Fresh HJA - Hati Grade</t>
  </si>
  <si>
    <t>Karkas Uk 2.4 Karkas Uk 2.4 Fresh HJA - Hati Grade D</t>
  </si>
  <si>
    <t>Karkas Uk 2.4 Karkas Uk 2.4 Fresh HJA - Jantung</t>
  </si>
  <si>
    <t>Karkas Uk 2.4 Karkas Uk 2.4 Fresh HJA - Jantung Grade D</t>
  </si>
  <si>
    <t>Karkas Uk 2.4 Karkas Uk 2.4 Fresh HJA Grade</t>
  </si>
  <si>
    <t>Karkas Uk 2.4 Karkas Uk 2.4 Fresh HJA Grade D</t>
  </si>
  <si>
    <t>Karkas Uk 2.4 Karkas Uk 2.4 Fresh Kepala</t>
  </si>
  <si>
    <t>Karkas Uk 2.4 Karkas Uk 2.4 fresh kepala - Batok kepala</t>
  </si>
  <si>
    <t>Karkas Uk 2.4 Karkas Uk 2.4 Fresh Kepala - Batok Kepala Grade D</t>
  </si>
  <si>
    <t>Karkas Uk 2.4 Karkas Uk 2.4 fresh kepala - Kulit Leher</t>
  </si>
  <si>
    <t>Karkas Uk 2.4 Karkas Uk 2.4 fresh kepala - Kulit Leher Grade D</t>
  </si>
  <si>
    <t>Karkas Uk 2.4 Karkas Uk 2.4 fresh kepala - Selang Leher</t>
  </si>
  <si>
    <t>Karkas Uk 2.4 Karkas Uk 2.4 Fresh kepala - Trimming Leher</t>
  </si>
  <si>
    <t>Karkas Uk 2.4 Karkas Uk 2.4 Fresh Kepala - Trimming Leher Grade D</t>
  </si>
  <si>
    <t>Karkas Uk 2.4 Karkas Uk 2.4 Fresh kepala - Tulang Leher</t>
  </si>
  <si>
    <t>Karkas Uk 2.4 Karkas Uk 2.4 fresh Kepala - Tulang Leher Grade D</t>
  </si>
  <si>
    <t>Karkas Uk 2.4 Karkas Uk 2.4 Fresh Kepala Grade D</t>
  </si>
  <si>
    <t>Karkas Uk 2.4 Karkas Uk 2.4 Fresh Kepala -Selang leher grade D</t>
  </si>
  <si>
    <t>Karkas Uk 2.4 Karkas Uk 2.4 Fresh Premium</t>
  </si>
  <si>
    <t>Karkas Uk 2.4 Karkas Uk 2.4 Fresh Usus Kotor</t>
  </si>
  <si>
    <t>Karkas Uk 2.4 Karkas Uk 2.4 Fresh Usus Kotor Grade D</t>
  </si>
  <si>
    <t>Karkas Uk 2.4 Karkas Uk 2.4 Frozen Ceker</t>
  </si>
  <si>
    <t>Karkas Uk 2.4 Karkas Uk 2.4 Frozen Ceker Grade D</t>
  </si>
  <si>
    <t>Karkas Uk 2.4 Karkas Uk 2.4 Frozen Grade A</t>
  </si>
  <si>
    <t>Karkas Uk 2.4 Karkas Uk 2.4 Frozen Grade B</t>
  </si>
  <si>
    <t>Karkas Uk 2.4 Karkas Uk 2.4 Frozen Grade C</t>
  </si>
  <si>
    <t>Karkas Uk 2.4 Karkas Uk 2.4 Frozen Grade D</t>
  </si>
  <si>
    <t>Karkas Uk 2.4 Karkas Uk 2.4 Frozen HJA</t>
  </si>
  <si>
    <t>Karkas Uk 2.4 Karkas Uk 2.4 Frozen HJA - Ampela</t>
  </si>
  <si>
    <t>Karkas Uk 2.4 Karkas Uk 2.4 Frozen HJA - Ampela Grade</t>
  </si>
  <si>
    <t>Karkas Uk 2.4 Karkas Uk 2.4 Frozen HJA - Hati</t>
  </si>
  <si>
    <t>Karkas Uk 2.4 Karkas Uk 2.4 Frozen HJA - Hati Grade</t>
  </si>
  <si>
    <t>Karkas Uk 2.4 Karkas Uk 2.4 Frozen HJA - Hati Grade D</t>
  </si>
  <si>
    <t>Karkas Uk 2.4 Karkas Uk 2.4 Frozen HJA - Jantung</t>
  </si>
  <si>
    <t>Karkas Uk 2.4 Karkas Uk 2.4 Frozen HJA - Jantung Grade</t>
  </si>
  <si>
    <t>Karkas Uk 2.4 Karkas Uk 2.4 Frozen HJA - Jantung Grade D</t>
  </si>
  <si>
    <t>Karkas Uk 2.4 Karkas Uk 2.4 Frozen Hja Grade</t>
  </si>
  <si>
    <t>Karkas Uk 2.4 Karkas Uk 2.4 Frozen HJA Grade D</t>
  </si>
  <si>
    <t>Karkas Uk 2.4 Karkas Uk 2.4 Frozen Kepala</t>
  </si>
  <si>
    <t>Karkas Uk 2.4 Karkas Uk 2.4 Frozen Kepala - Batok Kepala</t>
  </si>
  <si>
    <t>Karkas Uk 2.4 Karkas Uk 2.4 Frozen Kepala - Batok Kepala Grade D</t>
  </si>
  <si>
    <t>Karkas Uk 2.4 Karkas Uk 2.4 Frozen Kepala - Kulit Leher</t>
  </si>
  <si>
    <t>Karkas Uk 2.4 Karkas Uk 2.4 Frozen Kepala - Kulit Leher Grade D</t>
  </si>
  <si>
    <t>Karkas Uk 2.4 Karkas UK 2.4 Frozen Kepala - Selang Leher</t>
  </si>
  <si>
    <t>Karkas Uk 2.4 Karkas UK 2.4 Frozen Kepala - Trimming Leher</t>
  </si>
  <si>
    <t>Karkas Uk 2.4 Karkas Uk 2.4 Frozen Kepala - Trimming Leher Grade D</t>
  </si>
  <si>
    <t>Karkas Uk 2.4 Karkas Uk 2.4 Frozen Kepala - Tulang Leher</t>
  </si>
  <si>
    <t>Karkas Uk 2.4 Karkas Uk 2.4 Frozen Kepala - Tulang Leher Grade D</t>
  </si>
  <si>
    <t>Karkas Uk 2.4 Karkas UK 2.4 Frozen Kepala Grade D</t>
  </si>
  <si>
    <t>Karkas Uk 2.4 Karkas Uk 2.4 Frozen Premium</t>
  </si>
  <si>
    <t>Karkas Uk 2.4 Karkas Uk 2.4 Frozen Usus Kotor</t>
  </si>
  <si>
    <t>Karkas Uk 2.4 Karkas Uk 2.4 Frozen Usus Kotor Grade D</t>
  </si>
  <si>
    <t>Karkas Uk 2.5 Karaks Uk 2.5 Frozen Kepala - Selang Leher Grade D</t>
  </si>
  <si>
    <t>Karkas Uk 2.5 Karkas Uk 2.5  Fresh HJA - Jantung Grade</t>
  </si>
  <si>
    <t>Karkas Uk 2.5 Karkas Uk 2.5 Fresh Ceker</t>
  </si>
  <si>
    <t>Karkas Uk 2.5 Karkas Uk 2.5 Fresh Ceker Grade D</t>
  </si>
  <si>
    <t>Karkas Uk 2.5 Karkas Uk 2.5 Fresh Grade A</t>
  </si>
  <si>
    <t>Karkas Uk 2.5 Karkas Uk 2.5 Fresh Grade B</t>
  </si>
  <si>
    <t>Karkas Uk 2.5 Karkas Uk 2.5 Fresh Grade C</t>
  </si>
  <si>
    <t>Karkas Uk 2.5 Karkas Uk 2.5 Fresh Grade D</t>
  </si>
  <si>
    <t>Karkas Uk 2.5 Karkas Uk 2.5 Fresh HJA</t>
  </si>
  <si>
    <t>Karkas Uk 2.5 Karkas Uk 2.5 Fresh Hja - Ampela</t>
  </si>
  <si>
    <t>Karkas Uk 2.5 Karkas Uk 2.5 Fresh HJA - Ampela Grade</t>
  </si>
  <si>
    <t>Karkas Uk 2.5 Karkas Uk 2.5 Fresh HJA - Ampela Grade D</t>
  </si>
  <si>
    <t>Karkas Uk 2.5 Karkas Uk 2.5 Fresh HJA - Hati</t>
  </si>
  <si>
    <t>Karkas Uk 2.5 Karkas Uk 2.5 Fresh HJA - Hati Grade</t>
  </si>
  <si>
    <t>Karkas Uk 2.5 Karkas Uk 2.5 Fresh HJA - Hati Grade D</t>
  </si>
  <si>
    <t>Karkas Uk 2.5 Karkas Uk 2.5 Fresh HJA - Jantung</t>
  </si>
  <si>
    <t>Karkas Uk 2.5 Karkas Uk 2.5 Fresh HJA - Jantung Grade D</t>
  </si>
  <si>
    <t>Karkas Uk 2.5 Karkas Uk 2.5 Fresh HJA Grade</t>
  </si>
  <si>
    <t>Karkas Uk 2.5 Karkas Uk 2.5 Fresh HJA Grade D</t>
  </si>
  <si>
    <t>Karkas Uk 2.5 Karkas Uk 2.5 Fresh Kepala</t>
  </si>
  <si>
    <t>Karkas Uk 2.5 Karkas Uk 2.5 fresh kepala - Batok kepala</t>
  </si>
  <si>
    <t>Karkas Uk 2.5 Karkas Uk 2.5 Fresh Kepala - Batok Kepala Grade D</t>
  </si>
  <si>
    <t>Karkas Uk 2.5 Karkas Uk 2.5 fresh kepala - Kulit Leher</t>
  </si>
  <si>
    <t>Karkas Uk 2.5 Karkas Uk 2.5 fresh kepala - Kulit Leher Grade D</t>
  </si>
  <si>
    <t>Karkas Uk 2.5 Karkas Uk 2.5 fresh kepala - Selang Leher</t>
  </si>
  <si>
    <t>Karkas Uk 2.5 Karkas Uk 2.5 Fresh kepala - Trimming Leher</t>
  </si>
  <si>
    <t>Karkas Uk 2.5 Karkas Uk 2.5 Fresh Kepala - Trimming Leher Grade D</t>
  </si>
  <si>
    <t>Karkas Uk 2.5 Karkas Uk 2.5 Fresh kepala - Tulang Leher</t>
  </si>
  <si>
    <t>Karkas Uk 2.5 Karkas Uk 2.5 fresh Kepala - Tulang Leher Grade D</t>
  </si>
  <si>
    <t>Karkas Uk 2.5 Karkas Uk 2.5 Fresh Kepala Grade D</t>
  </si>
  <si>
    <t>Karkas Uk 2.5 Karkas Uk 2.5 Fresh Kepala -Selang leher grade D</t>
  </si>
  <si>
    <t>Karkas Uk 2.5 Karkas Uk 2.5 Fresh Premium</t>
  </si>
  <si>
    <t>Karkas Uk 2.5 Karkas Uk 2.5 Fresh Usus Kotor</t>
  </si>
  <si>
    <t>Karkas Uk 2.5 Karkas Uk 2.5 Fresh Usus Kotor Grade D</t>
  </si>
  <si>
    <t>Karkas Uk 2.5 Karkas Uk 2.5 Frozen Ceker</t>
  </si>
  <si>
    <t>Karkas Uk 2.5 Karkas Uk 2.5 Frozen Ceker Grade D</t>
  </si>
  <si>
    <t>Karkas Uk 2.5 Karkas Uk 2.5 Frozen Grade A</t>
  </si>
  <si>
    <t>Karkas Uk 2.5 Karkas Uk 2.5 Frozen Grade B</t>
  </si>
  <si>
    <t>Karkas Uk 2.5 Karkas Uk 2.5 Frozen Grade C</t>
  </si>
  <si>
    <t>Karkas Uk 2.5 Karkas Uk 2.5 Frozen Grade D</t>
  </si>
  <si>
    <t>Karkas Uk 2.5 Karkas Uk 2.5 Frozen HJA</t>
  </si>
  <si>
    <t>Karkas Uk 2.5 Karkas Uk 2.5 Frozen HJA - Ampela</t>
  </si>
  <si>
    <t>Karkas Uk 2.5 Karkas Uk 2.5 Frozen HJA - Ampela Grade</t>
  </si>
  <si>
    <t>Karkas Uk 2.5 Karkas Uk 2.5 Frozen HJA - Hati</t>
  </si>
  <si>
    <t>Karkas Uk 2.5 Karkas Uk 2.5 Frozen HJA - Hati Grade</t>
  </si>
  <si>
    <t>Karkas Uk 2.5 Karkas Uk 2.5 Frozen HJA - Hati Grade D</t>
  </si>
  <si>
    <t>Karkas Uk 2.5 Karkas Uk 2.5 Frozen HJA - Jantung</t>
  </si>
  <si>
    <t>Karkas Uk 2.5 Karkas Uk 2.5 Frozen HJA - Jantung Grade</t>
  </si>
  <si>
    <t>Karkas Uk 2.5 Karkas Uk 2.5 Frozen HJA - Jantung Grade D</t>
  </si>
  <si>
    <t>Karkas Uk 2.5 Karkas Uk 2.5 Frozen Hja Grade</t>
  </si>
  <si>
    <t>Karkas Uk 2.5 Karkas Uk 2.5 Frozen HJA Grade D</t>
  </si>
  <si>
    <t>Karkas Uk 2.5 Karkas Uk 2.5 Frozen Kepala</t>
  </si>
  <si>
    <t>Karkas Uk 2.5 Karkas Uk 2.5 Frozen Kepala - Batok Kepala</t>
  </si>
  <si>
    <t>Karkas Uk 2.5 Karkas Uk 2.5 Frozen Kepala - Batok Kepala Grade D</t>
  </si>
  <si>
    <t>Karkas Uk 2.5 Karkas Uk 2.5 Frozen Kepala - Kulit Leher</t>
  </si>
  <si>
    <t>Karkas Uk 2.5 Karkas Uk 2.5 Frozen Kepala - Kulit Leher Grade D</t>
  </si>
  <si>
    <t>Karkas Uk 2.5 Karkas UK 2.5 Frozen Kepala - Selang Leher</t>
  </si>
  <si>
    <t>Karkas Uk 2.5 Karkas UK 2.5 Frozen Kepala - Trimming Leher</t>
  </si>
  <si>
    <t>Karkas Uk 2.5 Karkas Uk 2.5 Frozen Kepala - Trimming Leher Grade D</t>
  </si>
  <si>
    <t>Karkas Uk 2.5 Karkas Uk 2.5 Frozen Kepala - Tulang Leher</t>
  </si>
  <si>
    <t>Karkas Uk 2.5 Karkas Uk 2.5 Frozen Kepala - Tulang Leher Grade D</t>
  </si>
  <si>
    <t>Karkas Uk 2.5 Karkas UK 2.5 Frozen Kepala Grade D</t>
  </si>
  <si>
    <t>Karkas Uk 2.5 Karkas Uk 2.5 Frozen Premium</t>
  </si>
  <si>
    <t>Karkas Uk 2.5 Karkas Uk 2.5 Frozen Usus Kotor</t>
  </si>
  <si>
    <t>Karkas Uk 2.5 Karkas Uk 2.5 Frozen Usus Kotor Grade D</t>
  </si>
  <si>
    <t>Karkas Uk 2.6 Karaks Uk 2.6 Frozen Kepala - Selang Leher Grade D</t>
  </si>
  <si>
    <t>Karkas Uk 2.6 Karkas Uk 2.6 Fresh Ceker</t>
  </si>
  <si>
    <t>Karkas Uk 2.6 Karkas Uk 2.6 Fresh Ceker Grade D</t>
  </si>
  <si>
    <t>Karkas Uk 2.6 Karkas Uk 2.6 Fresh Grade A</t>
  </si>
  <si>
    <t>Karkas Uk 2.6 Karkas Uk 2.6 Fresh Grade B</t>
  </si>
  <si>
    <t>Karkas Uk 2.6 Karkas Uk 2.6 Fresh Grade C</t>
  </si>
  <si>
    <t>Karkas Uk 2.6 Karkas Uk 2.6 Fresh Grade D</t>
  </si>
  <si>
    <t>Karkas Uk 2.6 Karkas Uk 2.6 Fresh HJA</t>
  </si>
  <si>
    <t>Karkas Uk 2.6 Karkas Uk 2.6 Fresh Hja - Ampela</t>
  </si>
  <si>
    <t>Karkas Uk 2.6 Karkas Uk 2.6 Fresh HJA - Ampela Grade</t>
  </si>
  <si>
    <t>Karkas Uk 2.6 Karkas Uk 2.6 Fresh HJA - Ampela Grade D</t>
  </si>
  <si>
    <t>Karkas Uk 2.6 Karkas Uk 2.6 Fresh HJA - Hati</t>
  </si>
  <si>
    <t>Karkas Uk 2.6 Karkas Uk 2.6 Fresh HJA - Hati Grade</t>
  </si>
  <si>
    <t>Karkas Uk 2.6 Karkas Uk 2.6 Fresh HJA - Hati Grade D</t>
  </si>
  <si>
    <t>Karkas Uk 2.6 Karkas Uk 2.6 Fresh HJA - Jantung</t>
  </si>
  <si>
    <t>Karkas Uk 2.6 Karkas Uk 2.6 Fresh HJA - Jantung Grade</t>
  </si>
  <si>
    <t>Karkas Uk 2.6 Karkas Uk 2.6 Fresh HJA - Jantung Grade D</t>
  </si>
  <si>
    <t>Karkas Uk 2.6 Karkas Uk 2.6 Fresh HJA Grade</t>
  </si>
  <si>
    <t>Karkas Uk 2.6 Karkas Uk 2.6 Fresh HJA Grade D</t>
  </si>
  <si>
    <t>Karkas Uk 2.6 Karkas Uk 2.6 Fresh Kepala</t>
  </si>
  <si>
    <t>Karkas Uk 2.6 Karkas Uk 2.6 fresh kepala - Batok kepala</t>
  </si>
  <si>
    <t>Karkas Uk 2.6 Karkas Uk 2.6 Fresh Kepala - Batok Kepala Grade D</t>
  </si>
  <si>
    <t>Karkas Uk 2.6 Karkas Uk 2.6 fresh kepala - Kulit Leher</t>
  </si>
  <si>
    <t>Karkas Uk 2.6 Karkas Uk 2.6 fresh kepala - Kulit Leher Grade D</t>
  </si>
  <si>
    <t>Karkas Uk 2.6 Karkas Uk 2.6 fresh kepala - Selang Leher</t>
  </si>
  <si>
    <t>Karkas Uk 2.6 Karkas Uk 2.6 Fresh kepala - Trimming Leher</t>
  </si>
  <si>
    <t>Karkas Uk 2.6 Karkas Uk 2.6 Fresh Kepala - Trimming Leher Grade D</t>
  </si>
  <si>
    <t>Karkas Uk 2.6 Karkas Uk 2.6 Fresh kepala - Tulang Leher</t>
  </si>
  <si>
    <t>Karkas Uk 2.6 Karkas Uk 2.6 fresh Kepala - Tulang Leher Grade D</t>
  </si>
  <si>
    <t>Karkas Uk 2.6 Karkas Uk 2.6 Fresh Kepala Grade D</t>
  </si>
  <si>
    <t>Karkas Uk 2.6 Karkas Uk 2.6 Fresh Kepala -Selang leher grade D</t>
  </si>
  <si>
    <t>Karkas Uk 2.6 Karkas Uk 2.6 Fresh Premium</t>
  </si>
  <si>
    <t>Karkas Uk 2.6 Karkas Uk 2.6 Fresh Usus Kotor</t>
  </si>
  <si>
    <t>Karkas Uk 2.6 Karkas Uk 2.6 Fresh Usus Kotor Grade D</t>
  </si>
  <si>
    <t>Karkas Uk 2.6 Karkas Uk 2.6 Frozen Ceker</t>
  </si>
  <si>
    <t>Karkas Uk 2.6 Karkas Uk 2.6 Frozen Ceker Grade D</t>
  </si>
  <si>
    <t>Karkas Uk 2.6 Karkas Uk 2.6 Frozen Grade A</t>
  </si>
  <si>
    <t>Karkas Uk 2.6 Karkas Uk 2.6 Frozen Grade B</t>
  </si>
  <si>
    <t>Karkas Uk 2.6 Karkas Uk 2.6 Frozen Grade C</t>
  </si>
  <si>
    <t>Karkas Uk 2.6 Karkas Uk 2.6 Frozen Grade D</t>
  </si>
  <si>
    <t>Karkas Uk 2.6 Karkas Uk 2.6 Frozen HJA</t>
  </si>
  <si>
    <t>Karkas Uk 2.6 Karkas Uk 2.6 Frozen HJA - Ampela</t>
  </si>
  <si>
    <t>Karkas Uk 2.6 Karkas Uk 2.6 Frozen HJA - Ampela Grade</t>
  </si>
  <si>
    <t>Karkas Uk 2.6 Karkas Uk 2.6 Frozen HJA - Hati</t>
  </si>
  <si>
    <t>Karkas Uk 2.6 Karkas Uk 2.6 Frozen HJA - Hati Grade</t>
  </si>
  <si>
    <t>Karkas Uk 2.6 Karkas Uk 2.6 Frozen HJA - Hati Grade D</t>
  </si>
  <si>
    <t>Karkas Uk 2.6 Karkas Uk 2.6 Frozen HJA - Jantung</t>
  </si>
  <si>
    <t>Karkas Uk 2.6 Karkas Uk 2.6 Frozen HJA - Jantung Grade</t>
  </si>
  <si>
    <t>Karkas Uk 2.6 Karkas Uk 2.6 Frozen HJA - Jantung Grade D</t>
  </si>
  <si>
    <t>Karkas Uk 2.6 Karkas Uk 2.6 Frozen Hja Grade</t>
  </si>
  <si>
    <t>Karkas Uk 2.6 Karkas Uk 2.6 Frozen HJA Grade D</t>
  </si>
  <si>
    <t>Karkas Uk 2.6 Karkas Uk 2.6 Frozen Kepala</t>
  </si>
  <si>
    <t>Karkas Uk 2.6 Karkas Uk 2.6 Frozen Kepala - Batok Kepala</t>
  </si>
  <si>
    <t>Karkas Uk 2.6 Karkas Uk 2.6 Frozen Kepala - Batok Kepala Grade D</t>
  </si>
  <si>
    <t>Karkas Uk 2.6 Karkas Uk 2.6 Frozen Kepala - Kulit Leher</t>
  </si>
  <si>
    <t>Karkas Uk 2.6 Karkas Uk 2.6 Frozen Kepala - Kulit Leher Grade D</t>
  </si>
  <si>
    <t>Karkas Uk 2.6 Karkas UK 2.6 Frozen Kepala - Selang Leher</t>
  </si>
  <si>
    <t>Karkas Uk 2.6 Karkas UK 2.6 Frozen Kepala - Trimming Leher</t>
  </si>
  <si>
    <t>Karkas Uk 2.6 Karkas Uk 2.6 Frozen Kepala - Trimming Leher Grade D</t>
  </si>
  <si>
    <t>Karkas Uk 2.6 Karkas Uk 2.6 Frozen Kepala - Tulang Leher</t>
  </si>
  <si>
    <t>Karkas Uk 2.6 Karkas Uk 2.6 Frozen Kepala - Tulang Leher Grade D</t>
  </si>
  <si>
    <t>Karkas Uk 2.6 Karkas UK 2.6 Frozen Kepala Grade D</t>
  </si>
  <si>
    <t>Karkas Uk 2.6 Karkas Uk 2.6 Frozen Premium</t>
  </si>
  <si>
    <t>Karkas Uk 2.6 Karkas Uk 2.6 Frozen Usus Kotor</t>
  </si>
  <si>
    <t>Karkas Uk 2.6 Karkas Uk 2.6 Frozen Usus Kotor Grade D</t>
  </si>
  <si>
    <t>Karkas Uk 2.7 Karaks Uk 2.7 Frozen Kepala - Selang Leher Grade D</t>
  </si>
  <si>
    <t>Karkas Uk 2.7 Karkas Uk 2.7 Fresh Ceker</t>
  </si>
  <si>
    <t>Karkas Uk 2.7 Karkas Uk 2.7 Fresh Ceker Grade D</t>
  </si>
  <si>
    <t>Karkas Uk 2.7 Karkas Uk 2.7 Fresh Grade A</t>
  </si>
  <si>
    <t>Karkas Uk 2.7 Karkas Uk 2.7 Fresh Grade B</t>
  </si>
  <si>
    <t>Karkas Uk 2.7 Karkas Uk 2.7 Fresh Grade C</t>
  </si>
  <si>
    <t>Karkas Uk 2.7 Karkas Uk 2.7 Fresh Grade D</t>
  </si>
  <si>
    <t>Karkas Uk 2.7 Karkas Uk 2.7 Fresh HJA</t>
  </si>
  <si>
    <t>Karkas Uk 2.7 Karkas Uk 2.7 Fresh Hja - Ampela</t>
  </si>
  <si>
    <t>Karkas Uk 2.7 Karkas Uk 2.7 Fresh HJA - Ampela Grade</t>
  </si>
  <si>
    <t>Karkas Uk 2.7 Karkas Uk 2.7 Fresh HJA - Ampela Grade D</t>
  </si>
  <si>
    <t>Karkas Uk 2.7 Karkas Uk 2.7 Fresh HJA - Hati</t>
  </si>
  <si>
    <t>Karkas Uk 2.7 Karkas Uk 2.7 Fresh HJA - Hati Grade</t>
  </si>
  <si>
    <t>Karkas Uk 2.7 Karkas Uk 2.7 Fresh HJA - Hati Grade D</t>
  </si>
  <si>
    <t>Karkas Uk 2.7 Karkas Uk 2.7 Fresh HJA - Jantung</t>
  </si>
  <si>
    <t>Karkas Uk 2.7 Karkas Uk 2.7 Fresh HJA - Jantung Grade</t>
  </si>
  <si>
    <t>Karkas Uk 2.7 Karkas Uk 2.7 Fresh HJA - Jantung Grade D</t>
  </si>
  <si>
    <t>Karkas Uk 2.7 Karkas Uk 2.7 Fresh HJA Grade</t>
  </si>
  <si>
    <t>Karkas Uk 2.7 Karkas Uk 2.7 Fresh HJA Grade D</t>
  </si>
  <si>
    <t>Karkas Uk 2.7 Karkas Uk 2.7 Fresh Kepala</t>
  </si>
  <si>
    <t>Karkas Uk 2.7 Karkas Uk 2.7 fresh kepala - Batok kepala</t>
  </si>
  <si>
    <t>Karkas Uk 2.7 Karkas Uk 2.7 Fresh Kepala - Batok Kepala Grade D</t>
  </si>
  <si>
    <t>Karkas Uk 2.7 Karkas Uk 2.7 fresh kepala - Kulit Leher</t>
  </si>
  <si>
    <t>Karkas Uk 2.7 Karkas Uk 2.7 fresh kepala - Kulit Leher Grade D</t>
  </si>
  <si>
    <t>Karkas Uk 2.7 Karkas Uk 2.7 fresh kepala - Selang Leher</t>
  </si>
  <si>
    <t>Karkas Uk 2.7 Karkas Uk 2.7 Fresh kepala - Trimming Leher</t>
  </si>
  <si>
    <t>Karkas Uk 2.7 Karkas Uk 2.7 Fresh Kepala - Trimming Leher Grade D</t>
  </si>
  <si>
    <t>Karkas Uk 2.7 Karkas Uk 2.7 Fresh kepala - Tulang Leher</t>
  </si>
  <si>
    <t>Karkas Uk 2.7 Karkas Uk 2.7 fresh Kepala - Tulang Leher Grade D</t>
  </si>
  <si>
    <t>Karkas Uk 2.7 Karkas Uk 2.7 Fresh Kepala Grade D</t>
  </si>
  <si>
    <t>Karkas Uk 2.7 Karkas Uk 2.7 Fresh Kepala -Selang leher grade D</t>
  </si>
  <si>
    <t>Karkas Uk 2.7 Karkas Uk 2.7 Fresh Premium</t>
  </si>
  <si>
    <t>Karkas Uk 2.7 Karkas Uk 2.7 Fresh Usus Kotor</t>
  </si>
  <si>
    <t>Karkas Uk 2.7 Karkas Uk 2.7 Fresh Usus Kotor Grade D</t>
  </si>
  <si>
    <t>Karkas Uk 2.7 Karkas Uk 2.7 Frozen Ceker</t>
  </si>
  <si>
    <t>Karkas Uk 2.7 Karkas Uk 2.7 Frozen Ceker Grade D</t>
  </si>
  <si>
    <t>Karkas Uk 2.7 Karkas Uk 2.7 Frozen Grade A</t>
  </si>
  <si>
    <t>Karkas Uk 2.7 Karkas Uk 2.7 Frozen Grade B</t>
  </si>
  <si>
    <t>Karkas Uk 2.7 Karkas Uk 2.7 Frozen Grade C</t>
  </si>
  <si>
    <t>Karkas Uk 2.7 Karkas Uk 2.7 Frozen Grade D</t>
  </si>
  <si>
    <t>Karkas Uk 2.7 Karkas Uk 2.7 Frozen HJA</t>
  </si>
  <si>
    <t>Karkas Uk 2.7 Karkas Uk 2.7 Frozen HJA - Ampela</t>
  </si>
  <si>
    <t>Karkas Uk 2.7 Karkas Uk 2.7 Frozen HJA - Ampela Grade</t>
  </si>
  <si>
    <t>Karkas Uk 2.7 Karkas Uk 2.7 Frozen HJA - Hati</t>
  </si>
  <si>
    <t>JLB1857</t>
  </si>
  <si>
    <t>Ayam Karkas Mix</t>
  </si>
  <si>
    <t>Karkas Uk 0.9 Frozen Premium</t>
  </si>
  <si>
    <t>Karkas Uk 0.8 Frozen Premium</t>
  </si>
  <si>
    <t>JLB1860</t>
  </si>
  <si>
    <t>JLB1861</t>
  </si>
  <si>
    <t>Paha Atas Grade D</t>
  </si>
  <si>
    <t>Paha Atas Frozen</t>
  </si>
  <si>
    <t>JLB1863</t>
  </si>
  <si>
    <t>Paha atas Frozen Grade D</t>
  </si>
  <si>
    <t>JLB1864</t>
  </si>
  <si>
    <t>Karkas Uk 0.4 Karkas Uk 0.4 Frozen Premium</t>
  </si>
  <si>
    <t>Karkas Uk 0.5 Karkas Uk 0.5 Frozen Premium</t>
  </si>
  <si>
    <t>Karkas Uk 0.6 Karkas Uk 0.6 Frozen Premium</t>
  </si>
  <si>
    <t>Karkas Uk 0.7 Karkas Uk 0.7 Frozen Premium</t>
  </si>
  <si>
    <t>TRD0004</t>
  </si>
  <si>
    <t>Hati Bersih</t>
  </si>
  <si>
    <t>TRD0005</t>
  </si>
  <si>
    <t>Ampela Bersih</t>
  </si>
  <si>
    <t>TRD0006</t>
  </si>
  <si>
    <t>Boneless Dada</t>
  </si>
  <si>
    <t>TRD0007</t>
  </si>
  <si>
    <t>Usus Bersih Fresh</t>
  </si>
  <si>
    <t>TRD0008</t>
  </si>
  <si>
    <t>BLD Frozen</t>
  </si>
  <si>
    <t>TRD0009</t>
  </si>
  <si>
    <t>BLD Fresh</t>
  </si>
  <si>
    <t>TRD0010</t>
  </si>
  <si>
    <t>BLP Frozen</t>
  </si>
  <si>
    <t>TRD0011</t>
  </si>
  <si>
    <t>BLP Fresh</t>
  </si>
  <si>
    <t>TRD0012</t>
  </si>
  <si>
    <t>BLPK Frozen</t>
  </si>
  <si>
    <t>TRD0013</t>
  </si>
  <si>
    <t>BLPK Fresh</t>
  </si>
  <si>
    <t>TRD0014</t>
  </si>
  <si>
    <t>BLDK Frozen</t>
  </si>
  <si>
    <t>TRD0015</t>
  </si>
  <si>
    <t>BLDK Fresh</t>
  </si>
  <si>
    <t>TRD0016</t>
  </si>
  <si>
    <t>Usus Bersih Frozen</t>
  </si>
  <si>
    <t>TRD0017</t>
  </si>
  <si>
    <t>Usus Bersih Grade</t>
  </si>
  <si>
    <t>TRD0018</t>
  </si>
  <si>
    <t>Jantung Bersih</t>
  </si>
  <si>
    <t>PRIYONO</t>
  </si>
  <si>
    <t>Limbah tidak jadi stok</t>
  </si>
  <si>
    <t>Notes</t>
  </si>
  <si>
    <t>COGS/Kg/Item</t>
  </si>
  <si>
    <t>AU 0.4-0.5</t>
  </si>
  <si>
    <t>Pemotongan Tanggal 10/06/2026</t>
  </si>
  <si>
    <t>Pemotongan Tanggal 11/06/2026</t>
  </si>
  <si>
    <t>Pemotongan Tanggal 09/06/2026</t>
  </si>
  <si>
    <t>Pemotongan Tanggal 18/06/2026</t>
  </si>
  <si>
    <t>Pemotongan Tanggal 19/06/2026</t>
  </si>
  <si>
    <t>BAHAN YANG DI PAKAI</t>
  </si>
  <si>
    <t>Qty</t>
  </si>
  <si>
    <t>Hasil Jadi Boneless</t>
  </si>
  <si>
    <t>Hasil Potong 13-20 Mei 2026</t>
  </si>
  <si>
    <t>Hasil Potong 13-19 Mei 2026</t>
  </si>
  <si>
    <t>Pakai Ayam Karkas Mix</t>
  </si>
  <si>
    <t>Hasil Potong 13 -19 Mei 2026</t>
  </si>
  <si>
    <t>Ekspedisi</t>
  </si>
  <si>
    <t>Fendy Setiawan</t>
  </si>
  <si>
    <t>Kriswantiningsih</t>
  </si>
  <si>
    <t>NAMA ITEM</t>
  </si>
  <si>
    <t>WEEK 1</t>
  </si>
  <si>
    <t>WEEK 2</t>
  </si>
  <si>
    <t>WEEK 3</t>
  </si>
  <si>
    <t>WEEK 4</t>
  </si>
  <si>
    <t>AU 1.5</t>
  </si>
  <si>
    <t>Kerongkong</t>
  </si>
  <si>
    <t>Kulit</t>
  </si>
  <si>
    <t>Sayap grade A</t>
  </si>
  <si>
    <t>Awal</t>
  </si>
  <si>
    <t>awal+tambahan</t>
  </si>
  <si>
    <t>Stok</t>
  </si>
  <si>
    <t>Stok tidak cukup</t>
  </si>
  <si>
    <t>Stok cukup</t>
  </si>
  <si>
    <t>Note</t>
  </si>
  <si>
    <t>Stok Cukup</t>
  </si>
  <si>
    <t>Stok Tidak Cukup</t>
  </si>
  <si>
    <t>Sisa</t>
  </si>
  <si>
    <t>1338.4 / JLB1152 - 157.5 / JLB1857</t>
  </si>
  <si>
    <t>1338,4 Fresh ke Frozen</t>
  </si>
  <si>
    <t xml:space="preserve"> </t>
  </si>
  <si>
    <t>Harga Perolehan</t>
  </si>
  <si>
    <t>Live Bird</t>
  </si>
  <si>
    <t>Biaya Ekspedisi</t>
  </si>
  <si>
    <t>Biaya Potong</t>
  </si>
  <si>
    <t>Total</t>
  </si>
  <si>
    <t>Supplier</t>
  </si>
  <si>
    <t>Priyono</t>
  </si>
  <si>
    <t>Tgl. Potong</t>
  </si>
  <si>
    <t>AU 0.3</t>
  </si>
  <si>
    <t>AU 0.4</t>
  </si>
  <si>
    <t>AU 0.5</t>
  </si>
  <si>
    <t>AU 0.6</t>
  </si>
  <si>
    <t>AU 0.7</t>
  </si>
  <si>
    <t>AU 0.8</t>
  </si>
  <si>
    <t>AU 0.9</t>
  </si>
  <si>
    <t>AU 1.0</t>
  </si>
  <si>
    <t>AU 1.1</t>
  </si>
  <si>
    <t>AU 1.2</t>
  </si>
  <si>
    <t>AU 1.3</t>
  </si>
  <si>
    <t>AU 1.4</t>
  </si>
  <si>
    <t>AU 1.6</t>
  </si>
  <si>
    <t>AU 1.7</t>
  </si>
  <si>
    <t>AU 1.8</t>
  </si>
  <si>
    <t>AU 1.9</t>
  </si>
  <si>
    <t>AU 2.0</t>
  </si>
  <si>
    <t>AU UP</t>
  </si>
  <si>
    <t xml:space="preserve">kulit </t>
  </si>
  <si>
    <t xml:space="preserve">Sayap </t>
  </si>
  <si>
    <t xml:space="preserve">Usus </t>
  </si>
  <si>
    <t xml:space="preserve">Giblet </t>
  </si>
  <si>
    <t>AU 0.3 Grade A</t>
  </si>
  <si>
    <t>AU 0.4 Grade A</t>
  </si>
  <si>
    <t>AU 0.5 Grade A</t>
  </si>
  <si>
    <t>AU 0.6 Grade A</t>
  </si>
  <si>
    <t>AU 0.7 Grade A</t>
  </si>
  <si>
    <t>AU 0.8 Grade A</t>
  </si>
  <si>
    <t>AU 0.9 Grade A</t>
  </si>
  <si>
    <t>AU 1.0 Grade A</t>
  </si>
  <si>
    <t>AU 1.1 Grade A</t>
  </si>
  <si>
    <t>AU 1.2 Grade A</t>
  </si>
  <si>
    <t>AU 1.3 Grade A</t>
  </si>
  <si>
    <t>AU 1.4 Grade A</t>
  </si>
  <si>
    <t>AU 1.5 Grade A</t>
  </si>
  <si>
    <t>AU 1.6 Grade A</t>
  </si>
  <si>
    <t>AU 1.7 Grade A</t>
  </si>
  <si>
    <t>AU 1. Grade A</t>
  </si>
  <si>
    <t>AU 1.9 Grade A</t>
  </si>
  <si>
    <t>AU 2.0 Grade A</t>
  </si>
  <si>
    <t>AU 1.45 Grade A</t>
  </si>
  <si>
    <t>AU MIX</t>
  </si>
  <si>
    <t>BLD B</t>
  </si>
  <si>
    <t>BLD R</t>
  </si>
  <si>
    <t>BLP B</t>
  </si>
  <si>
    <t>BLP R</t>
  </si>
  <si>
    <t>SAYAP R</t>
  </si>
  <si>
    <t>Ampela Ayam</t>
  </si>
  <si>
    <t>HATI ayam</t>
  </si>
  <si>
    <t>Kulit Leher (Trading)</t>
  </si>
  <si>
    <t>TULANG MUDA</t>
  </si>
  <si>
    <t>karkas amindo R</t>
  </si>
  <si>
    <t>Dilimbahkan</t>
  </si>
  <si>
    <t>Item Name</t>
  </si>
  <si>
    <t>Alberus</t>
  </si>
  <si>
    <t>PT Bounty Segar Distribution</t>
  </si>
  <si>
    <t>Dibuat Oleh,</t>
  </si>
  <si>
    <t>Diperiksa Oleh,</t>
  </si>
  <si>
    <t>Est. GP Margin</t>
  </si>
  <si>
    <t>Est. Harga Jual</t>
  </si>
  <si>
    <t>Week 2</t>
  </si>
  <si>
    <t>Week 3</t>
  </si>
  <si>
    <t>COGS/Kg</t>
  </si>
  <si>
    <t>(Est. Harga Jual - COGS/Item)</t>
  </si>
  <si>
    <t>No. SKU</t>
  </si>
  <si>
    <t>Price/Kg</t>
  </si>
  <si>
    <t>(Price/Kg - COGS/Kg)</t>
  </si>
  <si>
    <t>PI26080026</t>
  </si>
  <si>
    <t>PI26080027</t>
  </si>
  <si>
    <t>PI26080028</t>
  </si>
  <si>
    <t>Ref. Dokumen</t>
  </si>
  <si>
    <t>Total KG LB</t>
  </si>
  <si>
    <t>AU 1.8 Grade A</t>
  </si>
  <si>
    <t>Abertus</t>
  </si>
  <si>
    <t>?</t>
  </si>
  <si>
    <t>PI26090002</t>
  </si>
  <si>
    <t>PI26090001</t>
  </si>
  <si>
    <t>Agus Wibowo</t>
  </si>
  <si>
    <t>TRD0019</t>
  </si>
  <si>
    <t>Karkas Uk 0.6</t>
  </si>
  <si>
    <t>TRD0020</t>
  </si>
  <si>
    <t>Karkas Uk 0.7</t>
  </si>
  <si>
    <t>TRD0021</t>
  </si>
  <si>
    <t>Karkas Uk 0.8</t>
  </si>
  <si>
    <t>TRD0022</t>
  </si>
  <si>
    <t>Karkas Uk 0.9</t>
  </si>
  <si>
    <t>TRD0023</t>
  </si>
  <si>
    <t>Karkas Uk 1.0</t>
  </si>
  <si>
    <t>TRD0024</t>
  </si>
  <si>
    <t>Karkas Uk 1.1</t>
  </si>
  <si>
    <t>TRD0025</t>
  </si>
  <si>
    <t>Karkas Uk 1.2</t>
  </si>
  <si>
    <t>TRD0026</t>
  </si>
  <si>
    <t>Karkas Uk 1.3</t>
  </si>
  <si>
    <t>TRD0027</t>
  </si>
  <si>
    <t>Karkas Uk 1.4</t>
  </si>
  <si>
    <t>TRD0028</t>
  </si>
  <si>
    <t>Karkas Uk 1.5</t>
  </si>
  <si>
    <t>TRD0029</t>
  </si>
  <si>
    <t>Karkas Uk 1.6</t>
  </si>
  <si>
    <t>TRD0030</t>
  </si>
  <si>
    <t>Karkas Uk 1.7</t>
  </si>
  <si>
    <t>TRD0031</t>
  </si>
  <si>
    <t>Karkas Uk 1.8</t>
  </si>
  <si>
    <t>TRD0032</t>
  </si>
  <si>
    <t>Karkas Uk 1.9</t>
  </si>
  <si>
    <t>TRD0033</t>
  </si>
  <si>
    <t>Karkas Uk 2.0</t>
  </si>
  <si>
    <t>TRD0034</t>
  </si>
  <si>
    <t>KRK</t>
  </si>
  <si>
    <t>TRD0035</t>
  </si>
  <si>
    <t>TRD0036</t>
  </si>
  <si>
    <t>Karkas Uk 0.5</t>
  </si>
  <si>
    <t>TRD0037</t>
  </si>
  <si>
    <t>Karkas Uk 0.3</t>
  </si>
  <si>
    <t>TRD0038</t>
  </si>
  <si>
    <t>Karkas Uk 0.4</t>
  </si>
  <si>
    <t>TRD0039</t>
  </si>
  <si>
    <t>PI26090004</t>
  </si>
  <si>
    <t>PI26090005</t>
  </si>
  <si>
    <t>Albertus</t>
  </si>
  <si>
    <t>PI26090009</t>
  </si>
  <si>
    <t>PI26090008 &amp; PI26090010</t>
  </si>
  <si>
    <t>PI26090007 &amp; PI26090010</t>
  </si>
  <si>
    <t>PI26090013</t>
  </si>
  <si>
    <t>PI26090014</t>
  </si>
  <si>
    <t>053/INV/ALBERTUS/2026</t>
  </si>
  <si>
    <t>Trading</t>
  </si>
  <si>
    <t>Albertus Condro</t>
  </si>
  <si>
    <t>Tanggal</t>
  </si>
  <si>
    <t>Expedisi</t>
  </si>
  <si>
    <t>Mobil 1</t>
  </si>
  <si>
    <t>Mobil 2</t>
  </si>
  <si>
    <t>Harga</t>
  </si>
  <si>
    <t>Expedisi/Kg</t>
  </si>
  <si>
    <t>Harga+Ekspedisi</t>
  </si>
  <si>
    <t>Total Harga</t>
  </si>
  <si>
    <t>PI26080081</t>
  </si>
  <si>
    <t>Mobil</t>
  </si>
  <si>
    <t>PI26080051</t>
  </si>
  <si>
    <t>PI26080080</t>
  </si>
  <si>
    <t>PI26080055</t>
  </si>
  <si>
    <t>Kulit Dada</t>
  </si>
  <si>
    <t>PI26080079</t>
  </si>
  <si>
    <t>PI26080054</t>
  </si>
  <si>
    <t>BLD Grade</t>
  </si>
  <si>
    <t>BLP Grade</t>
  </si>
  <si>
    <t>ASN-2600000016</t>
  </si>
  <si>
    <t>ASN-2600000015</t>
  </si>
  <si>
    <t>PI26090016</t>
  </si>
  <si>
    <t>054/09/INV/ALBERTUS/2026</t>
  </si>
  <si>
    <t>056/09/INV/ALBERTUS/2026</t>
  </si>
  <si>
    <t>#1</t>
  </si>
  <si>
    <t>055/09/INV/ALBERTUS/2026</t>
  </si>
  <si>
    <t>#3</t>
  </si>
  <si>
    <t>PI26090021</t>
  </si>
  <si>
    <t>PI26090022</t>
  </si>
  <si>
    <t>#5 &amp; #6</t>
  </si>
  <si>
    <t>SUSUT</t>
  </si>
  <si>
    <t>HASIL POTONG</t>
  </si>
  <si>
    <t>PI26090024 &amp; PI26090025</t>
  </si>
  <si>
    <t>PI26090026</t>
  </si>
  <si>
    <t>#2 &amp; #4</t>
  </si>
  <si>
    <t>PI26090030</t>
  </si>
  <si>
    <t>PI26090029</t>
  </si>
  <si>
    <t>PI26090031 &amp; PI26090032</t>
  </si>
  <si>
    <t>Ayam Mati</t>
  </si>
  <si>
    <t>KG Mati</t>
  </si>
  <si>
    <t>PI26090034</t>
  </si>
  <si>
    <t>PI26090035</t>
  </si>
  <si>
    <t>#7</t>
  </si>
  <si>
    <t>PI26090144</t>
  </si>
  <si>
    <t>PI26090036</t>
  </si>
  <si>
    <t>PI26090037</t>
  </si>
  <si>
    <t>Agus Wibowo &amp; Albertus</t>
  </si>
  <si>
    <t>#9 &amp; 057/0/INV/ALBERTUS/2026</t>
  </si>
  <si>
    <t>#8</t>
  </si>
  <si>
    <t>PI26090145</t>
  </si>
  <si>
    <t>PI26090046</t>
  </si>
  <si>
    <t>PI26090047</t>
  </si>
  <si>
    <t>#10 &amp; 058/0/INV/ALBERTUS/2026</t>
  </si>
  <si>
    <t>Biaya BL</t>
  </si>
  <si>
    <t>BLD A</t>
  </si>
  <si>
    <t>PI26090056</t>
  </si>
  <si>
    <t>PI26090057</t>
  </si>
  <si>
    <t>PI26090058</t>
  </si>
  <si>
    <t>PI26090059</t>
  </si>
  <si>
    <t>Lemak Trimming</t>
  </si>
  <si>
    <t>Week 4</t>
  </si>
  <si>
    <t>BLP A</t>
  </si>
  <si>
    <t>krk</t>
  </si>
  <si>
    <t>#11</t>
  </si>
  <si>
    <t>PI26090061 &amp; PI26090060</t>
  </si>
  <si>
    <t>PI26090062</t>
  </si>
  <si>
    <t>PI26090063</t>
  </si>
  <si>
    <t>PI26090064</t>
  </si>
  <si>
    <t>ALBERTUS</t>
  </si>
  <si>
    <t>060/09/INVALBERTUS/2026</t>
  </si>
  <si>
    <t>PI26090067</t>
  </si>
  <si>
    <t>PI26090068</t>
  </si>
  <si>
    <t>059/09/INV/ALBERTUS/2026</t>
  </si>
  <si>
    <t>PI26090070</t>
  </si>
  <si>
    <t>PI26090071</t>
  </si>
  <si>
    <t>ALBERTUS &amp; PT UNGGAS JATI JAYA</t>
  </si>
  <si>
    <t>060-2/09/INV/ALBERTUS/2026 &amp; 207459</t>
  </si>
  <si>
    <t>PI26090074</t>
  </si>
  <si>
    <t>062/09/INVALBERTUS/2026 &amp; 061/09/INVALBERTUS/2026</t>
  </si>
  <si>
    <t>#13</t>
  </si>
  <si>
    <t>PI26090077</t>
  </si>
  <si>
    <t>PI26090078</t>
  </si>
  <si>
    <t>ALBERTUS &amp; AGUS WIBOWO</t>
  </si>
  <si>
    <t>061/09/INVALBERTUS/2026 &amp; #12</t>
  </si>
  <si>
    <t>PI26090081</t>
  </si>
  <si>
    <t>PI26090080</t>
  </si>
  <si>
    <t>PI26090079</t>
  </si>
  <si>
    <t>RBP-RPA/26/IX/00199</t>
  </si>
  <si>
    <t>PI26090015</t>
  </si>
  <si>
    <t>B8526090011</t>
  </si>
  <si>
    <t>Albertus 4.500kg, 3.245kg, 3.911,8kg, 3.932,8 kg LB (398.601.680) kurang bayar 37.401.680</t>
  </si>
  <si>
    <t>B8526090013C</t>
  </si>
  <si>
    <t>Albertus 4.500kg, 3.875,5kg LB Rp 211.052.600</t>
  </si>
  <si>
    <t>PI26090011</t>
  </si>
  <si>
    <t>PI26090012</t>
  </si>
  <si>
    <t>055/09/INV/ALBERTUS/2026-2</t>
  </si>
  <si>
    <t>B8526090024</t>
  </si>
  <si>
    <t>Albertus 3.828,30kg, 3.503,90kg, 4.013,20kg, 4.005,50kg LB @ 24.600 (total 377.499.140) kurang bayar 254.500</t>
  </si>
  <si>
    <t>PI26090003</t>
  </si>
  <si>
    <t>B8526090029</t>
  </si>
  <si>
    <t>AGUS WIBOWO PRASOD   3320 LB @ 25.000</t>
  </si>
  <si>
    <t>PI26090006</t>
  </si>
  <si>
    <t>RPB-RPA/26/IX/00211</t>
  </si>
  <si>
    <t>RPB-RPA/26/IX/00208</t>
  </si>
  <si>
    <t>B8526090028C</t>
  </si>
  <si>
    <t>B8526090031</t>
  </si>
  <si>
    <t>AGUS WIBOWO PRASOD  3.363 kg, 3.492 kg , 3.676.80 kg LB</t>
  </si>
  <si>
    <t>Agus Wibowo Prasodjo 3.831,3kg 3.295 kg LB (178.147.500) + Kriswatiningsih 5 mobil LB (17.540.000), Kriswatiningsih 4 mobil  (14.615.000) sisa 10.197.500 sudah di balikin ke bca 8577</t>
  </si>
  <si>
    <t>RPB-RPA/26/IX/00214</t>
  </si>
  <si>
    <t>B8526090035</t>
  </si>
  <si>
    <t xml:space="preserve">AGUS WIBOWO PRASOD  3.500 kg. 3.001,4 kg, 2.694,2 kg , 3.5000kg </t>
  </si>
  <si>
    <t>PI26090023</t>
  </si>
  <si>
    <t>RPB-RPA/26/IX/00219</t>
  </si>
  <si>
    <t>B8526090042</t>
  </si>
  <si>
    <t>AGUS WIBOWO PRASOD  4.000kg , 3.408,20 kg LB</t>
  </si>
  <si>
    <t>Agus Wibowo Prasodjo 4.000kg , 4.000kg, 4.011.40 kg LB (300.275.000) potong harga 275.000</t>
  </si>
  <si>
    <t>B8526090040</t>
  </si>
  <si>
    <t>PI26090027 &amp; PI26090028</t>
  </si>
  <si>
    <t>RPB-RPA/26/IX/00221</t>
  </si>
  <si>
    <t>RPB-RPA/26/IX/00224</t>
  </si>
  <si>
    <t>B8526090052</t>
  </si>
  <si>
    <t>Agus Wibowo P 3340,7kg, 3412.30kg, 3305,9 kg, 3536,60 kg LB total 346.675.250</t>
  </si>
  <si>
    <t>B8526090053</t>
  </si>
  <si>
    <t>RPB-RPA/26/IX/00228</t>
  </si>
  <si>
    <t>PI26090146 &amp; PI26090048</t>
  </si>
  <si>
    <t>B8526090057</t>
  </si>
  <si>
    <t>AGUS WIBOWO PRASOD  3.400,40kg, 3.300,10 kg, 3.800 kg, 3.500kg LB @ 25.500 (357.002.750)</t>
  </si>
  <si>
    <t>B8526090058</t>
  </si>
  <si>
    <t>B8526090056</t>
  </si>
  <si>
    <t>Albertus Condro 1.939,5kg, 1.560,5 kg , 3.500 kg LB @ 25.500</t>
  </si>
  <si>
    <t>B8526090077</t>
  </si>
  <si>
    <t>RPB-RPA/26/IX/00230</t>
  </si>
  <si>
    <t>B8526090062</t>
  </si>
  <si>
    <t xml:space="preserve">AGUS WIBOWO PRASOD    10.139 kg LB </t>
  </si>
  <si>
    <t>B8526090061</t>
  </si>
  <si>
    <t>ALBERTUS CONDRO RU    17.959,20 kg LB @ 24.800</t>
  </si>
  <si>
    <t>RPB-RPA/26/IX/00233</t>
  </si>
  <si>
    <t>RPB-RPA/26/IX/00235</t>
  </si>
  <si>
    <t>PI26090072</t>
  </si>
  <si>
    <t>B8526090084</t>
  </si>
  <si>
    <t>PI26090075 &amp; PI26090073</t>
  </si>
  <si>
    <t>B8526090089.</t>
  </si>
  <si>
    <t>RPB-RPA/26/IX/00239</t>
  </si>
  <si>
    <t>RPB-RPA/26/IX/00241</t>
  </si>
  <si>
    <t>RPB-RPA/26/IX/00244</t>
  </si>
  <si>
    <t>PI26090082</t>
  </si>
  <si>
    <t>SI.2026.09.00221</t>
  </si>
  <si>
    <t>SI.2026.09.00223</t>
  </si>
  <si>
    <t>INV 30 SEP</t>
  </si>
  <si>
    <t>PI26090091</t>
  </si>
  <si>
    <t>SI.2026.09.00224</t>
  </si>
  <si>
    <t>PENDING</t>
  </si>
  <si>
    <t>#14</t>
  </si>
  <si>
    <t>063/09/INV/ALBERTUS/2026</t>
  </si>
  <si>
    <r>
      <t xml:space="preserve">061/09/INVALBERTUS/2026 &amp; </t>
    </r>
    <r>
      <rPr>
        <sz val="11"/>
        <color rgb="FFFF0000"/>
        <rFont val="Aptos Narrow"/>
        <scheme val="minor"/>
      </rPr>
      <t>#12</t>
    </r>
  </si>
  <si>
    <r>
      <t xml:space="preserve">PI26090093 &amp; </t>
    </r>
    <r>
      <rPr>
        <sz val="11"/>
        <color rgb="FFFF0000"/>
        <rFont val="Aptos Narrow"/>
        <scheme val="minor"/>
      </rPr>
      <t>(PENDING KE OKTOBER)</t>
    </r>
  </si>
  <si>
    <r>
      <t xml:space="preserve">ALBERTUS &amp; </t>
    </r>
    <r>
      <rPr>
        <b/>
        <sz val="11"/>
        <color rgb="FFFF0000"/>
        <rFont val="Aptos Narrow"/>
        <scheme val="minor"/>
      </rPr>
      <t>AGUS WIBOWO</t>
    </r>
  </si>
  <si>
    <t>PI26090094 &amp; PI26090093</t>
  </si>
  <si>
    <t>INV 29 SEP</t>
  </si>
  <si>
    <t>PI26090095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</si>
</sst>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_(* #,##0.0000_);_(* \(#,##0.0000\);_(* &quot;-&quot;??_);_(@_)"/>
    <numFmt numFmtId="167" formatCode="[$Rp]#,##0"/>
    <numFmt numFmtId="168" formatCode="@\ * &quot;:&quot;"/>
    <numFmt numFmtId="169" formatCode="_-* #,##0.0000_-;\-* #,##0.0000_-;_-* &quot;-&quot;??_-;_-@_-"/>
    <numFmt numFmtId="170" formatCode="0.0000"/>
    <numFmt numFmtId="171" formatCode="_-* #,##0.000_-;\-* #,##0.000_-;_-* &quot;-&quot;??_-;_-@_-"/>
    <numFmt numFmtId="172" formatCode="0.000%"/>
    <numFmt numFmtId="173" formatCode="_(* #,##0_);_(* \(#,##0\);_(* &quot;-&quot;??_);_(@_)"/>
    <numFmt numFmtId="174" formatCode="[$-409]d\-mmm\-yy;@"/>
    <numFmt numFmtId="175" formatCode="yyyy\-mm\-dd;@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sz val="8"/>
      <color rgb="FF000000"/>
      <name val="Tahoma"/>
      <family val="2"/>
    </font>
    <font>
      <b/>
      <sz val="8"/>
      <color rgb="FF000080"/>
      <name val="Arial"/>
      <family val="2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b/>
      <sz val="11"/>
      <color theme="1"/>
      <name val="Aptos Narrow"/>
      <scheme val="minor"/>
    </font>
    <font>
      <sz val="11"/>
      <color rgb="FFFF0000"/>
      <name val="Aptos Narrow"/>
      <scheme val="minor"/>
    </font>
    <font>
      <b/>
      <sz val="11"/>
      <color rgb="FFFF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7">
    <xf numFmtId="0" fontId="0" fillId="0" borderId="0"/>
    <xf numFmtId="164" fontId="1" fillId="0" borderId="0" applyFont="0" applyFill="0" applyBorder="0" applyAlignment="0" applyProtection="0"/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center" vertical="top"/>
    </xf>
    <xf numFmtId="4" fontId="6" fillId="0" borderId="0">
      <alignment horizontal="right" vertical="top"/>
    </xf>
    <xf numFmtId="4" fontId="7" fillId="0" borderId="0">
      <alignment horizontal="center" vertical="top"/>
    </xf>
    <xf numFmtId="4" fontId="6" fillId="0" borderId="0">
      <alignment horizontal="left" vertical="top"/>
    </xf>
    <xf numFmtId="0" fontId="8" fillId="0" borderId="0"/>
    <xf numFmtId="43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13" fillId="0" borderId="0">
      <alignment horizontal="center" vertical="top"/>
    </xf>
    <xf numFmtId="4" fontId="13" fillId="0" borderId="0">
      <alignment horizontal="left" vertical="top"/>
    </xf>
    <xf numFmtId="4" fontId="13" fillId="0" borderId="0">
      <alignment horizontal="right" vertical="top"/>
    </xf>
    <xf numFmtId="4" fontId="14" fillId="0" borderId="0">
      <alignment horizontal="right" vertical="top"/>
    </xf>
    <xf numFmtId="43" fontId="1" fillId="0" borderId="0" applyFont="0" applyFill="0" applyBorder="0" applyAlignment="0" applyProtection="0"/>
    <xf numFmtId="4" fontId="25" fillId="0" borderId="0">
      <alignment horizontal="left" vertical="top"/>
    </xf>
    <xf numFmtId="4" fontId="6" fillId="0" borderId="0">
      <alignment horizontal="left" vertical="top"/>
    </xf>
    <xf numFmtId="4" fontId="14" fillId="0" borderId="0">
      <alignment horizontal="right" vertical="top"/>
    </xf>
    <xf numFmtId="4" fontId="26" fillId="0" borderId="0">
      <alignment horizontal="left" vertical="top"/>
    </xf>
    <xf numFmtId="4" fontId="13" fillId="0" borderId="0">
      <alignment horizontal="center" vertical="top"/>
    </xf>
    <xf numFmtId="4" fontId="13" fillId="0" borderId="0">
      <alignment horizontal="left" vertical="top"/>
    </xf>
    <xf numFmtId="4" fontId="13" fillId="0" borderId="0">
      <alignment horizontal="right" vertical="top"/>
    </xf>
    <xf numFmtId="43" fontId="1" fillId="0" borderId="0" applyFont="0" applyFill="0" applyBorder="0" applyAlignment="0" applyProtection="0"/>
    <xf numFmtId="4" fontId="13" fillId="0" borderId="0">
      <alignment horizontal="center" vertical="top"/>
    </xf>
    <xf numFmtId="4" fontId="13" fillId="0" borderId="0">
      <alignment horizontal="left" vertical="top"/>
    </xf>
    <xf numFmtId="4" fontId="13" fillId="0" borderId="0">
      <alignment horizontal="right" vertical="top"/>
    </xf>
  </cellStyleXfs>
  <cellXfs count="201">
    <xf numFmtId="0" fontId="0" fillId="0" borderId="0" xfId="0"/>
    <xf numFmtId="0" fontId="0" fillId="0" borderId="0" xfId="0" applyAlignment="1">
      <alignment vertical="center"/>
    </xf>
    <xf numFmtId="164" fontId="0" fillId="0" borderId="0" xfId="1" applyFont="1"/>
    <xf numFmtId="164" fontId="0" fillId="0" borderId="0" xfId="1" applyFont="1" applyFill="1"/>
    <xf numFmtId="0" fontId="2" fillId="0" borderId="0" xfId="0" applyFont="1" applyAlignment="1">
      <alignment horizontal="center" vertical="center"/>
    </xf>
    <xf numFmtId="164" fontId="2" fillId="0" borderId="0" xfId="1" applyFont="1" applyBorder="1" applyAlignment="1">
      <alignment horizontal="center" vertical="center"/>
    </xf>
    <xf numFmtId="43" fontId="0" fillId="0" borderId="0" xfId="0" applyNumberFormat="1"/>
    <xf numFmtId="164" fontId="0" fillId="0" borderId="0" xfId="1" applyFont="1" applyFill="1" applyAlignment="1"/>
    <xf numFmtId="14" fontId="2" fillId="0" borderId="0" xfId="0" applyNumberFormat="1" applyFont="1"/>
    <xf numFmtId="4" fontId="3" fillId="0" borderId="0" xfId="2" quotePrefix="1">
      <alignment horizontal="center" vertical="top"/>
    </xf>
    <xf numFmtId="4" fontId="3" fillId="0" borderId="0" xfId="2">
      <alignment horizontal="center" vertical="top"/>
    </xf>
    <xf numFmtId="4" fontId="4" fillId="0" borderId="0" xfId="3" quotePrefix="1">
      <alignment horizontal="center" vertical="top"/>
    </xf>
    <xf numFmtId="4" fontId="4" fillId="0" borderId="0" xfId="3">
      <alignment horizontal="center" vertical="top"/>
    </xf>
    <xf numFmtId="4" fontId="5" fillId="0" borderId="0" xfId="4" quotePrefix="1">
      <alignment horizontal="center" vertical="top"/>
    </xf>
    <xf numFmtId="4" fontId="5" fillId="0" borderId="0" xfId="4">
      <alignment horizontal="center" vertical="top"/>
    </xf>
    <xf numFmtId="4" fontId="6" fillId="0" borderId="0" xfId="5" quotePrefix="1">
      <alignment horizontal="right" vertical="top"/>
    </xf>
    <xf numFmtId="4" fontId="6" fillId="0" borderId="0" xfId="5">
      <alignment horizontal="right" vertical="top"/>
    </xf>
    <xf numFmtId="4" fontId="7" fillId="0" borderId="1" xfId="6" quotePrefix="1" applyBorder="1">
      <alignment horizontal="center" vertical="top"/>
    </xf>
    <xf numFmtId="0" fontId="2" fillId="0" borderId="0" xfId="0" applyFont="1"/>
    <xf numFmtId="164" fontId="2" fillId="0" borderId="0" xfId="1" applyFont="1"/>
    <xf numFmtId="0" fontId="9" fillId="0" borderId="0" xfId="8" applyFont="1"/>
    <xf numFmtId="43" fontId="10" fillId="0" borderId="0" xfId="9" applyFont="1"/>
    <xf numFmtId="0" fontId="10" fillId="0" borderId="0" xfId="8" applyFont="1"/>
    <xf numFmtId="43" fontId="9" fillId="0" borderId="0" xfId="9" applyFont="1"/>
    <xf numFmtId="164" fontId="2" fillId="0" borderId="0" xfId="1" applyFont="1" applyAlignment="1">
      <alignment horizontal="center" vertical="center"/>
    </xf>
    <xf numFmtId="164" fontId="0" fillId="0" borderId="0" xfId="0" applyNumberFormat="1"/>
    <xf numFmtId="10" fontId="0" fillId="0" borderId="0" xfId="10" applyNumberFormat="1" applyFont="1" applyFill="1"/>
    <xf numFmtId="166" fontId="0" fillId="0" borderId="0" xfId="1" applyNumberFormat="1" applyFont="1" applyFill="1"/>
    <xf numFmtId="165" fontId="2" fillId="0" borderId="0" xfId="10" applyNumberFormat="1" applyFont="1"/>
    <xf numFmtId="4" fontId="6" fillId="0" borderId="0" xfId="7" quotePrefix="1">
      <alignment horizontal="left" vertical="top"/>
    </xf>
    <xf numFmtId="164" fontId="0" fillId="3" borderId="0" xfId="1" applyFont="1" applyFill="1"/>
    <xf numFmtId="164" fontId="1" fillId="0" borderId="0" xfId="1" applyFont="1" applyBorder="1" applyAlignment="1">
      <alignment horizontal="center" vertical="center"/>
    </xf>
    <xf numFmtId="0" fontId="0" fillId="3" borderId="0" xfId="0" applyFill="1"/>
    <xf numFmtId="10" fontId="0" fillId="3" borderId="0" xfId="10" applyNumberFormat="1" applyFont="1" applyFill="1"/>
    <xf numFmtId="164" fontId="1" fillId="3" borderId="0" xfId="1" applyFont="1" applyFill="1" applyBorder="1" applyAlignment="1">
      <alignment horizontal="center" vertical="center"/>
    </xf>
    <xf numFmtId="166" fontId="0" fillId="3" borderId="0" xfId="1" applyNumberFormat="1" applyFont="1" applyFill="1"/>
    <xf numFmtId="0" fontId="0" fillId="4" borderId="0" xfId="0" applyFill="1"/>
    <xf numFmtId="164" fontId="0" fillId="4" borderId="0" xfId="1" applyFont="1" applyFill="1"/>
    <xf numFmtId="9" fontId="0" fillId="0" borderId="0" xfId="10" applyFont="1"/>
    <xf numFmtId="9" fontId="15" fillId="0" borderId="0" xfId="10" applyFont="1"/>
    <xf numFmtId="164" fontId="15" fillId="0" borderId="0" xfId="1" applyFont="1"/>
    <xf numFmtId="14" fontId="16" fillId="4" borderId="0" xfId="0" applyNumberFormat="1" applyFont="1" applyFill="1"/>
    <xf numFmtId="164" fontId="16" fillId="0" borderId="0" xfId="1" applyFont="1"/>
    <xf numFmtId="0" fontId="16" fillId="0" borderId="0" xfId="0" applyFont="1"/>
    <xf numFmtId="0" fontId="17" fillId="0" borderId="0" xfId="0" applyFont="1"/>
    <xf numFmtId="164" fontId="17" fillId="0" borderId="0" xfId="1" applyFont="1"/>
    <xf numFmtId="164" fontId="18" fillId="0" borderId="0" xfId="1" applyFont="1"/>
    <xf numFmtId="165" fontId="16" fillId="0" borderId="0" xfId="10" applyNumberFormat="1" applyFont="1"/>
    <xf numFmtId="0" fontId="17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4" fontId="16" fillId="0" borderId="0" xfId="1" applyFont="1" applyAlignment="1">
      <alignment horizontal="center" vertical="center"/>
    </xf>
    <xf numFmtId="164" fontId="16" fillId="0" borderId="0" xfId="1" applyFont="1" applyBorder="1" applyAlignment="1">
      <alignment horizontal="center" vertical="center"/>
    </xf>
    <xf numFmtId="164" fontId="17" fillId="0" borderId="0" xfId="1" applyFont="1" applyFill="1"/>
    <xf numFmtId="164" fontId="17" fillId="0" borderId="0" xfId="1" applyFont="1" applyBorder="1" applyAlignment="1">
      <alignment horizontal="center" vertical="center"/>
    </xf>
    <xf numFmtId="10" fontId="17" fillId="0" borderId="0" xfId="10" applyNumberFormat="1" applyFont="1" applyFill="1"/>
    <xf numFmtId="43" fontId="17" fillId="0" borderId="0" xfId="0" applyNumberFormat="1" applyFont="1"/>
    <xf numFmtId="0" fontId="17" fillId="3" borderId="0" xfId="0" applyFont="1" applyFill="1"/>
    <xf numFmtId="164" fontId="17" fillId="3" borderId="0" xfId="1" applyFont="1" applyFill="1"/>
    <xf numFmtId="10" fontId="17" fillId="3" borderId="0" xfId="10" applyNumberFormat="1" applyFont="1" applyFill="1"/>
    <xf numFmtId="164" fontId="17" fillId="3" borderId="0" xfId="1" applyFont="1" applyFill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1" applyFont="1" applyFill="1" applyBorder="1" applyAlignment="1">
      <alignment horizontal="center" vertical="center"/>
    </xf>
    <xf numFmtId="0" fontId="0" fillId="0" borderId="3" xfId="0" applyBorder="1"/>
    <xf numFmtId="0" fontId="2" fillId="0" borderId="3" xfId="0" applyFont="1" applyBorder="1"/>
    <xf numFmtId="164" fontId="2" fillId="0" borderId="0" xfId="0" applyNumberFormat="1" applyFont="1"/>
    <xf numFmtId="164" fontId="2" fillId="0" borderId="0" xfId="1" applyFont="1" applyBorder="1"/>
    <xf numFmtId="164" fontId="1" fillId="0" borderId="3" xfId="1" applyFont="1" applyBorder="1"/>
    <xf numFmtId="0" fontId="20" fillId="0" borderId="8" xfId="0" applyFont="1" applyBorder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9" xfId="0" applyFont="1" applyBorder="1"/>
    <xf numFmtId="0" fontId="20" fillId="0" borderId="10" xfId="0" applyFont="1" applyBorder="1"/>
    <xf numFmtId="0" fontId="21" fillId="0" borderId="0" xfId="0" applyFont="1"/>
    <xf numFmtId="0" fontId="22" fillId="0" borderId="6" xfId="0" applyFont="1" applyBorder="1"/>
    <xf numFmtId="167" fontId="21" fillId="0" borderId="11" xfId="0" applyNumberFormat="1" applyFont="1" applyBorder="1"/>
    <xf numFmtId="0" fontId="20" fillId="0" borderId="12" xfId="0" applyFont="1" applyBorder="1"/>
    <xf numFmtId="167" fontId="21" fillId="0" borderId="0" xfId="0" applyNumberFormat="1" applyFont="1" applyAlignment="1">
      <alignment horizontal="right"/>
    </xf>
    <xf numFmtId="0" fontId="23" fillId="0" borderId="6" xfId="0" applyFont="1" applyBorder="1"/>
    <xf numFmtId="167" fontId="24" fillId="0" borderId="11" xfId="0" applyNumberFormat="1" applyFont="1" applyBorder="1"/>
    <xf numFmtId="0" fontId="19" fillId="0" borderId="7" xfId="0" applyFont="1" applyBorder="1" applyAlignment="1">
      <alignment vertical="center"/>
    </xf>
    <xf numFmtId="164" fontId="2" fillId="0" borderId="5" xfId="1" applyFont="1" applyFill="1" applyBorder="1" applyAlignment="1">
      <alignment horizontal="center" vertical="center"/>
    </xf>
    <xf numFmtId="164" fontId="2" fillId="0" borderId="5" xfId="1" quotePrefix="1" applyFont="1" applyFill="1" applyBorder="1" applyAlignment="1">
      <alignment horizontal="center" vertical="center"/>
    </xf>
    <xf numFmtId="14" fontId="2" fillId="2" borderId="0" xfId="0" applyNumberFormat="1" applyFont="1" applyFill="1"/>
    <xf numFmtId="164" fontId="1" fillId="2" borderId="3" xfId="1" applyFont="1" applyFill="1" applyBorder="1"/>
    <xf numFmtId="164" fontId="1" fillId="4" borderId="3" xfId="1" applyFont="1" applyFill="1" applyBorder="1"/>
    <xf numFmtId="14" fontId="2" fillId="3" borderId="0" xfId="0" applyNumberFormat="1" applyFont="1" applyFill="1"/>
    <xf numFmtId="0" fontId="0" fillId="3" borderId="3" xfId="0" applyFill="1" applyBorder="1"/>
    <xf numFmtId="164" fontId="1" fillId="3" borderId="3" xfId="1" applyFont="1" applyFill="1" applyBorder="1"/>
    <xf numFmtId="164" fontId="2" fillId="0" borderId="5" xfId="1" applyFont="1" applyBorder="1" applyAlignment="1">
      <alignment horizontal="center" vertical="center"/>
    </xf>
    <xf numFmtId="164" fontId="0" fillId="3" borderId="3" xfId="1" applyFont="1" applyFill="1" applyBorder="1"/>
    <xf numFmtId="0" fontId="0" fillId="2" borderId="3" xfId="0" applyFill="1" applyBorder="1"/>
    <xf numFmtId="0" fontId="0" fillId="2" borderId="0" xfId="0" applyFill="1"/>
    <xf numFmtId="164" fontId="0" fillId="2" borderId="0" xfId="1" applyFont="1" applyFill="1"/>
    <xf numFmtId="43" fontId="0" fillId="2" borderId="0" xfId="0" applyNumberFormat="1" applyFill="1"/>
    <xf numFmtId="164" fontId="0" fillId="2" borderId="3" xfId="1" applyFont="1" applyFill="1" applyBorder="1"/>
    <xf numFmtId="0" fontId="0" fillId="4" borderId="3" xfId="0" applyFill="1" applyBorder="1"/>
    <xf numFmtId="0" fontId="11" fillId="0" borderId="3" xfId="8" applyFont="1" applyBorder="1"/>
    <xf numFmtId="43" fontId="12" fillId="0" borderId="3" xfId="9" applyFont="1" applyFill="1" applyBorder="1"/>
    <xf numFmtId="164" fontId="0" fillId="0" borderId="3" xfId="1" applyFont="1" applyFill="1" applyBorder="1"/>
    <xf numFmtId="43" fontId="0" fillId="0" borderId="3" xfId="15" applyFont="1" applyFill="1" applyBorder="1" applyAlignment="1"/>
    <xf numFmtId="168" fontId="0" fillId="0" borderId="0" xfId="0" applyNumberFormat="1"/>
    <xf numFmtId="168" fontId="2" fillId="0" borderId="0" xfId="0" applyNumberFormat="1" applyFont="1"/>
    <xf numFmtId="0" fontId="0" fillId="5" borderId="0" xfId="0" applyFill="1"/>
    <xf numFmtId="164" fontId="0" fillId="5" borderId="0" xfId="1" applyFont="1" applyFill="1"/>
    <xf numFmtId="43" fontId="0" fillId="5" borderId="0" xfId="0" applyNumberFormat="1" applyFill="1"/>
    <xf numFmtId="10" fontId="0" fillId="5" borderId="0" xfId="10" applyNumberFormat="1" applyFont="1" applyFill="1"/>
    <xf numFmtId="166" fontId="0" fillId="5" borderId="0" xfId="1" applyNumberFormat="1" applyFont="1" applyFill="1"/>
    <xf numFmtId="10" fontId="0" fillId="2" borderId="0" xfId="10" applyNumberFormat="1" applyFont="1" applyFill="1"/>
    <xf numFmtId="166" fontId="0" fillId="2" borderId="0" xfId="1" applyNumberFormat="1" applyFont="1" applyFill="1"/>
    <xf numFmtId="164" fontId="2" fillId="0" borderId="3" xfId="1" applyFont="1" applyBorder="1" applyAlignment="1">
      <alignment vertical="center"/>
    </xf>
    <xf numFmtId="10" fontId="2" fillId="0" borderId="0" xfId="10" applyNumberFormat="1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164" fontId="2" fillId="0" borderId="3" xfId="1" applyFont="1" applyFill="1" applyBorder="1" applyAlignment="1">
      <alignment vertical="center"/>
    </xf>
    <xf numFmtId="164" fontId="2" fillId="0" borderId="2" xfId="1" applyFont="1" applyBorder="1" applyAlignment="1">
      <alignment vertical="center"/>
    </xf>
    <xf numFmtId="14" fontId="0" fillId="0" borderId="0" xfId="1" applyNumberFormat="1" applyFont="1" applyAlignment="1">
      <alignment horizontal="left"/>
    </xf>
    <xf numFmtId="164" fontId="0" fillId="0" borderId="0" xfId="1" applyFont="1" applyAlignment="1">
      <alignment horizontal="left"/>
    </xf>
    <xf numFmtId="43" fontId="0" fillId="0" borderId="0" xfId="15" applyFont="1"/>
    <xf numFmtId="0" fontId="0" fillId="0" borderId="1" xfId="0" applyBorder="1"/>
    <xf numFmtId="164" fontId="2" fillId="6" borderId="3" xfId="1" applyFont="1" applyFill="1" applyBorder="1" applyAlignment="1">
      <alignment vertical="center"/>
    </xf>
    <xf numFmtId="164" fontId="2" fillId="6" borderId="2" xfId="1" applyFont="1" applyFill="1" applyBorder="1" applyAlignment="1">
      <alignment vertical="center"/>
    </xf>
    <xf numFmtId="164" fontId="2" fillId="6" borderId="3" xfId="1" applyFont="1" applyFill="1" applyBorder="1" applyAlignment="1">
      <alignment vertical="center" wrapText="1"/>
    </xf>
    <xf numFmtId="0" fontId="2" fillId="0" borderId="13" xfId="0" applyFont="1" applyBorder="1"/>
    <xf numFmtId="0" fontId="0" fillId="0" borderId="14" xfId="0" applyBorder="1"/>
    <xf numFmtId="0" fontId="2" fillId="0" borderId="14" xfId="0" applyFont="1" applyBorder="1"/>
    <xf numFmtId="0" fontId="0" fillId="0" borderId="15" xfId="0" applyBorder="1"/>
    <xf numFmtId="168" fontId="0" fillId="0" borderId="16" xfId="0" applyNumberFormat="1" applyBorder="1"/>
    <xf numFmtId="43" fontId="0" fillId="0" borderId="0" xfId="15" applyFont="1" applyBorder="1"/>
    <xf numFmtId="14" fontId="0" fillId="0" borderId="17" xfId="0" applyNumberFormat="1" applyBorder="1"/>
    <xf numFmtId="0" fontId="0" fillId="0" borderId="17" xfId="0" applyBorder="1"/>
    <xf numFmtId="0" fontId="0" fillId="0" borderId="16" xfId="0" applyBorder="1"/>
    <xf numFmtId="43" fontId="2" fillId="0" borderId="0" xfId="15" applyFont="1" applyBorder="1"/>
    <xf numFmtId="43" fontId="2" fillId="0" borderId="16" xfId="15" applyFont="1" applyBorder="1"/>
    <xf numFmtId="43" fontId="0" fillId="0" borderId="16" xfId="15" applyFont="1" applyBorder="1"/>
    <xf numFmtId="43" fontId="0" fillId="0" borderId="17" xfId="0" applyNumberFormat="1" applyBorder="1"/>
    <xf numFmtId="0" fontId="2" fillId="0" borderId="16" xfId="0" applyFont="1" applyBorder="1"/>
    <xf numFmtId="43" fontId="2" fillId="0" borderId="17" xfId="15" applyFont="1" applyBorder="1"/>
    <xf numFmtId="169" fontId="0" fillId="0" borderId="0" xfId="0" applyNumberFormat="1"/>
    <xf numFmtId="0" fontId="2" fillId="0" borderId="18" xfId="0" applyFont="1" applyBorder="1"/>
    <xf numFmtId="43" fontId="2" fillId="0" borderId="1" xfId="15" applyFont="1" applyBorder="1"/>
    <xf numFmtId="0" fontId="2" fillId="0" borderId="1" xfId="0" applyFont="1" applyBorder="1"/>
    <xf numFmtId="43" fontId="2" fillId="0" borderId="19" xfId="0" applyNumberFormat="1" applyFont="1" applyBorder="1"/>
    <xf numFmtId="170" fontId="0" fillId="0" borderId="0" xfId="0" applyNumberFormat="1"/>
    <xf numFmtId="169" fontId="0" fillId="0" borderId="17" xfId="0" applyNumberFormat="1" applyBorder="1"/>
    <xf numFmtId="171" fontId="0" fillId="0" borderId="0" xfId="0" applyNumberFormat="1"/>
    <xf numFmtId="171" fontId="0" fillId="0" borderId="17" xfId="0" applyNumberFormat="1" applyBorder="1"/>
    <xf numFmtId="43" fontId="27" fillId="0" borderId="0" xfId="15" applyFont="1" applyBorder="1"/>
    <xf numFmtId="172" fontId="0" fillId="0" borderId="0" xfId="10" applyNumberFormat="1" applyFont="1"/>
    <xf numFmtId="10" fontId="2" fillId="0" borderId="0" xfId="10" applyNumberFormat="1" applyFont="1" applyBorder="1" applyAlignment="1">
      <alignment horizontal="center" vertical="center"/>
    </xf>
    <xf numFmtId="168" fontId="0" fillId="2" borderId="0" xfId="0" applyNumberFormat="1" applyFill="1"/>
    <xf numFmtId="0" fontId="22" fillId="0" borderId="20" xfId="0" applyFont="1" applyBorder="1" applyAlignment="1">
      <alignment wrapText="1"/>
    </xf>
    <xf numFmtId="0" fontId="21" fillId="0" borderId="21" xfId="0" applyFont="1" applyBorder="1"/>
    <xf numFmtId="0" fontId="19" fillId="0" borderId="22" xfId="0" applyFont="1" applyBorder="1" applyAlignment="1">
      <alignment vertical="center"/>
    </xf>
    <xf numFmtId="3" fontId="21" fillId="0" borderId="23" xfId="0" applyNumberFormat="1" applyFont="1" applyBorder="1"/>
    <xf numFmtId="173" fontId="0" fillId="0" borderId="0" xfId="1" applyNumberFormat="1" applyFont="1"/>
    <xf numFmtId="174" fontId="0" fillId="0" borderId="0" xfId="1" applyNumberFormat="1" applyFont="1"/>
    <xf numFmtId="0" fontId="0" fillId="0" borderId="0" xfId="1" applyNumberFormat="1" applyFont="1" applyFill="1"/>
    <xf numFmtId="0" fontId="0" fillId="0" borderId="0" xfId="1" applyNumberFormat="1" applyFont="1"/>
    <xf numFmtId="10" fontId="0" fillId="0" borderId="0" xfId="10" applyNumberFormat="1" applyFont="1"/>
    <xf numFmtId="14" fontId="0" fillId="0" borderId="0" xfId="1" applyNumberFormat="1" applyFont="1"/>
    <xf numFmtId="16" fontId="0" fillId="0" borderId="0" xfId="0" applyNumberFormat="1"/>
    <xf numFmtId="14" fontId="0" fillId="0" borderId="0" xfId="0" applyNumberFormat="1"/>
    <xf numFmtId="0" fontId="2" fillId="0" borderId="0" xfId="1" applyNumberFormat="1" applyFont="1"/>
    <xf numFmtId="175" fontId="0" fillId="0" borderId="0" xfId="1" applyNumberFormat="1" applyFont="1"/>
    <xf numFmtId="0" fontId="0" fillId="2" borderId="0" xfId="1" applyNumberFormat="1" applyFont="1" applyFill="1"/>
    <xf numFmtId="164" fontId="2" fillId="0" borderId="3" xfId="1" applyFont="1" applyBorder="1" applyAlignment="1">
      <alignment horizontal="center" vertical="center"/>
    </xf>
    <xf numFmtId="164" fontId="2" fillId="2" borderId="3" xfId="1" applyFont="1" applyFill="1" applyBorder="1" applyAlignment="1">
      <alignment horizontal="center" vertical="center"/>
    </xf>
    <xf numFmtId="164" fontId="2" fillId="2" borderId="2" xfId="1" applyFont="1" applyFill="1" applyBorder="1" applyAlignment="1">
      <alignment horizontal="center" vertical="center"/>
    </xf>
    <xf numFmtId="164" fontId="2" fillId="2" borderId="5" xfId="1" applyFont="1" applyFill="1" applyBorder="1" applyAlignment="1">
      <alignment horizontal="center" vertical="center"/>
    </xf>
    <xf numFmtId="164" fontId="2" fillId="2" borderId="4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1" applyFont="1" applyFill="1" applyBorder="1" applyAlignment="1">
      <alignment horizontal="center" vertical="center"/>
    </xf>
    <xf numFmtId="164" fontId="16" fillId="0" borderId="3" xfId="1" applyFont="1" applyBorder="1" applyAlignment="1">
      <alignment horizontal="center" vertical="center"/>
    </xf>
    <xf numFmtId="164" fontId="16" fillId="2" borderId="3" xfId="1" applyFont="1" applyFill="1" applyBorder="1" applyAlignment="1">
      <alignment horizontal="center" vertical="center"/>
    </xf>
    <xf numFmtId="164" fontId="16" fillId="2" borderId="2" xfId="1" applyFont="1" applyFill="1" applyBorder="1" applyAlignment="1">
      <alignment horizontal="center" vertical="center"/>
    </xf>
    <xf numFmtId="164" fontId="16" fillId="2" borderId="5" xfId="1" applyFont="1" applyFill="1" applyBorder="1" applyAlignment="1">
      <alignment horizontal="center" vertical="center"/>
    </xf>
    <xf numFmtId="164" fontId="16" fillId="2" borderId="4" xfId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64" fontId="16" fillId="0" borderId="3" xfId="1" applyFont="1" applyFill="1" applyBorder="1" applyAlignment="1">
      <alignment horizontal="center" vertical="center"/>
    </xf>
    <xf numFmtId="167" fontId="24" fillId="0" borderId="11" xfId="0" applyNumberFormat="1" applyFont="1" applyBorder="1"/>
    <xf numFmtId="0" fontId="20" fillId="0" borderId="12" xfId="0" applyFont="1" applyBorder="1"/>
    <xf numFmtId="167" fontId="21" fillId="0" borderId="11" xfId="0" applyNumberFormat="1" applyFont="1" applyBorder="1"/>
    <xf numFmtId="0" fontId="19" fillId="0" borderId="7" xfId="0" applyFont="1" applyBorder="1" applyAlignment="1">
      <alignment horizontal="center" vertical="center"/>
    </xf>
    <xf numFmtId="0" fontId="20" fillId="0" borderId="9" xfId="0" applyFont="1" applyBorder="1"/>
    <xf numFmtId="0" fontId="20" fillId="0" borderId="8" xfId="0" applyFont="1" applyBorder="1"/>
    <xf numFmtId="0" fontId="20" fillId="0" borderId="10" xfId="0" applyFont="1" applyBorder="1"/>
    <xf numFmtId="0" fontId="0" fillId="7" borderId="0" xfId="0" applyFill="1"/>
    <xf numFmtId="164" fontId="0" fillId="7" borderId="0" xfId="1" applyFont="1" applyFill="1"/>
    <xf numFmtId="0" fontId="0" fillId="7" borderId="0" xfId="1" applyNumberFormat="1" applyFont="1" applyFill="1"/>
    <xf numFmtId="10" fontId="0" fillId="7" borderId="0" xfId="10" applyNumberFormat="1" applyFont="1" applyFill="1"/>
    <xf numFmtId="43" fontId="0" fillId="7" borderId="0" xfId="0" applyNumberFormat="1" applyFill="1"/>
    <xf numFmtId="166" fontId="0" fillId="7" borderId="0" xfId="1" applyNumberFormat="1" applyFont="1" applyFill="1"/>
    <xf numFmtId="0" fontId="0" fillId="8" borderId="0" xfId="0" applyFill="1"/>
    <xf numFmtId="164" fontId="0" fillId="8" borderId="0" xfId="1" applyFont="1" applyFill="1"/>
    <xf numFmtId="10" fontId="0" fillId="8" borderId="0" xfId="10" applyNumberFormat="1" applyFont="1" applyFill="1"/>
    <xf numFmtId="166" fontId="0" fillId="8" borderId="0" xfId="1" applyNumberFormat="1" applyFont="1" applyFill="1"/>
    <xf numFmtId="0" fontId="0" fillId="9" borderId="0" xfId="0" applyFill="1"/>
    <xf numFmtId="164" fontId="0" fillId="9" borderId="0" xfId="1" applyFont="1" applyFill="1"/>
    <xf numFmtId="10" fontId="0" fillId="9" borderId="0" xfId="10" applyNumberFormat="1" applyFont="1" applyFill="1"/>
    <xf numFmtId="166" fontId="0" fillId="9" borderId="0" xfId="1" applyNumberFormat="1" applyFont="1" applyFill="1"/>
    <xf numFmtId="43" fontId="0" fillId="9" borderId="0" xfId="0" applyNumberFormat="1" applyFill="1"/>
  </cellXfs>
  <cellStyles count="27">
    <cellStyle name="Comma" xfId="1" builtinId="3"/>
    <cellStyle name="Comma 2" xfId="9" xr:uid="{83DA7020-6A9D-4ED2-A8B0-B882C1724B86}"/>
    <cellStyle name="Comma 3" xfId="15" xr:uid="{F7757C1E-E198-439B-9ECB-29BD088E2BC4}"/>
    <cellStyle name="Comma 4" xfId="23" xr:uid="{69555AC4-139D-4A24-A3A1-A911E19A1785}"/>
    <cellStyle name="Normal" xfId="0" builtinId="0"/>
    <cellStyle name="Normal 2" xfId="8" xr:uid="{3E457377-A026-4988-87C8-EEAB76BDA222}"/>
    <cellStyle name="Percent" xfId="10" builtinId="5"/>
    <cellStyle name="S0" xfId="2" xr:uid="{73251EB8-906A-46A9-B87F-FBFC034AE30E}"/>
    <cellStyle name="S1" xfId="3" xr:uid="{AAA3C487-D47B-4A91-8D8D-07E92E70C3CB}"/>
    <cellStyle name="S10" xfId="21" xr:uid="{02F67646-220E-4A9B-BEDF-69655B6C075C}"/>
    <cellStyle name="S10 2" xfId="26" xr:uid="{6159BF86-EA5D-4199-A4F7-9573B5DA7361}"/>
    <cellStyle name="S11" xfId="22" xr:uid="{04AE37AB-B417-4277-B13B-42665ABAA1ED}"/>
    <cellStyle name="S2" xfId="4" xr:uid="{6605B174-E7A8-407A-BDD2-12AE60E0790E}"/>
    <cellStyle name="S3" xfId="5" xr:uid="{7CE8FB54-4627-4684-9CF1-F882B6E3C4BB}"/>
    <cellStyle name="S4" xfId="6" xr:uid="{B2ABFC3F-9A9E-452F-98F3-00A4D5253187}"/>
    <cellStyle name="S5" xfId="7" xr:uid="{2CFDEDFE-AF6A-486E-B53C-EA37A9A3DD0B}"/>
    <cellStyle name="S5 2" xfId="16" xr:uid="{ED78FC9C-0713-4CC3-BE48-4B4BB094C2DF}"/>
    <cellStyle name="S6" xfId="11" xr:uid="{EF49E288-3B0B-4475-ACF8-6EC1C099753C}"/>
    <cellStyle name="S6 2" xfId="17" xr:uid="{0D9BCBF0-8690-4781-92ED-2DD67ED004CE}"/>
    <cellStyle name="S7" xfId="12" xr:uid="{3B84BCEE-FB5D-48C6-BA0E-6548A9934D4E}"/>
    <cellStyle name="S7 2" xfId="18" xr:uid="{432BCD88-9E17-4FC6-875B-1B4ADB2D0853}"/>
    <cellStyle name="S8" xfId="13" xr:uid="{E09F15DC-7DE3-4DDB-9AFB-B9BB1DE9B490}"/>
    <cellStyle name="S8 2" xfId="19" xr:uid="{47DBB840-CDC5-4F1E-82CF-028088BDE4BE}"/>
    <cellStyle name="S8 3" xfId="24" xr:uid="{2B7A553F-B477-491C-88A4-A5B2157B7D22}"/>
    <cellStyle name="S9" xfId="14" xr:uid="{55831541-ECD1-446F-B5EF-52EC7C42EE7F}"/>
    <cellStyle name="S9 2" xfId="20" xr:uid="{5185B2BE-EE15-444A-9EE1-885360FB9E93}"/>
    <cellStyle name="S9 3" xfId="25" xr:uid="{BADE2FD0-301E-4AB8-87FC-51378DDE422F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422072</xdr:colOff>
      <xdr:row>0</xdr:row>
      <xdr:rowOff>0</xdr:rowOff>
    </xdr:from>
    <xdr:to>
      <xdr:col>18</xdr:col>
      <xdr:colOff>734907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766078-73F1-3750-1585-B3CED552A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3472" y="0"/>
          <a:ext cx="7742335" cy="1819275"/>
        </a:xfrm>
        <a:prstGeom prst="rect">
          <a:avLst/>
        </a:prstGeom>
      </xdr:spPr>
    </xdr:pic>
    <xdr:clientData/>
  </xdr:twoCellAnchor>
  <xdr:twoCellAnchor editAs="oneCell">
    <xdr:from>
      <xdr:col>9</xdr:col>
      <xdr:colOff>423229</xdr:colOff>
      <xdr:row>11</xdr:row>
      <xdr:rowOff>28576</xdr:rowOff>
    </xdr:from>
    <xdr:to>
      <xdr:col>18</xdr:col>
      <xdr:colOff>733425</xdr:colOff>
      <xdr:row>23</xdr:row>
      <xdr:rowOff>90886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874846-3CE8-72EA-B52D-E3D8080CF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4629" y="1971676"/>
          <a:ext cx="7739696" cy="2348310"/>
        </a:xfrm>
        <a:prstGeom prst="rect">
          <a:avLst/>
        </a:prstGeom>
      </xdr:spPr>
    </xdr:pic>
    <xdr:clientData/>
  </xdr:twoCellAnchor>
  <xdr:twoCellAnchor editAs="oneCell">
    <xdr:from>
      <xdr:col>9</xdr:col>
      <xdr:colOff>261112</xdr:colOff>
      <xdr:row>28</xdr:row>
      <xdr:rowOff>66675</xdr:rowOff>
    </xdr:from>
    <xdr:to>
      <xdr:col>17</xdr:col>
      <xdr:colOff>420581</xdr:colOff>
      <xdr:row>37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415905-2B85-43D9-9F75-BE7788A0D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52512" y="5248275"/>
          <a:ext cx="6636469" cy="168592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38</xdr:row>
      <xdr:rowOff>114300</xdr:rowOff>
    </xdr:from>
    <xdr:to>
      <xdr:col>17</xdr:col>
      <xdr:colOff>544398</xdr:colOff>
      <xdr:row>47</xdr:row>
      <xdr:rowOff>77845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E9456C-FDFB-C244-975A-BBD9B6AE7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91425" y="7200900"/>
          <a:ext cx="6821373" cy="1563745"/>
        </a:xfrm>
        <a:prstGeom prst="rect">
          <a:avLst/>
        </a:prstGeom>
      </xdr:spPr>
    </xdr:pic>
    <xdr:clientData/>
  </xdr:twoCellAnchor>
  <xdr:twoCellAnchor editAs="oneCell">
    <xdr:from>
      <xdr:col>9</xdr:col>
      <xdr:colOff>398707</xdr:colOff>
      <xdr:row>65</xdr:row>
      <xdr:rowOff>19050</xdr:rowOff>
    </xdr:from>
    <xdr:to>
      <xdr:col>17</xdr:col>
      <xdr:colOff>601552</xdr:colOff>
      <xdr:row>74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BF557F-5242-CAE7-618A-00796D3F7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33232" y="12134850"/>
          <a:ext cx="6679845" cy="1724025"/>
        </a:xfrm>
        <a:prstGeom prst="rect">
          <a:avLst/>
        </a:prstGeom>
      </xdr:spPr>
    </xdr:pic>
    <xdr:clientData/>
  </xdr:twoCellAnchor>
  <xdr:twoCellAnchor editAs="oneCell">
    <xdr:from>
      <xdr:col>10</xdr:col>
      <xdr:colOff>58426</xdr:colOff>
      <xdr:row>77</xdr:row>
      <xdr:rowOff>38100</xdr:rowOff>
    </xdr:from>
    <xdr:to>
      <xdr:col>17</xdr:col>
      <xdr:colOff>933450</xdr:colOff>
      <xdr:row>86</xdr:row>
      <xdr:rowOff>188656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375464-CC89-80F7-FBBE-B2F0B68BB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59426" y="14316075"/>
          <a:ext cx="6742424" cy="1865056"/>
        </a:xfrm>
        <a:prstGeom prst="rect">
          <a:avLst/>
        </a:prstGeom>
      </xdr:spPr>
    </xdr:pic>
    <xdr:clientData/>
  </xdr:twoCellAnchor>
  <xdr:twoCellAnchor editAs="oneCell">
    <xdr:from>
      <xdr:col>10</xdr:col>
      <xdr:colOff>19049</xdr:colOff>
      <xdr:row>87</xdr:row>
      <xdr:rowOff>180976</xdr:rowOff>
    </xdr:from>
    <xdr:to>
      <xdr:col>17</xdr:col>
      <xdr:colOff>458660</xdr:colOff>
      <xdr:row>97</xdr:row>
      <xdr:rowOff>3374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BBCFF5-2A35-A2C1-1547-1CAD643B7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20049" y="16363951"/>
          <a:ext cx="6307011" cy="1727398"/>
        </a:xfrm>
        <a:prstGeom prst="rect">
          <a:avLst/>
        </a:prstGeom>
      </xdr:spPr>
    </xdr:pic>
    <xdr:clientData/>
  </xdr:twoCellAnchor>
  <xdr:twoCellAnchor editAs="oneCell">
    <xdr:from>
      <xdr:col>18</xdr:col>
      <xdr:colOff>269910</xdr:colOff>
      <xdr:row>65</xdr:row>
      <xdr:rowOff>123825</xdr:rowOff>
    </xdr:from>
    <xdr:to>
      <xdr:col>28</xdr:col>
      <xdr:colOff>49078</xdr:colOff>
      <xdr:row>74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0224D60-B7D4-D5FA-D462-6B430F205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090810" y="12239625"/>
          <a:ext cx="6218068" cy="1666875"/>
        </a:xfrm>
        <a:prstGeom prst="rect">
          <a:avLst/>
        </a:prstGeom>
      </xdr:spPr>
    </xdr:pic>
    <xdr:clientData/>
  </xdr:twoCellAnchor>
  <xdr:twoCellAnchor editAs="oneCell">
    <xdr:from>
      <xdr:col>18</xdr:col>
      <xdr:colOff>228599</xdr:colOff>
      <xdr:row>78</xdr:row>
      <xdr:rowOff>66675</xdr:rowOff>
    </xdr:from>
    <xdr:to>
      <xdr:col>28</xdr:col>
      <xdr:colOff>366620</xdr:colOff>
      <xdr:row>86</xdr:row>
      <xdr:rowOff>26821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05B5899-410C-C362-499B-8F38F7535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049499" y="14535150"/>
          <a:ext cx="6576921" cy="1484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8E27-78B9-41ED-AE5B-8BD665AE093E}">
  <dimension ref="J14:O15"/>
  <sheetViews>
    <sheetView workbookViewId="0">
      <selection activeCell="M15" sqref="M15:O15"/>
    </sheetView>
  </sheetViews>
  <sheetFormatPr defaultRowHeight="14.5" x14ac:dyDescent="0.35"/>
  <sheetData>
    <row r="14" spans="10:15" x14ac:dyDescent="0.35">
      <c r="L14" t="s">
        <v>3</v>
      </c>
      <c r="M14" t="s">
        <v>1</v>
      </c>
      <c r="N14" t="s">
        <v>3</v>
      </c>
      <c r="O14" t="s">
        <v>2</v>
      </c>
    </row>
    <row r="15" spans="10:15" x14ac:dyDescent="0.35">
      <c r="J15" t="s">
        <v>0</v>
      </c>
      <c r="K15">
        <f>121.75+133.92+119.95</f>
        <v>375.62</v>
      </c>
      <c r="M15">
        <v>279.63</v>
      </c>
      <c r="O15">
        <f>+K15-M15</f>
        <v>95.990000000000009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B8CA-49ED-4794-9013-39F5DAF0F7BF}">
  <sheetPr>
    <pageSetUpPr fitToPage="1"/>
  </sheetPr>
  <dimension ref="A1:R88"/>
  <sheetViews>
    <sheetView zoomScale="80" zoomScaleNormal="80" workbookViewId="0">
      <pane xSplit="3" ySplit="9" topLeftCell="D10" activePane="bottomRight" state="frozen"/>
      <selection pane="topRight" activeCell="D1" sqref="D1"/>
      <selection pane="bottomLeft" activeCell="A6" sqref="A6"/>
      <selection pane="bottomRight" activeCell="B5" sqref="B5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1.26953125" bestFit="1" customWidth="1"/>
    <col min="4" max="4" width="2" customWidth="1"/>
    <col min="5" max="5" width="11.54296875" style="2" hidden="1" customWidth="1"/>
    <col min="6" max="6" width="16.26953125" style="2" hidden="1" customWidth="1"/>
    <col min="7" max="7" width="15.1796875" style="2" bestFit="1" customWidth="1"/>
    <col min="8" max="8" width="42.453125" style="2" bestFit="1" customWidth="1"/>
    <col min="9" max="9" width="11.26953125" style="2" bestFit="1" customWidth="1"/>
    <col min="10" max="10" width="10" style="2" customWidth="1"/>
    <col min="11" max="11" width="17.81640625" style="2" bestFit="1" customWidth="1"/>
    <col min="12" max="12" width="13.453125" style="2" bestFit="1" customWidth="1"/>
    <col min="13" max="13" width="16.26953125" style="2" bestFit="1" customWidth="1"/>
    <col min="14" max="15" width="17" style="2" customWidth="1"/>
    <col min="16" max="16" width="22.26953125" style="2" bestFit="1" customWidth="1"/>
    <col min="17" max="17" width="15.54296875" customWidth="1"/>
    <col min="18" max="18" width="12.4531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t="s">
        <v>3865</v>
      </c>
    </row>
    <row r="3" spans="1:18" x14ac:dyDescent="0.35">
      <c r="A3" s="101" t="s">
        <v>3866</v>
      </c>
      <c r="B3" s="2">
        <v>168000000</v>
      </c>
      <c r="C3" s="19">
        <v>7000</v>
      </c>
      <c r="G3" s="101" t="s">
        <v>3870</v>
      </c>
      <c r="H3" s="116" t="s">
        <v>3928</v>
      </c>
      <c r="I3" s="2">
        <f>+B3/C3</f>
        <v>24000</v>
      </c>
    </row>
    <row r="4" spans="1:18" x14ac:dyDescent="0.35">
      <c r="A4" s="101" t="s">
        <v>3867</v>
      </c>
      <c r="B4" s="2">
        <v>7000000</v>
      </c>
      <c r="G4" s="101" t="s">
        <v>3872</v>
      </c>
      <c r="H4" s="115">
        <v>46334</v>
      </c>
    </row>
    <row r="5" spans="1:18" x14ac:dyDescent="0.35">
      <c r="A5" s="101" t="s">
        <v>3868</v>
      </c>
      <c r="B5" s="2">
        <f>10553120+1762160</f>
        <v>12315280</v>
      </c>
    </row>
    <row r="6" spans="1:18" x14ac:dyDescent="0.35">
      <c r="A6" s="102" t="s">
        <v>3869</v>
      </c>
      <c r="B6" s="19">
        <f>SUM(B3:B5)</f>
        <v>187315280</v>
      </c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SUM(K11:K65)/M10-1</f>
        <v>-6.2718214979578857E-2</v>
      </c>
    </row>
    <row r="9" spans="1:18" ht="30.7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14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f>+C3</f>
        <v>7000</v>
      </c>
      <c r="F10" s="5">
        <f>+B6</f>
        <v>187315280</v>
      </c>
      <c r="G10" s="5"/>
      <c r="H10" s="5"/>
      <c r="I10" s="5">
        <f>SUM(I11:I79)</f>
        <v>5914.9000000000005</v>
      </c>
      <c r="J10" s="111">
        <f>+SUM(J11:J79)</f>
        <v>0.84498571428571434</v>
      </c>
      <c r="K10" s="5">
        <f>+SUM(K11:K79)</f>
        <v>176190200</v>
      </c>
      <c r="L10" s="5"/>
      <c r="M10" s="5">
        <f>+SUM(M11:M79)</f>
        <v>187315280</v>
      </c>
      <c r="N10" s="5"/>
      <c r="O10" s="5">
        <f>+SUM(O11:O79)</f>
        <v>-11125080.000000002</v>
      </c>
    </row>
    <row r="11" spans="1:18" x14ac:dyDescent="0.35">
      <c r="A11" t="s">
        <v>3873</v>
      </c>
      <c r="B11" s="3">
        <f>_xlfn.IFNA(_xlfn.XLOOKUP(A11,'Price list'!D:D,'Price list'!E:E),0)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/>
      <c r="J11" s="26">
        <f>IF(F11/E$10&gt;0,F11/E$10,I11/E$10)</f>
        <v>0</v>
      </c>
      <c r="K11" s="3">
        <f t="shared" ref="K11:K74" si="0">+B11*(F11+I11)</f>
        <v>0</v>
      </c>
      <c r="L11" s="27">
        <f>IFERROR(((K11/SUM($K$11:$K$79))*$F$10)/(F11+I11),0)</f>
        <v>0</v>
      </c>
      <c r="M11" s="3">
        <f>+L11*(F11+I11)</f>
        <v>0</v>
      </c>
      <c r="N11" s="3">
        <f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list'!D:D,'Price list'!E:E),0)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/>
      <c r="J12" s="26">
        <f>IF(F12/E$10&gt;0,F12/E$10,I12/E$10)</f>
        <v>0</v>
      </c>
      <c r="K12" s="3">
        <f t="shared" si="0"/>
        <v>0</v>
      </c>
      <c r="L12" s="27">
        <f t="shared" ref="L12:L75" si="1">IFERROR(((K12/SUM($K$11:$K$79))*$F$10)/(F12+I12),0)</f>
        <v>0</v>
      </c>
      <c r="M12" s="3">
        <f t="shared" ref="M12:M75" si="2">+L12*(F12+I12)</f>
        <v>0</v>
      </c>
      <c r="N12" s="3">
        <f>IF(L12=0,0,B12-L12)</f>
        <v>0</v>
      </c>
      <c r="O12" s="3">
        <f t="shared" ref="O12:O75" si="3">+K12-M12</f>
        <v>0</v>
      </c>
      <c r="P12" s="3"/>
      <c r="R12" s="3"/>
    </row>
    <row r="13" spans="1:18" x14ac:dyDescent="0.35">
      <c r="A13" t="s">
        <v>3875</v>
      </c>
      <c r="B13" s="3">
        <f>_xlfn.IFNA(_xlfn.XLOOKUP(A13,'Price list'!D:D,'Price list'!E:E),0)</f>
        <v>36500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/>
      <c r="J13" s="26">
        <f>IF(F13/E$10&gt;0,F13/E$10,I13/E$10)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ref="N13:N76" si="4">IF(L13=0,0,B13-L13)</f>
        <v>0</v>
      </c>
      <c r="O13" s="3">
        <f t="shared" si="3"/>
        <v>0</v>
      </c>
      <c r="P13" s="3"/>
    </row>
    <row r="14" spans="1:18" x14ac:dyDescent="0.35">
      <c r="A14" t="s">
        <v>3876</v>
      </c>
      <c r="B14" s="3">
        <f>_xlfn.IFNA(_xlfn.XLOOKUP(A14,'Price list'!D:D,'Price list'!E:E),0)</f>
        <v>36500</v>
      </c>
      <c r="C14" t="s">
        <v>9</v>
      </c>
      <c r="E14" s="3"/>
      <c r="F14" s="3"/>
      <c r="G14" s="3"/>
      <c r="H14" s="3" t="str">
        <f>IF(G14=0,"",_xlfn.XLOOKUP(G14,List_item!A:A,List_item!B:B))</f>
        <v/>
      </c>
      <c r="I14" s="3"/>
      <c r="J14" s="26">
        <f t="shared" ref="J14:J77" si="5">IF(F14/E$10&gt;0,F14/E$10,I14/E$10)</f>
        <v>0</v>
      </c>
      <c r="K14" s="3">
        <f t="shared" si="0"/>
        <v>0</v>
      </c>
      <c r="L14" s="27">
        <f t="shared" si="1"/>
        <v>0</v>
      </c>
      <c r="M14" s="3">
        <f t="shared" si="2"/>
        <v>0</v>
      </c>
      <c r="N14" s="3">
        <f t="shared" si="4"/>
        <v>0</v>
      </c>
      <c r="O14" s="3">
        <f t="shared" si="3"/>
        <v>0</v>
      </c>
      <c r="P14" s="3"/>
    </row>
    <row r="15" spans="1:18" x14ac:dyDescent="0.35">
      <c r="A15" t="s">
        <v>3877</v>
      </c>
      <c r="B15" s="3">
        <f>_xlfn.IFNA(_xlfn.XLOOKUP(A15,'Price list'!D:D,'Price list'!E:E),0)</f>
        <v>36500</v>
      </c>
      <c r="C15" t="s">
        <v>9</v>
      </c>
      <c r="E15"/>
      <c r="F15"/>
      <c r="G15" s="3"/>
      <c r="H15" s="3" t="str">
        <f>IF(G15=0,"",_xlfn.XLOOKUP(G15,List_item!A:A,List_item!B:B))</f>
        <v/>
      </c>
      <c r="I15" s="3"/>
      <c r="J15" s="26">
        <f>IF(F15/E$10&gt;0,F15/E$10,I15/E$10)</f>
        <v>0</v>
      </c>
      <c r="K15" s="3">
        <f t="shared" si="0"/>
        <v>0</v>
      </c>
      <c r="L15" s="27">
        <f t="shared" si="1"/>
        <v>0</v>
      </c>
      <c r="M15" s="3">
        <f t="shared" si="2"/>
        <v>0</v>
      </c>
      <c r="N15" s="3">
        <f t="shared" si="4"/>
        <v>0</v>
      </c>
      <c r="O15" s="3">
        <f t="shared" si="3"/>
        <v>0</v>
      </c>
      <c r="P15" s="3"/>
    </row>
    <row r="16" spans="1:18" x14ac:dyDescent="0.35">
      <c r="A16" t="s">
        <v>3878</v>
      </c>
      <c r="B16" s="3">
        <f>_xlfn.IFNA(_xlfn.XLOOKUP(A16,'Price list'!D:D,'Price list'!E:E),0)</f>
        <v>36500</v>
      </c>
      <c r="C16" t="s">
        <v>9</v>
      </c>
      <c r="E16" s="3"/>
      <c r="F16"/>
      <c r="G16" s="3" t="s">
        <v>2221</v>
      </c>
      <c r="H16" s="3" t="str">
        <f>IF(G16=0,"",_xlfn.XLOOKUP(G16,List_item!A:A,List_item!B:B))</f>
        <v>Karkas Uk 0.7 Karkas Uk 0.7 Frozen Premium</v>
      </c>
      <c r="I16" s="3">
        <v>7.7</v>
      </c>
      <c r="J16" s="26">
        <f t="shared" si="5"/>
        <v>1.1000000000000001E-3</v>
      </c>
      <c r="K16" s="3">
        <f t="shared" si="0"/>
        <v>281050</v>
      </c>
      <c r="L16" s="27">
        <f t="shared" si="1"/>
        <v>38804.699239798807</v>
      </c>
      <c r="M16" s="3">
        <f t="shared" si="2"/>
        <v>298796.18414645083</v>
      </c>
      <c r="N16" s="3">
        <f>IF(L16=0,0,B16-L16)</f>
        <v>-2304.699239798807</v>
      </c>
      <c r="O16" s="3">
        <f t="shared" si="3"/>
        <v>-17746.184146450832</v>
      </c>
      <c r="P16" s="3"/>
    </row>
    <row r="17" spans="1:16" x14ac:dyDescent="0.35">
      <c r="A17" t="s">
        <v>3879</v>
      </c>
      <c r="B17" s="3">
        <f>_xlfn.IFNA(_xlfn.XLOOKUP(A17,'Price list'!D:D,'Price list'!E:E),0)</f>
        <v>36500</v>
      </c>
      <c r="C17" t="s">
        <v>9</v>
      </c>
      <c r="E17" s="6"/>
      <c r="F17"/>
      <c r="G17" s="3" t="s">
        <v>2222</v>
      </c>
      <c r="H17" s="3" t="str">
        <f>IF(G17=0,"",_xlfn.XLOOKUP(G17,List_item!A:A,List_item!B:B))</f>
        <v>Karkas Uk 0.8 Frozen Premium</v>
      </c>
      <c r="I17" s="3">
        <v>9.6999999999999993</v>
      </c>
      <c r="J17" s="26">
        <f t="shared" si="5"/>
        <v>1.3857142857142857E-3</v>
      </c>
      <c r="K17" s="3">
        <f t="shared" si="0"/>
        <v>354050</v>
      </c>
      <c r="L17" s="27">
        <f t="shared" si="1"/>
        <v>38804.699239798814</v>
      </c>
      <c r="M17" s="3">
        <f t="shared" si="2"/>
        <v>376405.58262604848</v>
      </c>
      <c r="N17" s="3">
        <f t="shared" si="4"/>
        <v>-2304.6992397988142</v>
      </c>
      <c r="O17" s="3">
        <f t="shared" si="3"/>
        <v>-22355.582626048476</v>
      </c>
      <c r="P17" s="3"/>
    </row>
    <row r="18" spans="1:16" x14ac:dyDescent="0.35">
      <c r="A18" t="s">
        <v>3880</v>
      </c>
      <c r="B18" s="3">
        <f>_xlfn.IFNA(_xlfn.XLOOKUP(A18,'Price list'!D:D,'Price list'!E:E),0)</f>
        <v>36500</v>
      </c>
      <c r="C18" t="s">
        <v>9</v>
      </c>
      <c r="E18" s="3"/>
      <c r="F18" s="3"/>
      <c r="G18" s="3" t="s">
        <v>923</v>
      </c>
      <c r="H18" s="3" t="str">
        <f>IF(G18=0,"",_xlfn.XLOOKUP(G18,List_item!A:A,List_item!B:B))</f>
        <v>Karkas Uk 1.0 Karkas Uk 1.0 Frozen Premium</v>
      </c>
      <c r="I18" s="3">
        <v>21.4</v>
      </c>
      <c r="J18" s="26">
        <f t="shared" si="5"/>
        <v>3.0571428571428568E-3</v>
      </c>
      <c r="K18" s="3">
        <f t="shared" si="0"/>
        <v>781100</v>
      </c>
      <c r="L18" s="27">
        <f t="shared" si="1"/>
        <v>38804.699239798807</v>
      </c>
      <c r="M18" s="3">
        <f t="shared" si="2"/>
        <v>830420.56373169436</v>
      </c>
      <c r="N18" s="3">
        <f t="shared" si="4"/>
        <v>-2304.699239798807</v>
      </c>
      <c r="O18" s="3">
        <f t="shared" si="3"/>
        <v>-49320.563731694361</v>
      </c>
      <c r="P18" s="3"/>
    </row>
    <row r="19" spans="1:16" x14ac:dyDescent="0.35">
      <c r="A19" t="s">
        <v>3881</v>
      </c>
      <c r="B19" s="3">
        <f>_xlfn.IFNA(_xlfn.XLOOKUP(A19,'Price list'!D:D,'Price list'!E:E),0)</f>
        <v>36500</v>
      </c>
      <c r="C19" t="s">
        <v>9</v>
      </c>
      <c r="E19" s="3"/>
      <c r="F19" s="3"/>
      <c r="G19" s="3" t="s">
        <v>989</v>
      </c>
      <c r="H19" s="3" t="str">
        <f>IF(G19=0,"",_xlfn.XLOOKUP(G19,List_item!A:A,List_item!B:B))</f>
        <v>Karkas Uk 1.1 Karkas Uk 1.1 Frozen Premium</v>
      </c>
      <c r="I19" s="3">
        <v>75.900000000000006</v>
      </c>
      <c r="J19" s="26">
        <f t="shared" si="5"/>
        <v>1.0842857142857144E-2</v>
      </c>
      <c r="K19" s="3">
        <f t="shared" si="0"/>
        <v>2770350</v>
      </c>
      <c r="L19" s="27">
        <f t="shared" si="1"/>
        <v>38804.699239798807</v>
      </c>
      <c r="M19" s="3">
        <f t="shared" si="2"/>
        <v>2945276.6723007299</v>
      </c>
      <c r="N19" s="3">
        <f t="shared" si="4"/>
        <v>-2304.699239798807</v>
      </c>
      <c r="O19" s="3">
        <f t="shared" si="3"/>
        <v>-174926.6723007299</v>
      </c>
      <c r="P19" s="3"/>
    </row>
    <row r="20" spans="1:16" x14ac:dyDescent="0.35">
      <c r="A20" t="s">
        <v>3882</v>
      </c>
      <c r="B20" s="3">
        <f>_xlfn.IFNA(_xlfn.XLOOKUP(A20,'Price list'!D:D,'Price list'!E:E),0)</f>
        <v>36500</v>
      </c>
      <c r="C20" t="s">
        <v>9</v>
      </c>
      <c r="E20" s="3"/>
      <c r="F20" s="3"/>
      <c r="G20" s="3" t="s">
        <v>1055</v>
      </c>
      <c r="H20" s="3" t="str">
        <f>IF(G20=0,"",_xlfn.XLOOKUP(G20,List_item!A:A,List_item!B:B))</f>
        <v>Karkas Uk 1.2 Karkas Uk 1.2 Frozen Premium</v>
      </c>
      <c r="I20" s="3">
        <v>189.6</v>
      </c>
      <c r="J20" s="26">
        <f t="shared" si="5"/>
        <v>2.7085714285714286E-2</v>
      </c>
      <c r="K20" s="3">
        <f t="shared" si="0"/>
        <v>6920400</v>
      </c>
      <c r="L20" s="27">
        <f t="shared" si="1"/>
        <v>38804.699239798807</v>
      </c>
      <c r="M20" s="3">
        <f t="shared" si="2"/>
        <v>7357370.975865854</v>
      </c>
      <c r="N20" s="3">
        <f t="shared" si="4"/>
        <v>-2304.699239798807</v>
      </c>
      <c r="O20" s="3">
        <f t="shared" si="3"/>
        <v>-436970.97586585395</v>
      </c>
      <c r="P20" s="3"/>
    </row>
    <row r="21" spans="1:16" x14ac:dyDescent="0.35">
      <c r="A21" s="103" t="s">
        <v>3883</v>
      </c>
      <c r="B21" s="3">
        <f>_xlfn.IFNA(_xlfn.XLOOKUP(A21,'Price list'!D:D,'Price list'!E:E),0)</f>
        <v>36500</v>
      </c>
      <c r="C21" s="103" t="s">
        <v>9</v>
      </c>
      <c r="D21" s="103"/>
      <c r="E21" s="104"/>
      <c r="F21" s="104"/>
      <c r="G21" s="104" t="s">
        <v>1089</v>
      </c>
      <c r="H21" s="104" t="str">
        <f>IF(G21=0,"",_xlfn.XLOOKUP(G21,List_item!A:A,List_item!B:B))</f>
        <v>Karkas Uk 1.3 Karkas Uk 1.3 Fresh Premium</v>
      </c>
      <c r="I21" s="104">
        <v>356.9</v>
      </c>
      <c r="J21" s="106">
        <f t="shared" si="5"/>
        <v>5.098571428571428E-2</v>
      </c>
      <c r="K21" s="104">
        <f t="shared" si="0"/>
        <v>13026850</v>
      </c>
      <c r="L21" s="107">
        <f t="shared" si="1"/>
        <v>38804.699239798807</v>
      </c>
      <c r="M21" s="104">
        <f t="shared" si="2"/>
        <v>13849397.158684194</v>
      </c>
      <c r="N21" s="104">
        <f t="shared" si="4"/>
        <v>-2304.699239798807</v>
      </c>
      <c r="O21" s="104">
        <f t="shared" si="3"/>
        <v>-822547.15868419409</v>
      </c>
      <c r="P21" s="104"/>
    </row>
    <row r="22" spans="1:16" x14ac:dyDescent="0.35">
      <c r="A22" s="103" t="s">
        <v>3884</v>
      </c>
      <c r="B22" s="3">
        <f>_xlfn.IFNA(_xlfn.XLOOKUP(A22,'Price list'!D:D,'Price list'!E:E),0)</f>
        <v>36500</v>
      </c>
      <c r="C22" s="103" t="s">
        <v>9</v>
      </c>
      <c r="D22" s="103"/>
      <c r="E22" s="104"/>
      <c r="F22" s="104"/>
      <c r="G22" s="104" t="s">
        <v>1155</v>
      </c>
      <c r="H22" s="104" t="str">
        <f>IF(G22=0,"",_xlfn.XLOOKUP(G22,List_item!A:A,List_item!B:B))</f>
        <v>Karkas Uk 1.4 Karkas Uk 1.4 Fresh Premium</v>
      </c>
      <c r="I22" s="104">
        <v>608.4</v>
      </c>
      <c r="J22" s="106">
        <f t="shared" si="5"/>
        <v>8.6914285714285708E-2</v>
      </c>
      <c r="K22" s="104">
        <f t="shared" si="0"/>
        <v>22206600</v>
      </c>
      <c r="L22" s="107">
        <f t="shared" si="1"/>
        <v>38804.699239798814</v>
      </c>
      <c r="M22" s="104">
        <f t="shared" si="2"/>
        <v>23608779.017493598</v>
      </c>
      <c r="N22" s="104">
        <f t="shared" si="4"/>
        <v>-2304.6992397988142</v>
      </c>
      <c r="O22" s="104">
        <f t="shared" si="3"/>
        <v>-1402179.0174935982</v>
      </c>
      <c r="P22" s="104"/>
    </row>
    <row r="23" spans="1:16" x14ac:dyDescent="0.35">
      <c r="A23" s="103" t="s">
        <v>3849</v>
      </c>
      <c r="B23" s="3">
        <f>_xlfn.IFNA(_xlfn.XLOOKUP(A23,'Price list'!D:D,'Price list'!E:E),0)</f>
        <v>36500</v>
      </c>
      <c r="C23" s="103" t="s">
        <v>9</v>
      </c>
      <c r="D23" s="103"/>
      <c r="E23" s="104"/>
      <c r="F23" s="104"/>
      <c r="G23" s="104" t="s">
        <v>30</v>
      </c>
      <c r="H23" s="104" t="str">
        <f>IF(G23=0,"",_xlfn.XLOOKUP(G23,List_item!A:A,List_item!B:B))</f>
        <v>Karkas Uk 1.5 Karkas Uk 1.5 Fresh Premium</v>
      </c>
      <c r="I23" s="104">
        <v>840.7</v>
      </c>
      <c r="J23" s="106">
        <f t="shared" si="5"/>
        <v>0.12010000000000001</v>
      </c>
      <c r="K23" s="104">
        <f t="shared" si="0"/>
        <v>30685550</v>
      </c>
      <c r="L23" s="107">
        <f t="shared" si="1"/>
        <v>38804.699239798807</v>
      </c>
      <c r="M23" s="104">
        <f t="shared" si="2"/>
        <v>32623110.650898859</v>
      </c>
      <c r="N23" s="104">
        <f t="shared" si="4"/>
        <v>-2304.699239798807</v>
      </c>
      <c r="O23" s="104">
        <f t="shared" si="3"/>
        <v>-1937560.6508988589</v>
      </c>
      <c r="P23" s="104"/>
    </row>
    <row r="24" spans="1:16" x14ac:dyDescent="0.35">
      <c r="A24" s="103" t="s">
        <v>3885</v>
      </c>
      <c r="B24" s="3">
        <f>_xlfn.IFNA(_xlfn.XLOOKUP(A24,'Price list'!D:D,'Price list'!E:E),0)</f>
        <v>36500</v>
      </c>
      <c r="C24" s="103" t="s">
        <v>9</v>
      </c>
      <c r="D24" s="103"/>
      <c r="E24" s="104"/>
      <c r="F24" s="104"/>
      <c r="G24" s="104" t="s">
        <v>1286</v>
      </c>
      <c r="H24" s="104" t="str">
        <f>IF(G24=0,"",_xlfn.XLOOKUP(G24,List_item!A:A,List_item!B:B))</f>
        <v>Karkas Uk 1.6 Karkas Uk 1.6 Fresh Premium</v>
      </c>
      <c r="I24" s="104">
        <v>807.1</v>
      </c>
      <c r="J24" s="106">
        <f t="shared" si="5"/>
        <v>0.1153</v>
      </c>
      <c r="K24" s="104">
        <f t="shared" si="0"/>
        <v>29459150</v>
      </c>
      <c r="L24" s="107">
        <f t="shared" si="1"/>
        <v>38804.699239798807</v>
      </c>
      <c r="M24" s="104">
        <f t="shared" si="2"/>
        <v>31319272.756441619</v>
      </c>
      <c r="N24" s="104">
        <f t="shared" si="4"/>
        <v>-2304.699239798807</v>
      </c>
      <c r="O24" s="104">
        <f t="shared" si="3"/>
        <v>-1860122.7564416192</v>
      </c>
      <c r="P24" s="104"/>
    </row>
    <row r="25" spans="1:16" x14ac:dyDescent="0.35">
      <c r="A25" t="s">
        <v>3886</v>
      </c>
      <c r="B25" s="3">
        <f>_xlfn.IFNA(_xlfn.XLOOKUP(A25,'Price list'!D:D,'Price list'!E:E),0)</f>
        <v>36500</v>
      </c>
      <c r="C25" t="s">
        <v>9</v>
      </c>
      <c r="E25" s="3"/>
      <c r="F25" s="3"/>
      <c r="G25" s="3" t="s">
        <v>1384</v>
      </c>
      <c r="H25" s="3" t="str">
        <f>IF(G25=0,"",_xlfn.XLOOKUP(G25,List_item!A:A,List_item!B:B))</f>
        <v>Karkas Uk 1.7 Karkas Uk 1.7 Frozen Premium</v>
      </c>
      <c r="I25" s="3">
        <v>638.70000000000005</v>
      </c>
      <c r="J25" s="26">
        <f t="shared" si="5"/>
        <v>9.1242857142857153E-2</v>
      </c>
      <c r="K25" s="3">
        <f t="shared" si="0"/>
        <v>23312550</v>
      </c>
      <c r="L25" s="27">
        <f t="shared" si="1"/>
        <v>38804.699239798807</v>
      </c>
      <c r="M25" s="3">
        <f t="shared" si="2"/>
        <v>24784561.404459499</v>
      </c>
      <c r="N25" s="3">
        <f t="shared" si="4"/>
        <v>-2304.699239798807</v>
      </c>
      <c r="O25" s="3">
        <f t="shared" si="3"/>
        <v>-1472011.4044594988</v>
      </c>
      <c r="P25" s="3"/>
    </row>
    <row r="26" spans="1:16" x14ac:dyDescent="0.35">
      <c r="A26" t="s">
        <v>3887</v>
      </c>
      <c r="B26" s="3">
        <f>_xlfn.IFNA(_xlfn.XLOOKUP(A26,'Price list'!D:D,'Price list'!E:E),0)</f>
        <v>36500</v>
      </c>
      <c r="C26" t="s">
        <v>9</v>
      </c>
      <c r="E26" s="3"/>
      <c r="F26" s="3"/>
      <c r="G26" s="3" t="s">
        <v>1450</v>
      </c>
      <c r="H26" s="3" t="str">
        <f>IF(G26=0,"",_xlfn.XLOOKUP(G26,List_item!A:A,List_item!B:B))</f>
        <v>Karkas Uk 1.8 Karkas Uk 1.8 Frozen Premium</v>
      </c>
      <c r="I26" s="3">
        <v>553.1</v>
      </c>
      <c r="J26" s="26">
        <f t="shared" si="5"/>
        <v>7.9014285714285717E-2</v>
      </c>
      <c r="K26" s="3">
        <f t="shared" si="0"/>
        <v>20188150</v>
      </c>
      <c r="L26" s="27">
        <f t="shared" si="1"/>
        <v>38804.699239798807</v>
      </c>
      <c r="M26" s="3">
        <f t="shared" si="2"/>
        <v>21462879.14953272</v>
      </c>
      <c r="N26" s="3">
        <f t="shared" si="4"/>
        <v>-2304.699239798807</v>
      </c>
      <c r="O26" s="3">
        <f t="shared" si="3"/>
        <v>-1274729.1495327204</v>
      </c>
      <c r="P26" s="3"/>
    </row>
    <row r="27" spans="1:16" x14ac:dyDescent="0.35">
      <c r="A27" t="s">
        <v>3888</v>
      </c>
      <c r="B27" s="3">
        <f>_xlfn.IFNA(_xlfn.XLOOKUP(A27,'Price list'!D:D,'Price list'!E:E),0)</f>
        <v>36500</v>
      </c>
      <c r="C27" t="s">
        <v>9</v>
      </c>
      <c r="E27" s="3"/>
      <c r="F27" s="3"/>
      <c r="G27" s="3" t="s">
        <v>1582</v>
      </c>
      <c r="H27" s="3" t="str">
        <f>IF(G27=0,"",_xlfn.XLOOKUP(G27,List_item!A:A,List_item!B:B))</f>
        <v>Karkas Uk 2.0 Karkas Uk 2.0 Frozen Premium</v>
      </c>
      <c r="I27" s="3">
        <v>192.2</v>
      </c>
      <c r="J27" s="26">
        <f t="shared" si="5"/>
        <v>2.7457142857142857E-2</v>
      </c>
      <c r="K27" s="3">
        <f t="shared" si="0"/>
        <v>7015300</v>
      </c>
      <c r="L27" s="27">
        <f t="shared" si="1"/>
        <v>38804.699239798807</v>
      </c>
      <c r="M27" s="3">
        <f t="shared" si="2"/>
        <v>7458263.1938893301</v>
      </c>
      <c r="N27" s="3">
        <f t="shared" si="4"/>
        <v>-2304.699239798807</v>
      </c>
      <c r="O27" s="3">
        <f t="shared" si="3"/>
        <v>-442963.19388933014</v>
      </c>
      <c r="P27" s="3"/>
    </row>
    <row r="28" spans="1:16" x14ac:dyDescent="0.35">
      <c r="A28" t="s">
        <v>3889</v>
      </c>
      <c r="B28" s="3">
        <f>_xlfn.IFNA(_xlfn.XLOOKUP(A28,'Price list'!D:D,'Price list'!E:E),0)</f>
        <v>36500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/>
      <c r="J28" s="26">
        <f t="shared" si="5"/>
        <v>0</v>
      </c>
      <c r="K28" s="3">
        <f>+B28*(F28+I28)</f>
        <v>0</v>
      </c>
      <c r="L28" s="27">
        <f t="shared" si="1"/>
        <v>0</v>
      </c>
      <c r="M28" s="3">
        <f t="shared" si="2"/>
        <v>0</v>
      </c>
      <c r="N28" s="3">
        <f>IF(L28=0,0,B28-L28)</f>
        <v>0</v>
      </c>
      <c r="O28" s="3">
        <f t="shared" si="3"/>
        <v>0</v>
      </c>
      <c r="P28" s="3"/>
    </row>
    <row r="29" spans="1:16" x14ac:dyDescent="0.35">
      <c r="A29" t="s">
        <v>3890</v>
      </c>
      <c r="B29" s="3">
        <f>_xlfn.IFNA(_xlfn.XLOOKUP(A29,'Price list'!D:D,'Price list'!E:E),0)</f>
        <v>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/>
      <c r="J29" s="26">
        <f t="shared" si="5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4"/>
        <v>0</v>
      </c>
      <c r="O29" s="3">
        <f t="shared" si="3"/>
        <v>0</v>
      </c>
      <c r="P29" s="3"/>
    </row>
    <row r="30" spans="1:16" x14ac:dyDescent="0.35">
      <c r="A30" t="s">
        <v>8</v>
      </c>
      <c r="B30" s="3">
        <f>_xlfn.IFNA(_xlfn.XLOOKUP(A30,'Price list'!D:D,'Price list'!E:E),0)</f>
        <v>50000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/>
      <c r="J30" s="26">
        <f t="shared" si="5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4"/>
        <v>0</v>
      </c>
      <c r="O30" s="3">
        <f t="shared" si="3"/>
        <v>0</v>
      </c>
      <c r="P30" s="3"/>
    </row>
    <row r="31" spans="1:16" x14ac:dyDescent="0.35">
      <c r="A31" t="s">
        <v>10</v>
      </c>
      <c r="B31" s="3">
        <f>_xlfn.IFNA(_xlfn.XLOOKUP(A31,'Price list'!D:D,'Price list'!E:E),0)</f>
        <v>48000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/>
      <c r="J31" s="26">
        <f t="shared" si="5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4"/>
        <v>0</v>
      </c>
      <c r="O31" s="3">
        <f t="shared" si="3"/>
        <v>0</v>
      </c>
      <c r="P31" s="3"/>
    </row>
    <row r="32" spans="1:16" x14ac:dyDescent="0.35">
      <c r="A32" t="s">
        <v>12</v>
      </c>
      <c r="B32" s="3">
        <f>_xlfn.IFNA(_xlfn.XLOOKUP(A32,'Price list'!D:D,'Price list'!E:E),0)</f>
        <v>49000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/>
      <c r="J32" s="26">
        <f t="shared" si="5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4"/>
        <v>0</v>
      </c>
      <c r="O32" s="3">
        <f t="shared" si="3"/>
        <v>0</v>
      </c>
      <c r="P32" s="3"/>
    </row>
    <row r="33" spans="1:16" x14ac:dyDescent="0.35">
      <c r="A33" t="s">
        <v>2159</v>
      </c>
      <c r="B33" s="3">
        <f>_xlfn.IFNA(_xlfn.XLOOKUP(A33,'Price list'!D:D,'Price list'!E:E),0)</f>
        <v>5500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/>
      <c r="J33" s="26">
        <f t="shared" si="5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4"/>
        <v>0</v>
      </c>
      <c r="O33" s="3">
        <f t="shared" si="3"/>
        <v>0</v>
      </c>
      <c r="P33" s="3"/>
    </row>
    <row r="34" spans="1:16" x14ac:dyDescent="0.35">
      <c r="A34" t="s">
        <v>3891</v>
      </c>
      <c r="B34" s="3">
        <f>_xlfn.IFNA(_xlfn.XLOOKUP(A34,'Price list'!D:D,'Price list'!E:E),0)</f>
        <v>20000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/>
      <c r="J34" s="26">
        <f t="shared" si="5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4"/>
        <v>0</v>
      </c>
      <c r="O34" s="3">
        <f t="shared" si="3"/>
        <v>0</v>
      </c>
      <c r="P34" s="3"/>
    </row>
    <row r="35" spans="1:16" x14ac:dyDescent="0.35">
      <c r="A35" t="s">
        <v>3892</v>
      </c>
      <c r="B35" s="3">
        <f>_xlfn.IFNA(_xlfn.XLOOKUP(A35,'Price list'!D:D,'Price list'!E:E),0)</f>
        <v>22000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/>
      <c r="J35" s="26">
        <f t="shared" si="5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4"/>
        <v>0</v>
      </c>
      <c r="O35" s="3">
        <f t="shared" si="3"/>
        <v>0</v>
      </c>
      <c r="P35" s="3"/>
    </row>
    <row r="36" spans="1:16" x14ac:dyDescent="0.35">
      <c r="A36" t="s">
        <v>3852</v>
      </c>
      <c r="B36" s="3">
        <f>_xlfn.IFNA(_xlfn.XLOOKUP(A36,'Price list'!D:D,'Price list'!E:E),0)</f>
        <v>18000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/>
      <c r="J36" s="26">
        <f t="shared" si="5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4"/>
        <v>0</v>
      </c>
      <c r="O36" s="3">
        <f t="shared" si="3"/>
        <v>0</v>
      </c>
      <c r="P36" s="3"/>
    </row>
    <row r="37" spans="1:16" x14ac:dyDescent="0.35">
      <c r="A37" t="s">
        <v>17</v>
      </c>
      <c r="B37" s="3">
        <f>_xlfn.IFNA(_xlfn.XLOOKUP(A37,'Price list'!D:D,'Price list'!E:E),0)</f>
        <v>3500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/>
      <c r="J37" s="26">
        <f t="shared" si="5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4"/>
        <v>0</v>
      </c>
      <c r="O37" s="3">
        <f t="shared" si="3"/>
        <v>0</v>
      </c>
      <c r="P37" s="3"/>
    </row>
    <row r="38" spans="1:16" x14ac:dyDescent="0.35">
      <c r="A38" t="s">
        <v>2199</v>
      </c>
      <c r="B38" s="3">
        <f>_xlfn.IFNA(_xlfn.XLOOKUP(A38,'Price list'!D:D,'Price list'!E:E),0)</f>
        <v>38000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/>
      <c r="J38" s="26">
        <f t="shared" si="5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4"/>
        <v>0</v>
      </c>
      <c r="O38" s="3">
        <f t="shared" si="3"/>
        <v>0</v>
      </c>
      <c r="P38" s="3"/>
    </row>
    <row r="39" spans="1:16" x14ac:dyDescent="0.35">
      <c r="A39" s="103" t="s">
        <v>2161</v>
      </c>
      <c r="B39" s="3">
        <f>_xlfn.IFNA(_xlfn.XLOOKUP(A39,'Price list'!D:D,'Price list'!E:E),0)</f>
        <v>18000</v>
      </c>
      <c r="C39" s="103" t="s">
        <v>9</v>
      </c>
      <c r="D39" s="103"/>
      <c r="E39" s="104"/>
      <c r="F39" s="104"/>
      <c r="G39" s="104" t="s">
        <v>245</v>
      </c>
      <c r="H39" s="104" t="str">
        <f>IF(G39=0,"",_xlfn.XLOOKUP(G39,List_item!A:A,List_item!B:B))</f>
        <v>Boneless BL Fresh Lemak</v>
      </c>
      <c r="I39" s="104">
        <v>22</v>
      </c>
      <c r="J39" s="106">
        <f t="shared" si="5"/>
        <v>3.142857142857143E-3</v>
      </c>
      <c r="K39" s="104">
        <f t="shared" si="0"/>
        <v>396000</v>
      </c>
      <c r="L39" s="107">
        <f t="shared" si="1"/>
        <v>19136.564008667905</v>
      </c>
      <c r="M39" s="104">
        <f t="shared" si="2"/>
        <v>421004.40819069394</v>
      </c>
      <c r="N39" s="104">
        <f t="shared" si="4"/>
        <v>-1136.564008667905</v>
      </c>
      <c r="O39" s="104">
        <f t="shared" si="3"/>
        <v>-25004.408190693939</v>
      </c>
      <c r="P39" s="104"/>
    </row>
    <row r="40" spans="1:16" x14ac:dyDescent="0.35">
      <c r="A40" s="103" t="s">
        <v>2162</v>
      </c>
      <c r="B40" s="3">
        <f>_xlfn.IFNA(_xlfn.XLOOKUP(A40,'Price list'!D:D,'Price list'!E:E),0)</f>
        <v>8000</v>
      </c>
      <c r="C40" s="103"/>
      <c r="D40" s="103"/>
      <c r="E40" s="104"/>
      <c r="F40" s="104"/>
      <c r="G40" s="104" t="s">
        <v>20</v>
      </c>
      <c r="H40" s="104" t="str">
        <f>IF(G40=0,"",_xlfn.XLOOKUP(G40,List_item!A:A,List_item!B:B))</f>
        <v>Boneless BL Fresh Kepala</v>
      </c>
      <c r="I40" s="104">
        <v>323.2</v>
      </c>
      <c r="J40" s="106">
        <f t="shared" si="5"/>
        <v>4.6171428571428572E-2</v>
      </c>
      <c r="K40" s="104">
        <f t="shared" si="0"/>
        <v>2585600</v>
      </c>
      <c r="L40" s="107">
        <f t="shared" si="1"/>
        <v>8505.1395594079568</v>
      </c>
      <c r="M40" s="104">
        <f t="shared" si="2"/>
        <v>2748861.1056006514</v>
      </c>
      <c r="N40" s="104">
        <f t="shared" si="4"/>
        <v>-505.13955940795677</v>
      </c>
      <c r="O40" s="104">
        <f t="shared" si="3"/>
        <v>-163261.10560065135</v>
      </c>
      <c r="P40" s="104"/>
    </row>
    <row r="41" spans="1:16" x14ac:dyDescent="0.35">
      <c r="A41" s="103" t="s">
        <v>0</v>
      </c>
      <c r="B41" s="3">
        <f>_xlfn.IFNA(_xlfn.XLOOKUP(A41,'Price list'!D:D,'Price list'!E:E),0)</f>
        <v>10000</v>
      </c>
      <c r="C41" s="103" t="s">
        <v>9</v>
      </c>
      <c r="D41" s="103"/>
      <c r="E41" s="104"/>
      <c r="F41" s="104"/>
      <c r="G41" s="104" t="s">
        <v>21</v>
      </c>
      <c r="H41" s="104" t="str">
        <f>IF(G41=0,"",_xlfn.XLOOKUP(G41,List_item!A:A,List_item!B:B))</f>
        <v>Boneless BL Fresh Ceker</v>
      </c>
      <c r="I41" s="104">
        <v>222.2</v>
      </c>
      <c r="J41" s="106">
        <f t="shared" si="5"/>
        <v>3.1742857142857142E-2</v>
      </c>
      <c r="K41" s="104">
        <f t="shared" si="0"/>
        <v>2222000</v>
      </c>
      <c r="L41" s="107">
        <f t="shared" si="1"/>
        <v>10631.424449259946</v>
      </c>
      <c r="M41" s="104">
        <f t="shared" si="2"/>
        <v>2362302.5126255602</v>
      </c>
      <c r="N41" s="104">
        <f t="shared" si="4"/>
        <v>-631.42444925994641</v>
      </c>
      <c r="O41" s="104">
        <f t="shared" si="3"/>
        <v>-140302.51262556016</v>
      </c>
      <c r="P41" s="104"/>
    </row>
    <row r="42" spans="1:16" x14ac:dyDescent="0.35">
      <c r="A42" t="s">
        <v>24</v>
      </c>
      <c r="B42" s="3">
        <f>_xlfn.IFNA(_xlfn.XLOOKUP(A42,'Price list'!D:D,'Price list'!E:E),0)</f>
        <v>4000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3"/>
      <c r="J42" s="26">
        <f t="shared" si="5"/>
        <v>0</v>
      </c>
      <c r="K42" s="3">
        <f t="shared" si="0"/>
        <v>0</v>
      </c>
      <c r="L42" s="27">
        <f t="shared" si="1"/>
        <v>0</v>
      </c>
      <c r="M42" s="3">
        <f t="shared" si="2"/>
        <v>0</v>
      </c>
      <c r="N42" s="3">
        <f t="shared" si="4"/>
        <v>0</v>
      </c>
      <c r="O42" s="3">
        <f t="shared" si="3"/>
        <v>0</v>
      </c>
      <c r="P42" s="3"/>
    </row>
    <row r="43" spans="1:16" x14ac:dyDescent="0.35">
      <c r="A43" s="103" t="s">
        <v>3893</v>
      </c>
      <c r="B43" s="3">
        <f>_xlfn.IFNA(_xlfn.XLOOKUP(A43,'Price list'!D:D,'Price list'!E:E),0)</f>
        <v>5000</v>
      </c>
      <c r="C43" s="103" t="s">
        <v>9</v>
      </c>
      <c r="D43" s="103"/>
      <c r="E43" s="104"/>
      <c r="F43" s="104"/>
      <c r="G43" s="104" t="s">
        <v>25</v>
      </c>
      <c r="H43" s="104" t="str">
        <f>IF(G43=0,"",_xlfn.XLOOKUP(G43,List_item!A:A,List_item!B:B))</f>
        <v>Boneless BL Fresh Usus Kotor</v>
      </c>
      <c r="I43" s="104">
        <v>314.8</v>
      </c>
      <c r="J43" s="106">
        <f t="shared" si="5"/>
        <v>4.4971428571428572E-2</v>
      </c>
      <c r="K43" s="104">
        <f t="shared" si="0"/>
        <v>1574000</v>
      </c>
      <c r="L43" s="107">
        <f t="shared" si="1"/>
        <v>5315.7122246299732</v>
      </c>
      <c r="M43" s="104">
        <f t="shared" si="2"/>
        <v>1673386.2083135156</v>
      </c>
      <c r="N43" s="104">
        <f t="shared" si="4"/>
        <v>-315.71222462997321</v>
      </c>
      <c r="O43" s="104">
        <f t="shared" si="3"/>
        <v>-99386.208313515643</v>
      </c>
      <c r="P43" s="104"/>
    </row>
    <row r="44" spans="1:16" x14ac:dyDescent="0.35">
      <c r="A44" t="s">
        <v>2167</v>
      </c>
      <c r="B44" s="3">
        <f>_xlfn.IFNA(_xlfn.XLOOKUP(A44,'Price list'!D:D,'Price list'!E:E),0)</f>
        <v>16000</v>
      </c>
      <c r="C44" t="s">
        <v>9</v>
      </c>
      <c r="E44" s="3"/>
      <c r="F44" s="3"/>
      <c r="G44" s="3"/>
      <c r="H44" s="3" t="str">
        <f>IF(G44=0,"",_xlfn.XLOOKUP(G44,List_item!A:A,List_item!B:B))</f>
        <v/>
      </c>
      <c r="I44" s="3"/>
      <c r="J44" s="26">
        <f t="shared" si="5"/>
        <v>0</v>
      </c>
      <c r="K44" s="3">
        <f t="shared" si="0"/>
        <v>0</v>
      </c>
      <c r="L44" s="27">
        <f t="shared" si="1"/>
        <v>0</v>
      </c>
      <c r="M44" s="3">
        <f t="shared" si="2"/>
        <v>0</v>
      </c>
      <c r="N44" s="3">
        <f t="shared" si="4"/>
        <v>0</v>
      </c>
      <c r="O44" s="3">
        <f t="shared" si="3"/>
        <v>0</v>
      </c>
      <c r="P44" s="3"/>
    </row>
    <row r="45" spans="1:16" x14ac:dyDescent="0.35">
      <c r="A45" t="s">
        <v>2168</v>
      </c>
      <c r="B45" s="3">
        <f>_xlfn.IFNA(_xlfn.XLOOKUP(A45,'Price list'!D:D,'Price list'!E:E),0)</f>
        <v>10000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/>
      <c r="J45" s="26">
        <f t="shared" si="5"/>
        <v>0</v>
      </c>
      <c r="K45" s="3">
        <f t="shared" si="0"/>
        <v>0</v>
      </c>
      <c r="L45" s="27">
        <f t="shared" si="1"/>
        <v>0</v>
      </c>
      <c r="M45" s="3">
        <f t="shared" si="2"/>
        <v>0</v>
      </c>
      <c r="N45" s="3">
        <f t="shared" si="4"/>
        <v>0</v>
      </c>
      <c r="O45" s="3">
        <f t="shared" si="3"/>
        <v>0</v>
      </c>
      <c r="P45" s="3"/>
    </row>
    <row r="46" spans="1:16" x14ac:dyDescent="0.35">
      <c r="A46" t="s">
        <v>2169</v>
      </c>
      <c r="B46" s="3">
        <f>_xlfn.IFNA(_xlfn.XLOOKUP(A46,'Price list'!D:D,'Price list'!E:E),0)</f>
        <v>5000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/>
      <c r="J46" s="26">
        <f t="shared" si="5"/>
        <v>0</v>
      </c>
      <c r="K46" s="3">
        <f t="shared" si="0"/>
        <v>0</v>
      </c>
      <c r="L46" s="27">
        <f t="shared" si="1"/>
        <v>0</v>
      </c>
      <c r="M46" s="3">
        <f t="shared" si="2"/>
        <v>0</v>
      </c>
      <c r="N46" s="3">
        <f t="shared" si="4"/>
        <v>0</v>
      </c>
      <c r="O46" s="3">
        <f t="shared" si="3"/>
        <v>0</v>
      </c>
      <c r="P46" s="3"/>
    </row>
    <row r="47" spans="1:16" x14ac:dyDescent="0.35">
      <c r="A47" s="103" t="s">
        <v>3894</v>
      </c>
      <c r="B47" s="3">
        <f>_xlfn.IFNA(_xlfn.XLOOKUP(A47,'Price list'!D:D,'Price list'!E:E),0)</f>
        <v>5000</v>
      </c>
      <c r="C47" s="103" t="s">
        <v>9</v>
      </c>
      <c r="D47" s="103"/>
      <c r="E47" s="104"/>
      <c r="F47" s="104"/>
      <c r="G47" s="104" t="s">
        <v>23</v>
      </c>
      <c r="H47" s="104" t="str">
        <f>IF(G47=0,"",_xlfn.XLOOKUP(G47,List_item!A:A,List_item!B:B))</f>
        <v>Boneless BL Fresh HJA</v>
      </c>
      <c r="I47" s="104">
        <v>415.2</v>
      </c>
      <c r="J47" s="106">
        <f t="shared" si="5"/>
        <v>5.9314285714285715E-2</v>
      </c>
      <c r="K47" s="104">
        <f t="shared" si="0"/>
        <v>2076000</v>
      </c>
      <c r="L47" s="107">
        <f t="shared" si="1"/>
        <v>5315.7122246299732</v>
      </c>
      <c r="M47" s="104">
        <f t="shared" si="2"/>
        <v>2207083.7156663649</v>
      </c>
      <c r="N47" s="104">
        <f t="shared" si="4"/>
        <v>-315.71222462997321</v>
      </c>
      <c r="O47" s="104">
        <f t="shared" si="3"/>
        <v>-131083.71566636488</v>
      </c>
      <c r="P47" s="104"/>
    </row>
    <row r="48" spans="1:16" x14ac:dyDescent="0.35">
      <c r="A48" t="s">
        <v>2170</v>
      </c>
      <c r="B48" s="3">
        <f>_xlfn.IFNA(_xlfn.XLOOKUP(A48,'Price list'!D:D,'Price list'!E:E),0)</f>
        <v>45000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/>
      <c r="J48" s="26">
        <f t="shared" si="5"/>
        <v>0</v>
      </c>
      <c r="K48" s="3">
        <f t="shared" si="0"/>
        <v>0</v>
      </c>
      <c r="L48" s="27">
        <f t="shared" si="1"/>
        <v>0</v>
      </c>
      <c r="M48" s="3">
        <f t="shared" si="2"/>
        <v>0</v>
      </c>
      <c r="N48" s="3">
        <f t="shared" si="4"/>
        <v>0</v>
      </c>
      <c r="O48" s="3">
        <f t="shared" si="3"/>
        <v>0</v>
      </c>
      <c r="P48" s="3"/>
    </row>
    <row r="49" spans="1:18" x14ac:dyDescent="0.35">
      <c r="A49" t="s">
        <v>2171</v>
      </c>
      <c r="B49" s="3">
        <f>_xlfn.IFNA(_xlfn.XLOOKUP(A49,'Price list'!D:D,'Price list'!E:E),0)</f>
        <v>44000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/>
      <c r="J49" s="26">
        <f t="shared" si="5"/>
        <v>0</v>
      </c>
      <c r="K49" s="3">
        <f t="shared" si="0"/>
        <v>0</v>
      </c>
      <c r="L49" s="27">
        <f t="shared" si="1"/>
        <v>0</v>
      </c>
      <c r="M49" s="3">
        <f t="shared" si="2"/>
        <v>0</v>
      </c>
      <c r="N49" s="3">
        <f t="shared" si="4"/>
        <v>0</v>
      </c>
      <c r="O49" s="3">
        <f t="shared" si="3"/>
        <v>0</v>
      </c>
      <c r="P49" s="3"/>
    </row>
    <row r="50" spans="1:18" x14ac:dyDescent="0.35">
      <c r="A50" t="s">
        <v>3895</v>
      </c>
      <c r="B50" s="3">
        <f>_xlfn.IFNA(_xlfn.XLOOKUP(A50,'Price list'!D:D,'Price list'!E:E),0)</f>
        <v>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/>
      <c r="J50" s="26">
        <f t="shared" si="5"/>
        <v>0</v>
      </c>
      <c r="K50" s="3">
        <f t="shared" si="0"/>
        <v>0</v>
      </c>
      <c r="L50" s="27">
        <f t="shared" si="1"/>
        <v>0</v>
      </c>
      <c r="M50" s="3">
        <f t="shared" si="2"/>
        <v>0</v>
      </c>
      <c r="N50" s="3">
        <f t="shared" si="4"/>
        <v>0</v>
      </c>
      <c r="O50" s="3">
        <f t="shared" si="3"/>
        <v>0</v>
      </c>
      <c r="P50" s="3"/>
    </row>
    <row r="51" spans="1:18" x14ac:dyDescent="0.35">
      <c r="A51" t="s">
        <v>3896</v>
      </c>
      <c r="B51" s="3">
        <f>_xlfn.IFNA(_xlfn.XLOOKUP(A51,'Price list'!D:D,'Price list'!E:E),0)</f>
        <v>35000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/>
      <c r="J51" s="26">
        <f t="shared" si="5"/>
        <v>0</v>
      </c>
      <c r="K51" s="3">
        <f t="shared" si="0"/>
        <v>0</v>
      </c>
      <c r="L51" s="27">
        <f t="shared" si="1"/>
        <v>0</v>
      </c>
      <c r="M51" s="3">
        <f t="shared" si="2"/>
        <v>0</v>
      </c>
      <c r="N51" s="3">
        <f t="shared" si="4"/>
        <v>0</v>
      </c>
      <c r="O51" s="3">
        <f t="shared" si="3"/>
        <v>0</v>
      </c>
      <c r="P51" s="3"/>
    </row>
    <row r="52" spans="1:18" x14ac:dyDescent="0.35">
      <c r="A52" t="s">
        <v>3897</v>
      </c>
      <c r="B52" s="3">
        <f>_xlfn.IFNA(_xlfn.XLOOKUP(A52,'Price list'!D:D,'Price list'!E:E),0)</f>
        <v>35000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/>
      <c r="J52" s="26">
        <f t="shared" si="5"/>
        <v>0</v>
      </c>
      <c r="K52" s="3">
        <f t="shared" si="0"/>
        <v>0</v>
      </c>
      <c r="L52" s="27">
        <f t="shared" si="1"/>
        <v>0</v>
      </c>
      <c r="M52" s="3">
        <f t="shared" si="2"/>
        <v>0</v>
      </c>
      <c r="N52" s="3">
        <f t="shared" si="4"/>
        <v>0</v>
      </c>
      <c r="O52" s="3">
        <f t="shared" si="3"/>
        <v>0</v>
      </c>
      <c r="P52" s="3"/>
    </row>
    <row r="53" spans="1:18" x14ac:dyDescent="0.35">
      <c r="A53" t="s">
        <v>3898</v>
      </c>
      <c r="B53" s="3">
        <f>_xlfn.IFNA(_xlfn.XLOOKUP(A53,'Price list'!D:D,'Price list'!E:E),0)</f>
        <v>35000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/>
      <c r="J53" s="26">
        <f t="shared" si="5"/>
        <v>0</v>
      </c>
      <c r="K53" s="3">
        <f t="shared" si="0"/>
        <v>0</v>
      </c>
      <c r="L53" s="27">
        <f t="shared" si="1"/>
        <v>0</v>
      </c>
      <c r="M53" s="3">
        <f t="shared" si="2"/>
        <v>0</v>
      </c>
      <c r="N53" s="3">
        <f t="shared" si="4"/>
        <v>0</v>
      </c>
      <c r="O53" s="3">
        <f t="shared" si="3"/>
        <v>0</v>
      </c>
      <c r="P53" s="3"/>
    </row>
    <row r="54" spans="1:18" x14ac:dyDescent="0.35">
      <c r="A54" t="s">
        <v>3899</v>
      </c>
      <c r="B54" s="3">
        <f>_xlfn.IFNA(_xlfn.XLOOKUP(A54,'Price list'!D:D,'Price list'!E:E),0)</f>
        <v>35000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/>
      <c r="J54" s="26">
        <f t="shared" si="5"/>
        <v>0</v>
      </c>
      <c r="K54" s="3">
        <f t="shared" si="0"/>
        <v>0</v>
      </c>
      <c r="L54" s="27">
        <f t="shared" si="1"/>
        <v>0</v>
      </c>
      <c r="M54" s="3">
        <f t="shared" si="2"/>
        <v>0</v>
      </c>
      <c r="N54" s="3">
        <f t="shared" si="4"/>
        <v>0</v>
      </c>
      <c r="O54" s="3">
        <f t="shared" si="3"/>
        <v>0</v>
      </c>
      <c r="P54" s="3"/>
    </row>
    <row r="55" spans="1:18" x14ac:dyDescent="0.35">
      <c r="A55" t="s">
        <v>3900</v>
      </c>
      <c r="B55" s="3">
        <f>_xlfn.IFNA(_xlfn.XLOOKUP(A55,'Price list'!D:D,'Price list'!E:E),0)</f>
        <v>35000</v>
      </c>
      <c r="C55" t="s">
        <v>9</v>
      </c>
      <c r="E55" s="3"/>
      <c r="F55" s="3"/>
      <c r="G55" s="3" t="s">
        <v>766</v>
      </c>
      <c r="H55" s="3" t="str">
        <f>IF(G55=0,"",_xlfn.XLOOKUP(G55,List_item!A:A,List_item!B:B))</f>
        <v>Karkas Uk 0.8 Karkas Uk 0.8 Frozen Grade A</v>
      </c>
      <c r="I55" s="3">
        <v>1.7</v>
      </c>
      <c r="J55" s="26">
        <f t="shared" si="5"/>
        <v>2.4285714285714286E-4</v>
      </c>
      <c r="K55" s="3">
        <f t="shared" si="0"/>
        <v>59500</v>
      </c>
      <c r="L55" s="27">
        <f t="shared" si="1"/>
        <v>37209.985572409816</v>
      </c>
      <c r="M55" s="3">
        <f t="shared" si="2"/>
        <v>63256.975473096689</v>
      </c>
      <c r="N55" s="3">
        <f t="shared" si="4"/>
        <v>-2209.9855724098161</v>
      </c>
      <c r="O55" s="3">
        <f t="shared" si="3"/>
        <v>-3756.9754730966888</v>
      </c>
      <c r="P55" s="3"/>
    </row>
    <row r="56" spans="1:18" x14ac:dyDescent="0.35">
      <c r="A56" t="s">
        <v>3901</v>
      </c>
      <c r="B56" s="3">
        <f>_xlfn.IFNA(_xlfn.XLOOKUP(A56,'Price list'!D:D,'Price list'!E:E),0)</f>
        <v>35000</v>
      </c>
      <c r="C56" t="s">
        <v>9</v>
      </c>
      <c r="E56" s="3"/>
      <c r="F56" s="3"/>
      <c r="G56" s="3"/>
      <c r="H56" s="3" t="str">
        <f>IF(G56=0,"",_xlfn.XLOOKUP(G56,List_item!A:A,List_item!B:B))</f>
        <v/>
      </c>
      <c r="I56" s="3"/>
      <c r="J56" s="26">
        <f t="shared" si="5"/>
        <v>0</v>
      </c>
      <c r="K56" s="3">
        <f t="shared" si="0"/>
        <v>0</v>
      </c>
      <c r="L56" s="27">
        <f t="shared" si="1"/>
        <v>0</v>
      </c>
      <c r="M56" s="3">
        <f t="shared" si="2"/>
        <v>0</v>
      </c>
      <c r="N56" s="3">
        <f t="shared" si="4"/>
        <v>0</v>
      </c>
      <c r="O56" s="3">
        <f t="shared" si="3"/>
        <v>0</v>
      </c>
      <c r="P56" s="3"/>
    </row>
    <row r="57" spans="1:18" x14ac:dyDescent="0.35">
      <c r="A57" t="s">
        <v>3902</v>
      </c>
      <c r="B57" s="3">
        <f>_xlfn.IFNA(_xlfn.XLOOKUP(A57,'Price list'!D:D,'Price list'!E:E),0)</f>
        <v>35000</v>
      </c>
      <c r="C57" t="s">
        <v>9</v>
      </c>
      <c r="E57" s="3"/>
      <c r="F57" s="3"/>
      <c r="G57" s="3"/>
      <c r="H57" s="3" t="str">
        <f>IF(G57=0,"",_xlfn.XLOOKUP(G57,List_item!A:A,List_item!B:B))</f>
        <v/>
      </c>
      <c r="I57" s="3"/>
      <c r="J57" s="26">
        <f t="shared" si="5"/>
        <v>0</v>
      </c>
      <c r="K57" s="3">
        <f t="shared" si="0"/>
        <v>0</v>
      </c>
      <c r="L57" s="27">
        <f t="shared" si="1"/>
        <v>0</v>
      </c>
      <c r="M57" s="3">
        <f t="shared" si="2"/>
        <v>0</v>
      </c>
      <c r="N57" s="3">
        <f t="shared" si="4"/>
        <v>0</v>
      </c>
      <c r="O57" s="3">
        <f t="shared" si="3"/>
        <v>0</v>
      </c>
      <c r="P57" s="3"/>
    </row>
    <row r="58" spans="1:18" x14ac:dyDescent="0.35">
      <c r="A58" t="s">
        <v>3903</v>
      </c>
      <c r="B58" s="3">
        <f>_xlfn.IFNA(_xlfn.XLOOKUP(A58,'Price list'!D:D,'Price list'!E:E),0)</f>
        <v>35000</v>
      </c>
      <c r="C58" t="s">
        <v>9</v>
      </c>
      <c r="E58" s="3"/>
      <c r="F58" s="3"/>
      <c r="G58" s="3"/>
      <c r="H58" s="3" t="str">
        <f>IF(G58=0,"",_xlfn.XLOOKUP(G58,List_item!A:A,List_item!B:B))</f>
        <v/>
      </c>
      <c r="I58" s="3"/>
      <c r="J58" s="26">
        <f t="shared" si="5"/>
        <v>0</v>
      </c>
      <c r="K58" s="3">
        <f t="shared" si="0"/>
        <v>0</v>
      </c>
      <c r="L58" s="27">
        <f t="shared" si="1"/>
        <v>0</v>
      </c>
      <c r="M58" s="3">
        <f t="shared" si="2"/>
        <v>0</v>
      </c>
      <c r="N58" s="3">
        <f t="shared" si="4"/>
        <v>0</v>
      </c>
      <c r="O58" s="3">
        <f t="shared" si="3"/>
        <v>0</v>
      </c>
      <c r="P58" s="3"/>
    </row>
    <row r="59" spans="1:18" x14ac:dyDescent="0.35">
      <c r="A59" t="s">
        <v>3904</v>
      </c>
      <c r="B59" s="3">
        <f>_xlfn.IFNA(_xlfn.XLOOKUP(A59,'Price list'!D:D,'Price list'!E:E),0)</f>
        <v>35000</v>
      </c>
      <c r="C59" t="s">
        <v>9</v>
      </c>
      <c r="E59" s="3"/>
      <c r="F59" s="3"/>
      <c r="G59" s="3" t="s">
        <v>1028</v>
      </c>
      <c r="H59" s="3" t="str">
        <f>IF(G59=0,"",_xlfn.XLOOKUP(G59,List_item!A:A,List_item!B:B))</f>
        <v>Karkas Uk 1.2 Karkas Uk 1.2 Frozen Grade A</v>
      </c>
      <c r="I59" s="3">
        <v>8.8000000000000007</v>
      </c>
      <c r="J59" s="26">
        <f t="shared" si="5"/>
        <v>1.2571428571428573E-3</v>
      </c>
      <c r="K59" s="3">
        <f t="shared" si="0"/>
        <v>308000</v>
      </c>
      <c r="L59" s="27">
        <f t="shared" si="1"/>
        <v>37209.985572409809</v>
      </c>
      <c r="M59" s="3">
        <f t="shared" si="2"/>
        <v>327447.87303720636</v>
      </c>
      <c r="N59" s="3">
        <f t="shared" si="4"/>
        <v>-2209.9855724098088</v>
      </c>
      <c r="O59" s="3">
        <f t="shared" si="3"/>
        <v>-19447.873037206358</v>
      </c>
      <c r="P59" s="3"/>
    </row>
    <row r="60" spans="1:18" x14ac:dyDescent="0.35">
      <c r="A60" t="s">
        <v>3905</v>
      </c>
      <c r="B60" s="3">
        <f>_xlfn.IFNA(_xlfn.XLOOKUP(A60,'Price list'!D:D,'Price list'!E:E),0)</f>
        <v>35000</v>
      </c>
      <c r="C60" t="s">
        <v>9</v>
      </c>
      <c r="E60" s="3"/>
      <c r="F60" s="3"/>
      <c r="G60" s="3" t="s">
        <v>1094</v>
      </c>
      <c r="H60" s="3" t="str">
        <f>IF(G60=0,"",_xlfn.XLOOKUP(G60,List_item!A:A,List_item!B:B))</f>
        <v>Karkas Uk 1.3 Karkas Uk 1.3 Frozen Grade A</v>
      </c>
      <c r="I60" s="3">
        <v>34.299999999999997</v>
      </c>
      <c r="J60" s="26">
        <f t="shared" si="5"/>
        <v>4.8999999999999998E-3</v>
      </c>
      <c r="K60" s="3">
        <f t="shared" si="0"/>
        <v>1200500</v>
      </c>
      <c r="L60" s="27">
        <f t="shared" si="1"/>
        <v>37209.985572409816</v>
      </c>
      <c r="M60" s="3">
        <f t="shared" si="2"/>
        <v>1276302.5051336566</v>
      </c>
      <c r="N60" s="3">
        <f t="shared" si="4"/>
        <v>-2209.9855724098161</v>
      </c>
      <c r="O60" s="3">
        <f t="shared" si="3"/>
        <v>-75802.505133656552</v>
      </c>
      <c r="P60" s="3"/>
    </row>
    <row r="61" spans="1:18" x14ac:dyDescent="0.35">
      <c r="A61" t="s">
        <v>3906</v>
      </c>
      <c r="B61" s="3">
        <f>_xlfn.IFNA(_xlfn.XLOOKUP(A61,'Price list'!D:D,'Price list'!E:E),0)</f>
        <v>35000</v>
      </c>
      <c r="C61" t="s">
        <v>9</v>
      </c>
      <c r="E61" s="3"/>
      <c r="F61" s="3"/>
      <c r="G61" s="3" t="s">
        <v>1160</v>
      </c>
      <c r="H61" s="3" t="str">
        <f>IF(G61=0,"",_xlfn.XLOOKUP(G61,List_item!A:A,List_item!B:B))</f>
        <v>Karkas Uk 1.4 Karkas Uk 1.4 Frozen Grade A</v>
      </c>
      <c r="I61" s="3">
        <v>61.8</v>
      </c>
      <c r="J61" s="26">
        <f t="shared" si="5"/>
        <v>8.8285714285714287E-3</v>
      </c>
      <c r="K61" s="3">
        <f t="shared" si="0"/>
        <v>2163000</v>
      </c>
      <c r="L61" s="27">
        <f t="shared" si="1"/>
        <v>37209.985572409816</v>
      </c>
      <c r="M61" s="3">
        <f t="shared" si="2"/>
        <v>2299577.1083749267</v>
      </c>
      <c r="N61" s="3">
        <f t="shared" si="4"/>
        <v>-2209.9855724098161</v>
      </c>
      <c r="O61" s="3">
        <f t="shared" si="3"/>
        <v>-136577.10837492673</v>
      </c>
      <c r="P61" s="3"/>
    </row>
    <row r="62" spans="1:18" x14ac:dyDescent="0.35">
      <c r="A62" t="s">
        <v>3907</v>
      </c>
      <c r="B62" s="3">
        <f>_xlfn.IFNA(_xlfn.XLOOKUP(A62,'Price list'!D:D,'Price list'!E:E),0)</f>
        <v>35000</v>
      </c>
      <c r="C62" t="s">
        <v>9</v>
      </c>
      <c r="E62" s="3"/>
      <c r="F62" s="3"/>
      <c r="G62" s="3" t="s">
        <v>1225</v>
      </c>
      <c r="H62" s="3" t="str">
        <f>IF(G62=0,"",_xlfn.XLOOKUP(G62,List_item!A:A,List_item!B:B))</f>
        <v>Karkas Uk 1.5 Karkas Uk 1.5 Frozen Grade A</v>
      </c>
      <c r="I62" s="3">
        <v>69.5</v>
      </c>
      <c r="J62" s="26">
        <f t="shared" si="5"/>
        <v>9.928571428571429E-3</v>
      </c>
      <c r="K62" s="3">
        <f t="shared" si="0"/>
        <v>2432500</v>
      </c>
      <c r="L62" s="27">
        <f t="shared" si="1"/>
        <v>37209.985572409816</v>
      </c>
      <c r="M62" s="3">
        <f t="shared" si="2"/>
        <v>2586093.9972824822</v>
      </c>
      <c r="N62" s="3">
        <f t="shared" si="4"/>
        <v>-2209.9855724098161</v>
      </c>
      <c r="O62" s="3">
        <f t="shared" si="3"/>
        <v>-153593.99728248222</v>
      </c>
      <c r="P62" s="3"/>
    </row>
    <row r="63" spans="1:18" s="2" customFormat="1" x14ac:dyDescent="0.35">
      <c r="A63" t="s">
        <v>3908</v>
      </c>
      <c r="B63" s="3">
        <f>_xlfn.IFNA(_xlfn.XLOOKUP(A63,'Price list'!D:D,'Price list'!E:E),0)</f>
        <v>35000</v>
      </c>
      <c r="C63" t="s">
        <v>9</v>
      </c>
      <c r="D63"/>
      <c r="E63" s="3"/>
      <c r="F63" s="3"/>
      <c r="G63" s="3" t="s">
        <v>1291</v>
      </c>
      <c r="H63" s="3" t="str">
        <f>IF(G63=0,"",_xlfn.XLOOKUP(G63,List_item!A:A,List_item!B:B))</f>
        <v>Karkas Uk 1.6 Karkas Uk 1.6 Frozen Grade A</v>
      </c>
      <c r="I63" s="3">
        <v>55.7</v>
      </c>
      <c r="J63" s="26">
        <f t="shared" si="5"/>
        <v>7.9571428571428571E-3</v>
      </c>
      <c r="K63" s="3">
        <f t="shared" si="0"/>
        <v>1949500</v>
      </c>
      <c r="L63" s="27">
        <f t="shared" si="1"/>
        <v>37209.985572409816</v>
      </c>
      <c r="M63" s="3">
        <f t="shared" si="2"/>
        <v>2072596.1963832269</v>
      </c>
      <c r="N63" s="3">
        <f t="shared" si="4"/>
        <v>-2209.9855724098161</v>
      </c>
      <c r="O63" s="3">
        <f t="shared" si="3"/>
        <v>-123096.1963832269</v>
      </c>
      <c r="P63" s="3"/>
      <c r="Q63"/>
      <c r="R63"/>
    </row>
    <row r="64" spans="1:18" s="2" customFormat="1" x14ac:dyDescent="0.35">
      <c r="A64" t="s">
        <v>3909</v>
      </c>
      <c r="B64" s="3">
        <f>_xlfn.IFNA(_xlfn.XLOOKUP(A64,'Price list'!D:D,'Price list'!E:E),0)</f>
        <v>35000</v>
      </c>
      <c r="C64" t="s">
        <v>9</v>
      </c>
      <c r="D64"/>
      <c r="E64" s="3"/>
      <c r="F64" s="3"/>
      <c r="G64" s="3" t="s">
        <v>1357</v>
      </c>
      <c r="H64" s="3" t="str">
        <f>IF(G64=0,"",_xlfn.XLOOKUP(G64,List_item!A:A,List_item!B:B))</f>
        <v>Karkas Uk 1.7 Karkas Uk 1.7 Frozen Grade A</v>
      </c>
      <c r="I64" s="3">
        <v>45.7</v>
      </c>
      <c r="J64" s="26">
        <f t="shared" si="5"/>
        <v>6.5285714285714287E-3</v>
      </c>
      <c r="K64" s="3">
        <f t="shared" si="0"/>
        <v>1599500</v>
      </c>
      <c r="L64" s="27">
        <f t="shared" si="1"/>
        <v>37209.985572409816</v>
      </c>
      <c r="M64" s="3">
        <f t="shared" si="2"/>
        <v>1700496.3406591287</v>
      </c>
      <c r="N64" s="3">
        <f t="shared" si="4"/>
        <v>-2209.9855724098161</v>
      </c>
      <c r="O64" s="3">
        <f t="shared" si="3"/>
        <v>-100996.34065912873</v>
      </c>
      <c r="P64" s="3"/>
      <c r="Q64"/>
      <c r="R64"/>
    </row>
    <row r="65" spans="1:18" s="2" customFormat="1" x14ac:dyDescent="0.35">
      <c r="A65" t="s">
        <v>3910</v>
      </c>
      <c r="B65" s="3">
        <f>_xlfn.IFNA(_xlfn.XLOOKUP(A65,'Price list'!D:D,'Price list'!E:E),0)</f>
        <v>0</v>
      </c>
      <c r="C65" t="s">
        <v>9</v>
      </c>
      <c r="D65"/>
      <c r="E65" s="3"/>
      <c r="F65" s="3"/>
      <c r="G65" s="3" t="s">
        <v>1424</v>
      </c>
      <c r="H65" s="3" t="str">
        <f>IF(G65=0,"",_xlfn.XLOOKUP(G65,List_item!A:A,List_item!B:B))</f>
        <v>Karkas Uk 1.8 Karkas Uk 1.8 Frozen Grade A</v>
      </c>
      <c r="I65" s="3">
        <v>20.8</v>
      </c>
      <c r="J65" s="26">
        <f t="shared" si="5"/>
        <v>2.9714285714285715E-3</v>
      </c>
      <c r="K65" s="3">
        <f t="shared" si="0"/>
        <v>0</v>
      </c>
      <c r="L65" s="27">
        <f t="shared" si="1"/>
        <v>0</v>
      </c>
      <c r="M65" s="3">
        <f t="shared" si="2"/>
        <v>0</v>
      </c>
      <c r="N65" s="3">
        <f t="shared" si="4"/>
        <v>0</v>
      </c>
      <c r="O65" s="3">
        <f t="shared" si="3"/>
        <v>0</v>
      </c>
      <c r="P65" s="3"/>
      <c r="Q65"/>
      <c r="R65"/>
    </row>
    <row r="66" spans="1:18" s="2" customFormat="1" x14ac:dyDescent="0.35">
      <c r="A66" t="s">
        <v>3911</v>
      </c>
      <c r="B66" s="3">
        <f>_xlfn.IFNA(_xlfn.XLOOKUP(A66,'Price list'!D:D,'Price list'!E:E),0)</f>
        <v>35000</v>
      </c>
      <c r="C66" t="s">
        <v>9</v>
      </c>
      <c r="D66"/>
      <c r="E66" s="3"/>
      <c r="F66" s="3"/>
      <c r="G66" s="3" t="s">
        <v>1489</v>
      </c>
      <c r="H66" s="3" t="str">
        <f>IF(G66=0,"",_xlfn.XLOOKUP(G66,List_item!A:A,List_item!B:B))</f>
        <v>Karkas Uk 1.9 Karkas Uk 1.9 Frozen Grade A</v>
      </c>
      <c r="I66" s="3">
        <v>17.8</v>
      </c>
      <c r="J66" s="26">
        <f t="shared" si="5"/>
        <v>2.5428571428571431E-3</v>
      </c>
      <c r="K66" s="3">
        <f t="shared" si="0"/>
        <v>623000</v>
      </c>
      <c r="L66" s="27">
        <f t="shared" si="1"/>
        <v>37209.985572409823</v>
      </c>
      <c r="M66" s="3">
        <f t="shared" si="2"/>
        <v>662337.74318889494</v>
      </c>
      <c r="N66" s="3">
        <f t="shared" si="4"/>
        <v>-2209.9855724098234</v>
      </c>
      <c r="O66" s="3">
        <f t="shared" si="3"/>
        <v>-39337.743188894936</v>
      </c>
      <c r="P66" s="3"/>
      <c r="Q66"/>
      <c r="R66"/>
    </row>
    <row r="67" spans="1:18" s="2" customFormat="1" x14ac:dyDescent="0.35">
      <c r="A67" t="s">
        <v>3912</v>
      </c>
      <c r="B67" s="3">
        <f>_xlfn.IFNA(_xlfn.XLOOKUP(A67,'Price list'!D:D,'Price list'!E:E),0)</f>
        <v>35000</v>
      </c>
      <c r="C67" t="s">
        <v>9</v>
      </c>
      <c r="D67"/>
      <c r="E67" s="3"/>
      <c r="F67" s="3"/>
      <c r="G67" s="3"/>
      <c r="H67" s="3" t="str">
        <f>IF(G67=0,"",_xlfn.XLOOKUP(G67,List_item!A:A,List_item!B:B))</f>
        <v/>
      </c>
      <c r="I67" s="3"/>
      <c r="J67" s="26">
        <f t="shared" si="5"/>
        <v>0</v>
      </c>
      <c r="K67" s="3">
        <f t="shared" si="0"/>
        <v>0</v>
      </c>
      <c r="L67" s="27">
        <f t="shared" si="1"/>
        <v>0</v>
      </c>
      <c r="M67" s="3">
        <f t="shared" si="2"/>
        <v>0</v>
      </c>
      <c r="N67" s="3">
        <f t="shared" si="4"/>
        <v>0</v>
      </c>
      <c r="O67" s="3">
        <f t="shared" si="3"/>
        <v>0</v>
      </c>
      <c r="P67" s="3"/>
      <c r="Q67"/>
      <c r="R67"/>
    </row>
    <row r="68" spans="1:18" s="2" customFormat="1" x14ac:dyDescent="0.35">
      <c r="A68" t="s">
        <v>3913</v>
      </c>
      <c r="B68" s="3">
        <f>_xlfn.IFNA(_xlfn.XLOOKUP(A68,'Price list'!D:D,'Price list'!E:E),0)</f>
        <v>0</v>
      </c>
      <c r="C68" t="s">
        <v>9</v>
      </c>
      <c r="D68"/>
      <c r="E68" s="3"/>
      <c r="F68" s="3"/>
      <c r="G68" s="3"/>
      <c r="H68" s="3" t="str">
        <f>IF(G68=0,"",_xlfn.XLOOKUP(G68,List_item!A:A,List_item!B:B))</f>
        <v/>
      </c>
      <c r="I68" s="3"/>
      <c r="J68" s="26">
        <f t="shared" si="5"/>
        <v>0</v>
      </c>
      <c r="K68" s="3">
        <f t="shared" si="0"/>
        <v>0</v>
      </c>
      <c r="L68" s="27">
        <f t="shared" si="1"/>
        <v>0</v>
      </c>
      <c r="M68" s="3">
        <f t="shared" si="2"/>
        <v>0</v>
      </c>
      <c r="N68" s="3">
        <f t="shared" si="4"/>
        <v>0</v>
      </c>
      <c r="O68" s="3">
        <f t="shared" si="3"/>
        <v>0</v>
      </c>
      <c r="P68" s="3"/>
      <c r="Q68"/>
      <c r="R68"/>
    </row>
    <row r="69" spans="1:18" s="2" customFormat="1" x14ac:dyDescent="0.35">
      <c r="A69" t="s">
        <v>3914</v>
      </c>
      <c r="B69" s="3">
        <f>_xlfn.IFNA(_xlfn.XLOOKUP(A69,'Price list'!D:D,'Price list'!E:E),0)</f>
        <v>0</v>
      </c>
      <c r="C69" t="s">
        <v>9</v>
      </c>
      <c r="D69"/>
      <c r="E69" s="3"/>
      <c r="F69" s="3"/>
      <c r="G69" s="3"/>
      <c r="H69" s="3" t="str">
        <f>IF(G69=0,"",_xlfn.XLOOKUP(G69,List_item!A:A,List_item!B:B))</f>
        <v/>
      </c>
      <c r="I69" s="3"/>
      <c r="J69" s="26">
        <f t="shared" si="5"/>
        <v>0</v>
      </c>
      <c r="K69" s="3">
        <f t="shared" si="0"/>
        <v>0</v>
      </c>
      <c r="L69" s="27">
        <f t="shared" si="1"/>
        <v>0</v>
      </c>
      <c r="M69" s="3">
        <f t="shared" si="2"/>
        <v>0</v>
      </c>
      <c r="N69" s="3">
        <f t="shared" si="4"/>
        <v>0</v>
      </c>
      <c r="O69" s="3">
        <f t="shared" si="3"/>
        <v>0</v>
      </c>
      <c r="P69" s="3"/>
      <c r="Q69"/>
      <c r="R69"/>
    </row>
    <row r="70" spans="1:18" s="2" customFormat="1" x14ac:dyDescent="0.35">
      <c r="A70" t="s">
        <v>3915</v>
      </c>
      <c r="B70" s="3">
        <f>_xlfn.IFNA(_xlfn.XLOOKUP(A70,'Price list'!D:D,'Price list'!E:E),0)</f>
        <v>0</v>
      </c>
      <c r="C70" t="s">
        <v>9</v>
      </c>
      <c r="D70"/>
      <c r="E70" s="3"/>
      <c r="F70" s="3"/>
      <c r="G70" s="3"/>
      <c r="H70" s="3" t="str">
        <f>IF(G70=0,"",_xlfn.XLOOKUP(G70,List_item!A:A,List_item!B:B))</f>
        <v/>
      </c>
      <c r="I70" s="3"/>
      <c r="J70" s="26">
        <f t="shared" si="5"/>
        <v>0</v>
      </c>
      <c r="K70" s="3">
        <f t="shared" si="0"/>
        <v>0</v>
      </c>
      <c r="L70" s="27">
        <f t="shared" si="1"/>
        <v>0</v>
      </c>
      <c r="M70" s="3">
        <f t="shared" si="2"/>
        <v>0</v>
      </c>
      <c r="N70" s="3">
        <f t="shared" si="4"/>
        <v>0</v>
      </c>
      <c r="O70" s="3">
        <f t="shared" si="3"/>
        <v>0</v>
      </c>
      <c r="P70" s="3"/>
      <c r="Q70"/>
      <c r="R70"/>
    </row>
    <row r="71" spans="1:18" s="2" customFormat="1" x14ac:dyDescent="0.35">
      <c r="A71" t="s">
        <v>3916</v>
      </c>
      <c r="B71" s="3">
        <f>_xlfn.IFNA(_xlfn.XLOOKUP(A71,'Price list'!D:D,'Price list'!E:E),0)</f>
        <v>0</v>
      </c>
      <c r="C71" t="s">
        <v>9</v>
      </c>
      <c r="D71"/>
      <c r="E71" s="3"/>
      <c r="F71" s="3"/>
      <c r="G71" s="3"/>
      <c r="H71" s="3" t="str">
        <f>IF(G71=0,"",_xlfn.XLOOKUP(G71,List_item!A:A,List_item!B:B))</f>
        <v/>
      </c>
      <c r="I71" s="3"/>
      <c r="J71" s="26">
        <f t="shared" si="5"/>
        <v>0</v>
      </c>
      <c r="K71" s="3">
        <f t="shared" si="0"/>
        <v>0</v>
      </c>
      <c r="L71" s="27">
        <f t="shared" si="1"/>
        <v>0</v>
      </c>
      <c r="M71" s="3">
        <f t="shared" si="2"/>
        <v>0</v>
      </c>
      <c r="N71" s="3">
        <f t="shared" si="4"/>
        <v>0</v>
      </c>
      <c r="O71" s="3">
        <f t="shared" si="3"/>
        <v>0</v>
      </c>
      <c r="P71" s="3"/>
      <c r="Q71"/>
      <c r="R71"/>
    </row>
    <row r="72" spans="1:18" s="2" customFormat="1" x14ac:dyDescent="0.35">
      <c r="A72" t="s">
        <v>3917</v>
      </c>
      <c r="B72" s="3">
        <f>_xlfn.IFNA(_xlfn.XLOOKUP(A72,'Price list'!D:D,'Price list'!E:E),0)</f>
        <v>0</v>
      </c>
      <c r="C72" t="s">
        <v>9</v>
      </c>
      <c r="D72"/>
      <c r="E72" s="3"/>
      <c r="F72" s="3"/>
      <c r="G72" s="3"/>
      <c r="H72" s="3" t="str">
        <f>IF(G72=0,"",_xlfn.XLOOKUP(G72,List_item!A:A,List_item!B:B))</f>
        <v/>
      </c>
      <c r="I72" s="3"/>
      <c r="J72" s="26">
        <f t="shared" si="5"/>
        <v>0</v>
      </c>
      <c r="K72" s="3">
        <f t="shared" si="0"/>
        <v>0</v>
      </c>
      <c r="L72" s="27">
        <f t="shared" si="1"/>
        <v>0</v>
      </c>
      <c r="M72" s="3">
        <f t="shared" si="2"/>
        <v>0</v>
      </c>
      <c r="N72" s="3">
        <f t="shared" si="4"/>
        <v>0</v>
      </c>
      <c r="O72" s="3">
        <f t="shared" si="3"/>
        <v>0</v>
      </c>
      <c r="P72" s="3"/>
      <c r="Q72"/>
      <c r="R72"/>
    </row>
    <row r="73" spans="1:18" s="2" customFormat="1" x14ac:dyDescent="0.35">
      <c r="A73" t="s">
        <v>3918</v>
      </c>
      <c r="B73" s="3">
        <f>_xlfn.IFNA(_xlfn.XLOOKUP(A73,'Price list'!D:D,'Price list'!E:E),0)</f>
        <v>0</v>
      </c>
      <c r="C73" t="s">
        <v>9</v>
      </c>
      <c r="D73"/>
      <c r="E73" s="3"/>
      <c r="F73" s="3"/>
      <c r="G73" s="3"/>
      <c r="H73" s="3" t="str">
        <f>IF(G73=0,"",_xlfn.XLOOKUP(G73,List_item!A:A,List_item!B:B))</f>
        <v/>
      </c>
      <c r="I73" s="3"/>
      <c r="J73" s="26">
        <f t="shared" si="5"/>
        <v>0</v>
      </c>
      <c r="K73" s="3">
        <f t="shared" si="0"/>
        <v>0</v>
      </c>
      <c r="L73" s="27">
        <f t="shared" si="1"/>
        <v>0</v>
      </c>
      <c r="M73" s="3">
        <f t="shared" si="2"/>
        <v>0</v>
      </c>
      <c r="N73" s="3">
        <f t="shared" si="4"/>
        <v>0</v>
      </c>
      <c r="O73" s="3">
        <f t="shared" si="3"/>
        <v>0</v>
      </c>
      <c r="P73" s="3"/>
      <c r="Q73"/>
      <c r="R73"/>
    </row>
    <row r="74" spans="1:18" s="2" customFormat="1" x14ac:dyDescent="0.35">
      <c r="A74" t="s">
        <v>3919</v>
      </c>
      <c r="B74" s="3">
        <f>_xlfn.IFNA(_xlfn.XLOOKUP(A74,'Price list'!D:D,'Price list'!E:E),0)</f>
        <v>0</v>
      </c>
      <c r="C74" t="s">
        <v>9</v>
      </c>
      <c r="D74"/>
      <c r="E74" s="3"/>
      <c r="F74" s="3"/>
      <c r="G74" s="3"/>
      <c r="H74" s="3" t="str">
        <f>IF(G74=0,"",_xlfn.XLOOKUP(G74,List_item!A:A,List_item!B:B))</f>
        <v/>
      </c>
      <c r="I74" s="3"/>
      <c r="J74" s="26">
        <f t="shared" si="5"/>
        <v>0</v>
      </c>
      <c r="K74" s="3">
        <f t="shared" si="0"/>
        <v>0</v>
      </c>
      <c r="L74" s="27">
        <f t="shared" si="1"/>
        <v>0</v>
      </c>
      <c r="M74" s="3">
        <f t="shared" si="2"/>
        <v>0</v>
      </c>
      <c r="N74" s="3">
        <f t="shared" si="4"/>
        <v>0</v>
      </c>
      <c r="O74" s="3">
        <f t="shared" si="3"/>
        <v>0</v>
      </c>
      <c r="P74" s="3"/>
      <c r="Q74"/>
      <c r="R74"/>
    </row>
    <row r="75" spans="1:18" s="2" customFormat="1" x14ac:dyDescent="0.35">
      <c r="A75" t="s">
        <v>3920</v>
      </c>
      <c r="B75" s="3">
        <f>_xlfn.IFNA(_xlfn.XLOOKUP(A75,'Price list'!D:D,'Price list'!E:E),0)</f>
        <v>0</v>
      </c>
      <c r="C75" t="s">
        <v>9</v>
      </c>
      <c r="D75"/>
      <c r="E75" s="3"/>
      <c r="F75" s="3"/>
      <c r="G75" s="3"/>
      <c r="H75" s="3" t="str">
        <f>IF(G75=0,"",_xlfn.XLOOKUP(G75,List_item!A:A,List_item!B:B))</f>
        <v/>
      </c>
      <c r="I75" s="3"/>
      <c r="J75" s="26">
        <f t="shared" si="5"/>
        <v>0</v>
      </c>
      <c r="K75" s="3">
        <f t="shared" ref="K75:K79" si="6">+B75*(F75+I75)</f>
        <v>0</v>
      </c>
      <c r="L75" s="27">
        <f t="shared" si="1"/>
        <v>0</v>
      </c>
      <c r="M75" s="3">
        <f t="shared" si="2"/>
        <v>0</v>
      </c>
      <c r="N75" s="3">
        <f t="shared" si="4"/>
        <v>0</v>
      </c>
      <c r="O75" s="3">
        <f t="shared" si="3"/>
        <v>0</v>
      </c>
      <c r="P75" s="3"/>
      <c r="Q75"/>
      <c r="R75"/>
    </row>
    <row r="76" spans="1:18" s="2" customFormat="1" x14ac:dyDescent="0.35">
      <c r="A76" t="s">
        <v>3921</v>
      </c>
      <c r="B76" s="3">
        <f>_xlfn.IFNA(_xlfn.XLOOKUP(A76,'Price list'!D:D,'Price list'!E:E),0)</f>
        <v>0</v>
      </c>
      <c r="C76" t="s">
        <v>9</v>
      </c>
      <c r="D76"/>
      <c r="E76" s="3"/>
      <c r="F76" s="3"/>
      <c r="G76" s="3"/>
      <c r="H76" s="3" t="str">
        <f>IF(G76=0,"",_xlfn.XLOOKUP(G76,List_item!A:A,List_item!B:B))</f>
        <v/>
      </c>
      <c r="I76" s="3"/>
      <c r="J76" s="26">
        <f t="shared" si="5"/>
        <v>0</v>
      </c>
      <c r="K76" s="3">
        <f t="shared" si="6"/>
        <v>0</v>
      </c>
      <c r="L76" s="27">
        <f t="shared" ref="L76:L79" si="7">IFERROR(((K76/SUM($K$11:$K$79))*$F$10)/(F76+I76),0)</f>
        <v>0</v>
      </c>
      <c r="M76" s="3">
        <f t="shared" ref="M76:M79" si="8">+L76*(F76+I76)</f>
        <v>0</v>
      </c>
      <c r="N76" s="3">
        <f t="shared" si="4"/>
        <v>0</v>
      </c>
      <c r="O76" s="3">
        <f t="shared" ref="O76:O79" si="9">+K76-M76</f>
        <v>0</v>
      </c>
      <c r="P76" s="3"/>
      <c r="Q76"/>
      <c r="R76"/>
    </row>
    <row r="77" spans="1:18" s="2" customFormat="1" x14ac:dyDescent="0.35">
      <c r="A77" t="s">
        <v>3922</v>
      </c>
      <c r="B77" s="3">
        <f>_xlfn.IFNA(_xlfn.XLOOKUP(A77,'Price list'!D:D,'Price list'!E:E),0)</f>
        <v>0</v>
      </c>
      <c r="C77" t="s">
        <v>9</v>
      </c>
      <c r="D77"/>
      <c r="E77" s="3"/>
      <c r="F77" s="3"/>
      <c r="G77" s="3"/>
      <c r="H77" s="3" t="str">
        <f>IF(G77=0,"",_xlfn.XLOOKUP(G77,List_item!A:A,List_item!B:B))</f>
        <v/>
      </c>
      <c r="I77" s="3"/>
      <c r="J77" s="26">
        <f t="shared" si="5"/>
        <v>0</v>
      </c>
      <c r="K77" s="3">
        <f t="shared" si="6"/>
        <v>0</v>
      </c>
      <c r="L77" s="27">
        <f t="shared" si="7"/>
        <v>0</v>
      </c>
      <c r="M77" s="3">
        <f t="shared" si="8"/>
        <v>0</v>
      </c>
      <c r="N77" s="3">
        <f t="shared" ref="N77:N79" si="10">IF(L77=0,0,B77-L77)</f>
        <v>0</v>
      </c>
      <c r="O77" s="3">
        <f t="shared" si="9"/>
        <v>0</v>
      </c>
      <c r="P77" s="3"/>
      <c r="Q77"/>
      <c r="R77"/>
    </row>
    <row r="78" spans="1:18" s="2" customFormat="1" x14ac:dyDescent="0.35">
      <c r="A78" t="s">
        <v>3923</v>
      </c>
      <c r="B78" s="3">
        <f>_xlfn.IFNA(_xlfn.XLOOKUP(A78,'Price list'!D:D,'Price list'!E:E),0)</f>
        <v>0</v>
      </c>
      <c r="C78" t="s">
        <v>9</v>
      </c>
      <c r="D78"/>
      <c r="E78" s="3"/>
      <c r="F78" s="3"/>
      <c r="G78" s="3"/>
      <c r="H78" s="3" t="str">
        <f>IF(G78=0,"",_xlfn.XLOOKUP(G78,List_item!A:A,List_item!B:B))</f>
        <v/>
      </c>
      <c r="I78" s="3"/>
      <c r="J78" s="26">
        <f t="shared" ref="J78:J79" si="11">IF(F78/E$10&gt;0,F78/E$10,I78/E$10)</f>
        <v>0</v>
      </c>
      <c r="K78" s="3">
        <f t="shared" si="6"/>
        <v>0</v>
      </c>
      <c r="L78" s="27">
        <f t="shared" si="7"/>
        <v>0</v>
      </c>
      <c r="M78" s="3">
        <f t="shared" si="8"/>
        <v>0</v>
      </c>
      <c r="N78" s="3">
        <f t="shared" si="10"/>
        <v>0</v>
      </c>
      <c r="O78" s="3">
        <f t="shared" si="9"/>
        <v>0</v>
      </c>
      <c r="P78" s="3"/>
      <c r="Q78"/>
      <c r="R78"/>
    </row>
    <row r="79" spans="1:18" s="2" customFormat="1" x14ac:dyDescent="0.35">
      <c r="A79" t="s">
        <v>3924</v>
      </c>
      <c r="B79" s="3">
        <f>_xlfn.IFNA(_xlfn.XLOOKUP(A79,'Price list'!D:D,'Price list'!E:E),0)</f>
        <v>0</v>
      </c>
      <c r="C79" t="s">
        <v>9</v>
      </c>
      <c r="D79"/>
      <c r="E79" s="3"/>
      <c r="F79" s="3"/>
      <c r="G79" s="3"/>
      <c r="H79" s="3" t="str">
        <f>IF(G79=0,"",_xlfn.XLOOKUP(G79,List_item!A:A,List_item!B:B))</f>
        <v/>
      </c>
      <c r="I79" s="3"/>
      <c r="J79" s="26">
        <f t="shared" si="11"/>
        <v>0</v>
      </c>
      <c r="K79" s="3">
        <f t="shared" si="6"/>
        <v>0</v>
      </c>
      <c r="L79" s="27">
        <f t="shared" si="7"/>
        <v>0</v>
      </c>
      <c r="M79" s="3">
        <f t="shared" si="8"/>
        <v>0</v>
      </c>
      <c r="N79" s="3">
        <f t="shared" si="10"/>
        <v>0</v>
      </c>
      <c r="O79" s="3">
        <f t="shared" si="9"/>
        <v>0</v>
      </c>
      <c r="P79" s="3"/>
      <c r="Q79"/>
      <c r="R79"/>
    </row>
    <row r="82" spans="1:7" x14ac:dyDescent="0.35">
      <c r="A82" t="s">
        <v>3929</v>
      </c>
      <c r="B82"/>
      <c r="E82"/>
      <c r="F82" s="117"/>
      <c r="G82" t="s">
        <v>3930</v>
      </c>
    </row>
    <row r="83" spans="1:7" x14ac:dyDescent="0.35">
      <c r="B83"/>
      <c r="E83"/>
      <c r="F83" s="117"/>
      <c r="G83"/>
    </row>
    <row r="84" spans="1:7" x14ac:dyDescent="0.35">
      <c r="B84"/>
      <c r="E84"/>
      <c r="F84" s="117"/>
      <c r="G84"/>
    </row>
    <row r="85" spans="1:7" x14ac:dyDescent="0.35">
      <c r="B85"/>
      <c r="E85"/>
      <c r="F85" s="117"/>
      <c r="G85"/>
    </row>
    <row r="86" spans="1:7" x14ac:dyDescent="0.35">
      <c r="B86"/>
      <c r="E86"/>
      <c r="F86" s="117"/>
      <c r="G86"/>
    </row>
    <row r="87" spans="1:7" x14ac:dyDescent="0.35">
      <c r="B87"/>
      <c r="E87"/>
      <c r="F87" s="117"/>
      <c r="G87"/>
    </row>
    <row r="88" spans="1:7" x14ac:dyDescent="0.35">
      <c r="A88" s="118"/>
      <c r="B88"/>
      <c r="E88"/>
      <c r="F88" s="117"/>
      <c r="G88" s="118"/>
    </row>
  </sheetData>
  <autoFilter ref="A10:P79" xr:uid="{89921132-0E2A-43F8-B97F-AB3CC18E3934}"/>
  <conditionalFormatting sqref="O10:P10">
    <cfRule type="cellIs" dxfId="25" priority="1" operator="lessThan">
      <formula>0</formula>
    </cfRule>
  </conditionalFormatting>
  <pageMargins left="0.7" right="0.7" top="0.75" bottom="0.75" header="0.3" footer="0.3"/>
  <pageSetup paperSize="9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1CEE-60D0-474B-B7E9-3C555F6D890F}">
  <sheetPr filterMode="1">
    <pageSetUpPr fitToPage="1"/>
  </sheetPr>
  <dimension ref="A1:R88"/>
  <sheetViews>
    <sheetView zoomScale="80" zoomScaleNormal="80" workbookViewId="0">
      <pane xSplit="3" ySplit="9" topLeftCell="D10" activePane="bottomRight" state="frozen"/>
      <selection pane="topRight" activeCell="D1" sqref="D1"/>
      <selection pane="bottomLeft" activeCell="A6" sqref="A6"/>
      <selection pane="bottomRight" activeCell="B5" sqref="B5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1.26953125" bestFit="1" customWidth="1"/>
    <col min="4" max="4" width="2" customWidth="1"/>
    <col min="5" max="5" width="11.54296875" style="2" hidden="1" customWidth="1"/>
    <col min="6" max="6" width="16.26953125" style="2" hidden="1" customWidth="1"/>
    <col min="7" max="7" width="15.1796875" style="2" bestFit="1" customWidth="1"/>
    <col min="8" max="8" width="42.453125" style="2" bestFit="1" customWidth="1"/>
    <col min="9" max="9" width="11.26953125" style="2" bestFit="1" customWidth="1"/>
    <col min="10" max="10" width="10" style="2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2.4531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t="s">
        <v>3865</v>
      </c>
    </row>
    <row r="3" spans="1:18" x14ac:dyDescent="0.35">
      <c r="A3" s="101" t="s">
        <v>3866</v>
      </c>
      <c r="B3" s="2">
        <f>86856420+71978900+85096550</f>
        <v>243931870</v>
      </c>
      <c r="C3" s="19">
        <f>4002.6+3317+3921.5</f>
        <v>11241.1</v>
      </c>
      <c r="G3" s="101" t="s">
        <v>3870</v>
      </c>
      <c r="H3" s="2" t="s">
        <v>3927</v>
      </c>
      <c r="I3" s="2">
        <f>+B3/C3</f>
        <v>21700</v>
      </c>
    </row>
    <row r="4" spans="1:18" x14ac:dyDescent="0.35">
      <c r="A4" s="101" t="s">
        <v>3867</v>
      </c>
      <c r="B4" s="2">
        <v>24000000</v>
      </c>
      <c r="G4" s="101" t="s">
        <v>3872</v>
      </c>
      <c r="H4" s="115">
        <v>46244</v>
      </c>
    </row>
    <row r="5" spans="1:18" x14ac:dyDescent="0.35">
      <c r="A5" s="101" t="s">
        <v>3868</v>
      </c>
      <c r="B5" s="2">
        <f>16237920+1001920</f>
        <v>17239840</v>
      </c>
    </row>
    <row r="6" spans="1:18" x14ac:dyDescent="0.35">
      <c r="A6" s="102" t="s">
        <v>3869</v>
      </c>
      <c r="B6" s="19">
        <f>SUM(B3:B5)</f>
        <v>285171710</v>
      </c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SUM(K11:K65)/M10-1</f>
        <v>6.9989060275299497E-3</v>
      </c>
    </row>
    <row r="9" spans="1:18" ht="30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14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f>+C3</f>
        <v>11241.1</v>
      </c>
      <c r="F10" s="5">
        <f>+B6</f>
        <v>285171710</v>
      </c>
      <c r="G10" s="5"/>
      <c r="H10" s="5"/>
      <c r="I10" s="5">
        <f>SUM(I11:I79)</f>
        <v>9497.2999999999993</v>
      </c>
      <c r="J10" s="111">
        <f>SUM(J11:J79)</f>
        <v>0.844872832729893</v>
      </c>
      <c r="K10" s="5">
        <f>+SUM(K11:K79)</f>
        <v>287167600</v>
      </c>
      <c r="L10" s="5"/>
      <c r="M10" s="5">
        <f>+SUM(M11:M79)</f>
        <v>285171710</v>
      </c>
      <c r="N10" s="5"/>
      <c r="O10" s="5">
        <f>+SUM(O11:O79)</f>
        <v>1995889.9999999946</v>
      </c>
    </row>
    <row r="11" spans="1:18" hidden="1" x14ac:dyDescent="0.35">
      <c r="A11" t="s">
        <v>3873</v>
      </c>
      <c r="B11" s="2">
        <f>_xlfn.IFNA(_xlfn.XLOOKUP(A11,'Price list'!D:D,'Price list'!E:E),0)</f>
        <v>0</v>
      </c>
      <c r="C11" t="s">
        <v>9</v>
      </c>
      <c r="G11" s="3"/>
      <c r="H11" s="3" t="str">
        <f>IF(G11=0,"",_xlfn.XLOOKUP(G11,List_item!A:A,List_item!B:B))</f>
        <v/>
      </c>
      <c r="I11" s="3">
        <v>0</v>
      </c>
      <c r="J11" s="26">
        <f>IF(F11/E$10&gt;0,F11/E$10,I11/E$10)</f>
        <v>0</v>
      </c>
      <c r="K11" s="3">
        <f t="shared" ref="K11:K74" si="0">+B11*(F11+I11)</f>
        <v>0</v>
      </c>
      <c r="L11" s="27">
        <f>IFERROR(((K11/SUM($K$11:$K$79))*$F$10)/(F11+I11),0)</f>
        <v>0</v>
      </c>
      <c r="M11" s="3">
        <f>+L11*(F11+I11)</f>
        <v>0</v>
      </c>
      <c r="N11" s="3">
        <f>IF(L11=0,0,B11-L11)</f>
        <v>0</v>
      </c>
      <c r="O11" s="3">
        <f>+K11-M11</f>
        <v>0</v>
      </c>
    </row>
    <row r="12" spans="1:18" hidden="1" x14ac:dyDescent="0.35">
      <c r="A12" t="s">
        <v>3874</v>
      </c>
      <c r="B12" s="2">
        <f>_xlfn.IFNA(_xlfn.XLOOKUP(A12,'Price list'!D:D,'Price list'!E:E),0)</f>
        <v>0</v>
      </c>
      <c r="C12" t="s">
        <v>9</v>
      </c>
      <c r="G12" s="3"/>
      <c r="H12" s="3" t="str">
        <f>IF(G12=0,"",_xlfn.XLOOKUP(G12,List_item!A:A,List_item!B:B))</f>
        <v/>
      </c>
      <c r="I12" s="3">
        <v>0</v>
      </c>
      <c r="J12" s="26">
        <f>IF(F12/E$10&gt;0,F12/E$10,I12/E$10)</f>
        <v>0</v>
      </c>
      <c r="K12" s="3">
        <f t="shared" si="0"/>
        <v>0</v>
      </c>
      <c r="L12" s="27">
        <f t="shared" ref="L12:L75" si="1">IFERROR(((K12/SUM($K$11:$K$79))*$F$10)/(F12+I12),0)</f>
        <v>0</v>
      </c>
      <c r="M12" s="3">
        <f t="shared" ref="M12:M75" si="2">+L12*(F12+I12)</f>
        <v>0</v>
      </c>
      <c r="N12" s="3">
        <f t="shared" ref="N12:N75" si="3">IF(L12=0,0,B12-L12)</f>
        <v>0</v>
      </c>
      <c r="O12" s="3">
        <f t="shared" ref="O12:O75" si="4">+K12-M12</f>
        <v>0</v>
      </c>
      <c r="R12" s="3"/>
    </row>
    <row r="13" spans="1:18" hidden="1" x14ac:dyDescent="0.35">
      <c r="A13" t="s">
        <v>3875</v>
      </c>
      <c r="B13" s="2">
        <f>_xlfn.IFNA(_xlfn.XLOOKUP(A13,'Price list'!D:D,'Price list'!E:E),0)</f>
        <v>36500</v>
      </c>
      <c r="C13" t="s">
        <v>9</v>
      </c>
      <c r="E13" s="3"/>
      <c r="G13" s="3"/>
      <c r="H13" s="3" t="str">
        <f>IF(G13=0,"",_xlfn.XLOOKUP(G13,List_item!A:A,List_item!B:B))</f>
        <v/>
      </c>
      <c r="I13" s="3">
        <v>0</v>
      </c>
      <c r="J13" s="26">
        <f>IF(F13/E$10&gt;0,F13/E$10,I13/E$10)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si="4"/>
        <v>0</v>
      </c>
    </row>
    <row r="14" spans="1:18" x14ac:dyDescent="0.35">
      <c r="A14" t="s">
        <v>3876</v>
      </c>
      <c r="B14" s="2">
        <f>_xlfn.IFNA(_xlfn.XLOOKUP(A14,'Price list'!D:D,'Price list'!E:E),0)</f>
        <v>36500</v>
      </c>
      <c r="C14" t="s">
        <v>9</v>
      </c>
      <c r="G14" s="3" t="s">
        <v>2220</v>
      </c>
      <c r="H14" s="3" t="str">
        <f>IF(G14=0,"",_xlfn.XLOOKUP(G14,List_item!A:A,List_item!B:B))</f>
        <v>Karkas Uk 0.6 Karkas Uk 0.6 Frozen Premium</v>
      </c>
      <c r="I14" s="3">
        <v>26.9</v>
      </c>
      <c r="J14" s="26">
        <f t="shared" ref="J14:J77" si="5">IF(F14/E$10&gt;0,F14/E$10,I14/E$10)</f>
        <v>2.3930042433569667E-3</v>
      </c>
      <c r="K14" s="3">
        <f t="shared" si="0"/>
        <v>981850</v>
      </c>
      <c r="L14" s="27">
        <f t="shared" si="1"/>
        <v>36246.31544436072</v>
      </c>
      <c r="M14" s="3">
        <f t="shared" si="2"/>
        <v>975025.88545330334</v>
      </c>
      <c r="N14" s="3">
        <f t="shared" si="3"/>
        <v>253.68455563928001</v>
      </c>
      <c r="O14" s="3">
        <f t="shared" si="4"/>
        <v>6824.1145466966555</v>
      </c>
    </row>
    <row r="15" spans="1:18" x14ac:dyDescent="0.35">
      <c r="A15" t="s">
        <v>3877</v>
      </c>
      <c r="B15" s="2">
        <f>_xlfn.IFNA(_xlfn.XLOOKUP(A15,'Price list'!D:D,'Price list'!E:E),0)</f>
        <v>36500</v>
      </c>
      <c r="C15" t="s">
        <v>9</v>
      </c>
      <c r="E15"/>
      <c r="F15"/>
      <c r="G15" s="3" t="s">
        <v>2221</v>
      </c>
      <c r="H15" s="3" t="str">
        <f>IF(G15=0,"",_xlfn.XLOOKUP(G15,List_item!A:A,List_item!B:B))</f>
        <v>Karkas Uk 0.7 Karkas Uk 0.7 Frozen Premium</v>
      </c>
      <c r="I15" s="3">
        <v>101.2</v>
      </c>
      <c r="J15" s="26">
        <f>IF(F15/E$10&gt;0,F15/E$10,I15/E$10)</f>
        <v>9.0026776738931242E-3</v>
      </c>
      <c r="K15" s="3">
        <f t="shared" si="0"/>
        <v>3693800</v>
      </c>
      <c r="L15" s="27">
        <f t="shared" si="1"/>
        <v>36246.315444360713</v>
      </c>
      <c r="M15" s="3">
        <f t="shared" si="2"/>
        <v>3668127.1229693042</v>
      </c>
      <c r="N15" s="3">
        <f t="shared" si="3"/>
        <v>253.68455563928728</v>
      </c>
      <c r="O15" s="3">
        <f t="shared" si="4"/>
        <v>25672.877030695789</v>
      </c>
      <c r="P15" s="3"/>
    </row>
    <row r="16" spans="1:18" x14ac:dyDescent="0.35">
      <c r="A16" t="s">
        <v>3878</v>
      </c>
      <c r="B16" s="2">
        <f>_xlfn.IFNA(_xlfn.XLOOKUP(A16,'Price list'!D:D,'Price list'!E:E),0)</f>
        <v>36500</v>
      </c>
      <c r="C16" t="s">
        <v>9</v>
      </c>
      <c r="E16" s="3"/>
      <c r="F16"/>
      <c r="G16" s="3" t="s">
        <v>2222</v>
      </c>
      <c r="H16" s="3" t="str">
        <f>IF(G16=0,"",_xlfn.XLOOKUP(G16,List_item!A:A,List_item!B:B))</f>
        <v>Karkas Uk 0.8 Frozen Premium</v>
      </c>
      <c r="I16" s="3">
        <v>352.2</v>
      </c>
      <c r="J16" s="26">
        <f t="shared" si="5"/>
        <v>3.1331453327521325E-2</v>
      </c>
      <c r="K16" s="3">
        <f t="shared" si="0"/>
        <v>12855300</v>
      </c>
      <c r="L16" s="27">
        <f t="shared" si="1"/>
        <v>36246.31544436072</v>
      </c>
      <c r="M16" s="3">
        <f t="shared" si="2"/>
        <v>12765952.299503846</v>
      </c>
      <c r="N16" s="3">
        <f t="shared" si="3"/>
        <v>253.68455563928001</v>
      </c>
      <c r="O16" s="3">
        <f t="shared" si="4"/>
        <v>89347.700496153906</v>
      </c>
      <c r="P16" s="3"/>
    </row>
    <row r="17" spans="1:16" x14ac:dyDescent="0.35">
      <c r="A17" s="103" t="s">
        <v>3879</v>
      </c>
      <c r="B17" s="2">
        <f>_xlfn.IFNA(_xlfn.XLOOKUP(A17,'Price list'!D:D,'Price list'!E:E),0)</f>
        <v>36500</v>
      </c>
      <c r="C17" s="103" t="s">
        <v>9</v>
      </c>
      <c r="D17" s="103"/>
      <c r="E17" s="105"/>
      <c r="F17" s="103"/>
      <c r="G17" s="104" t="s">
        <v>826</v>
      </c>
      <c r="H17" s="104" t="str">
        <f>IF(G17=0,"",_xlfn.XLOOKUP(G17,List_item!A:A,List_item!B:B))</f>
        <v>Karkas Uk 0.9 Karkas Uk 0.9 Fresh Premium</v>
      </c>
      <c r="I17" s="104">
        <v>773.2</v>
      </c>
      <c r="J17" s="106">
        <f t="shared" si="5"/>
        <v>6.8783304125041148E-2</v>
      </c>
      <c r="K17" s="104">
        <f t="shared" si="0"/>
        <v>28221800</v>
      </c>
      <c r="L17" s="107">
        <f t="shared" si="1"/>
        <v>36246.315444360713</v>
      </c>
      <c r="M17" s="104">
        <f t="shared" si="2"/>
        <v>28025651.101579703</v>
      </c>
      <c r="N17" s="104">
        <f t="shared" si="3"/>
        <v>253.68455563928728</v>
      </c>
      <c r="O17" s="104">
        <f t="shared" si="4"/>
        <v>196148.89842029661</v>
      </c>
      <c r="P17" s="104"/>
    </row>
    <row r="18" spans="1:16" x14ac:dyDescent="0.35">
      <c r="A18" s="103" t="s">
        <v>3880</v>
      </c>
      <c r="B18" s="2">
        <f>_xlfn.IFNA(_xlfn.XLOOKUP(A18,'Price list'!D:D,'Price list'!E:E),0)</f>
        <v>36500</v>
      </c>
      <c r="C18" s="103" t="s">
        <v>9</v>
      </c>
      <c r="D18" s="103"/>
      <c r="E18" s="104"/>
      <c r="F18" s="104"/>
      <c r="G18" s="104" t="s">
        <v>891</v>
      </c>
      <c r="H18" s="104" t="str">
        <f>IF(G18=0,"",_xlfn.XLOOKUP(G18,List_item!A:A,List_item!B:B))</f>
        <v>Karkas Uk 1.0 Karkas Uk 1.0 Fresh Premium</v>
      </c>
      <c r="I18" s="104">
        <v>1692.7</v>
      </c>
      <c r="J18" s="106">
        <f t="shared" si="5"/>
        <v>0.15058134880038429</v>
      </c>
      <c r="K18" s="104">
        <f t="shared" si="0"/>
        <v>61783550</v>
      </c>
      <c r="L18" s="107">
        <f t="shared" si="1"/>
        <v>36246.315444360713</v>
      </c>
      <c r="M18" s="104">
        <f t="shared" si="2"/>
        <v>61354138.152669378</v>
      </c>
      <c r="N18" s="104">
        <f t="shared" si="3"/>
        <v>253.68455563928728</v>
      </c>
      <c r="O18" s="104">
        <f t="shared" si="4"/>
        <v>429411.84733062238</v>
      </c>
      <c r="P18" s="104"/>
    </row>
    <row r="19" spans="1:16" x14ac:dyDescent="0.35">
      <c r="A19" s="103" t="s">
        <v>3881</v>
      </c>
      <c r="B19" s="2">
        <f>_xlfn.IFNA(_xlfn.XLOOKUP(A19,'Price list'!D:D,'Price list'!E:E),0)</f>
        <v>36500</v>
      </c>
      <c r="C19" s="103" t="s">
        <v>9</v>
      </c>
      <c r="D19" s="103"/>
      <c r="E19" s="104"/>
      <c r="F19" s="104"/>
      <c r="G19" s="104" t="s">
        <v>957</v>
      </c>
      <c r="H19" s="104" t="str">
        <f>IF(G19=0,"",_xlfn.XLOOKUP(G19,List_item!A:A,List_item!B:B))</f>
        <v>Karkas Uk 1.1 Karkas Uk 1.1 Fresh Premium</v>
      </c>
      <c r="I19" s="104">
        <v>1736.8</v>
      </c>
      <c r="J19" s="106">
        <f t="shared" si="5"/>
        <v>0.15450445241124089</v>
      </c>
      <c r="K19" s="104">
        <f t="shared" si="0"/>
        <v>63393200</v>
      </c>
      <c r="L19" s="107">
        <f t="shared" si="1"/>
        <v>36246.31544436072</v>
      </c>
      <c r="M19" s="104">
        <f t="shared" si="2"/>
        <v>62952600.663765699</v>
      </c>
      <c r="N19" s="104">
        <f t="shared" si="3"/>
        <v>253.68455563928001</v>
      </c>
      <c r="O19" s="104">
        <f t="shared" si="4"/>
        <v>440599.33623430133</v>
      </c>
      <c r="P19" s="104"/>
    </row>
    <row r="20" spans="1:16" x14ac:dyDescent="0.35">
      <c r="A20" s="103" t="s">
        <v>3882</v>
      </c>
      <c r="B20" s="2">
        <f>_xlfn.IFNA(_xlfn.XLOOKUP(A20,'Price list'!D:D,'Price list'!E:E),0)</f>
        <v>36500</v>
      </c>
      <c r="C20" s="103" t="s">
        <v>9</v>
      </c>
      <c r="D20" s="103"/>
      <c r="E20" s="104"/>
      <c r="F20" s="104"/>
      <c r="G20" s="104" t="s">
        <v>1023</v>
      </c>
      <c r="H20" s="104" t="str">
        <f>IF(G20=0,"",_xlfn.XLOOKUP(G20,List_item!A:A,List_item!B:B))</f>
        <v>Karkas Uk 1.2 Karkas Uk 1.2 Fresh Premium</v>
      </c>
      <c r="I20" s="104">
        <v>1438.2</v>
      </c>
      <c r="J20" s="106">
        <f t="shared" si="5"/>
        <v>0.12794121571732303</v>
      </c>
      <c r="K20" s="104">
        <f t="shared" si="0"/>
        <v>52494300</v>
      </c>
      <c r="L20" s="107">
        <f t="shared" si="1"/>
        <v>36246.315444360713</v>
      </c>
      <c r="M20" s="104">
        <f t="shared" si="2"/>
        <v>52129450.872079581</v>
      </c>
      <c r="N20" s="104">
        <f t="shared" si="3"/>
        <v>253.68455563928728</v>
      </c>
      <c r="O20" s="104">
        <f t="shared" si="4"/>
        <v>364849.12792041898</v>
      </c>
      <c r="P20" s="104"/>
    </row>
    <row r="21" spans="1:16" x14ac:dyDescent="0.35">
      <c r="A21" s="103" t="s">
        <v>3883</v>
      </c>
      <c r="B21" s="2">
        <f>_xlfn.IFNA(_xlfn.XLOOKUP(A21,'Price list'!D:D,'Price list'!E:E),0)</f>
        <v>36500</v>
      </c>
      <c r="C21" s="103" t="s">
        <v>9</v>
      </c>
      <c r="D21" s="103"/>
      <c r="E21" s="104"/>
      <c r="F21" s="104"/>
      <c r="G21" s="104" t="s">
        <v>1089</v>
      </c>
      <c r="H21" s="104" t="str">
        <f>IF(G21=0,"",_xlfn.XLOOKUP(G21,List_item!A:A,List_item!B:B))</f>
        <v>Karkas Uk 1.3 Karkas Uk 1.3 Fresh Premium</v>
      </c>
      <c r="I21" s="104">
        <v>544.5</v>
      </c>
      <c r="J21" s="106">
        <f t="shared" si="5"/>
        <v>4.8438320093229306E-2</v>
      </c>
      <c r="K21" s="104">
        <f t="shared" si="0"/>
        <v>19874250</v>
      </c>
      <c r="L21" s="107">
        <f t="shared" si="1"/>
        <v>36246.315444360713</v>
      </c>
      <c r="M21" s="104">
        <f t="shared" si="2"/>
        <v>19736118.759454407</v>
      </c>
      <c r="N21" s="104">
        <f t="shared" si="3"/>
        <v>253.68455563928728</v>
      </c>
      <c r="O21" s="104">
        <f t="shared" si="4"/>
        <v>138131.2405455932</v>
      </c>
      <c r="P21" s="104"/>
    </row>
    <row r="22" spans="1:16" x14ac:dyDescent="0.35">
      <c r="A22" s="103" t="s">
        <v>3884</v>
      </c>
      <c r="B22" s="2">
        <f>_xlfn.IFNA(_xlfn.XLOOKUP(A22,'Price list'!D:D,'Price list'!E:E),0)</f>
        <v>36500</v>
      </c>
      <c r="C22" s="103" t="s">
        <v>9</v>
      </c>
      <c r="D22" s="103"/>
      <c r="E22" s="104"/>
      <c r="F22" s="104"/>
      <c r="G22" s="104" t="s">
        <v>1155</v>
      </c>
      <c r="H22" s="104" t="str">
        <f>IF(G22=0,"",_xlfn.XLOOKUP(G22,List_item!A:A,List_item!B:B))</f>
        <v>Karkas Uk 1.4 Karkas Uk 1.4 Fresh Premium</v>
      </c>
      <c r="I22" s="104">
        <v>72.3</v>
      </c>
      <c r="J22" s="106">
        <f t="shared" si="5"/>
        <v>6.4317548994315497E-3</v>
      </c>
      <c r="K22" s="104">
        <f t="shared" si="0"/>
        <v>2638950</v>
      </c>
      <c r="L22" s="107">
        <f t="shared" si="1"/>
        <v>36246.31544436072</v>
      </c>
      <c r="M22" s="104">
        <f t="shared" si="2"/>
        <v>2620608.6066272799</v>
      </c>
      <c r="N22" s="104">
        <f t="shared" si="3"/>
        <v>253.68455563928001</v>
      </c>
      <c r="O22" s="104">
        <f t="shared" si="4"/>
        <v>18341.393372720107</v>
      </c>
      <c r="P22" s="104"/>
    </row>
    <row r="23" spans="1:16" hidden="1" x14ac:dyDescent="0.35">
      <c r="A23" t="s">
        <v>3849</v>
      </c>
      <c r="B23" s="2">
        <f>_xlfn.IFNA(_xlfn.XLOOKUP(A23,'Price list'!D:D,'Price list'!E:E),0)</f>
        <v>36500</v>
      </c>
      <c r="C23" t="s">
        <v>9</v>
      </c>
      <c r="E23" s="3"/>
      <c r="G23" s="3"/>
      <c r="H23" s="3" t="str">
        <f>IF(G23=0,"",_xlfn.XLOOKUP(G23,List_item!A:A,List_item!B:B))</f>
        <v/>
      </c>
      <c r="I23" s="3">
        <v>0</v>
      </c>
      <c r="J23" s="26">
        <f t="shared" si="5"/>
        <v>0</v>
      </c>
      <c r="K23" s="3">
        <f t="shared" si="0"/>
        <v>0</v>
      </c>
      <c r="L23" s="27">
        <f t="shared" si="1"/>
        <v>0</v>
      </c>
      <c r="M23" s="3">
        <f t="shared" si="2"/>
        <v>0</v>
      </c>
      <c r="N23" s="3">
        <f t="shared" si="3"/>
        <v>0</v>
      </c>
      <c r="O23" s="3">
        <f t="shared" si="4"/>
        <v>0</v>
      </c>
    </row>
    <row r="24" spans="1:16" hidden="1" x14ac:dyDescent="0.35">
      <c r="A24" t="s">
        <v>3885</v>
      </c>
      <c r="B24" s="2">
        <f>_xlfn.IFNA(_xlfn.XLOOKUP(A24,'Price list'!D:D,'Price list'!E:E),0)</f>
        <v>36500</v>
      </c>
      <c r="C24" t="s">
        <v>9</v>
      </c>
      <c r="E24" s="3"/>
      <c r="G24" s="3"/>
      <c r="H24" s="3" t="str">
        <f>IF(G24=0,"",_xlfn.XLOOKUP(G24,List_item!A:A,List_item!B:B))</f>
        <v/>
      </c>
      <c r="I24" s="3">
        <v>0</v>
      </c>
      <c r="J24" s="26">
        <f t="shared" si="5"/>
        <v>0</v>
      </c>
      <c r="K24" s="3">
        <f t="shared" si="0"/>
        <v>0</v>
      </c>
      <c r="L24" s="27">
        <f t="shared" si="1"/>
        <v>0</v>
      </c>
      <c r="M24" s="3">
        <f t="shared" si="2"/>
        <v>0</v>
      </c>
      <c r="N24" s="3">
        <f t="shared" si="3"/>
        <v>0</v>
      </c>
      <c r="O24" s="3">
        <f t="shared" si="4"/>
        <v>0</v>
      </c>
    </row>
    <row r="25" spans="1:16" hidden="1" x14ac:dyDescent="0.35">
      <c r="A25" t="s">
        <v>3886</v>
      </c>
      <c r="B25" s="2">
        <f>_xlfn.IFNA(_xlfn.XLOOKUP(A25,'Price list'!D:D,'Price list'!E:E),0)</f>
        <v>36500</v>
      </c>
      <c r="C25" t="s">
        <v>9</v>
      </c>
      <c r="G25" s="3"/>
      <c r="H25" s="3" t="str">
        <f>IF(G25=0,"",_xlfn.XLOOKUP(G25,List_item!A:A,List_item!B:B))</f>
        <v/>
      </c>
      <c r="I25" s="3">
        <v>0</v>
      </c>
      <c r="J25" s="26">
        <f t="shared" si="5"/>
        <v>0</v>
      </c>
      <c r="K25" s="3">
        <f t="shared" si="0"/>
        <v>0</v>
      </c>
      <c r="L25" s="27">
        <f t="shared" si="1"/>
        <v>0</v>
      </c>
      <c r="M25" s="3">
        <f t="shared" si="2"/>
        <v>0</v>
      </c>
      <c r="N25" s="3">
        <f t="shared" si="3"/>
        <v>0</v>
      </c>
      <c r="O25" s="3">
        <f t="shared" si="4"/>
        <v>0</v>
      </c>
    </row>
    <row r="26" spans="1:16" hidden="1" x14ac:dyDescent="0.35">
      <c r="A26" t="s">
        <v>3887</v>
      </c>
      <c r="B26" s="2">
        <f>_xlfn.IFNA(_xlfn.XLOOKUP(A26,'Price list'!D:D,'Price list'!E:E),0)</f>
        <v>36500</v>
      </c>
      <c r="C26" t="s">
        <v>9</v>
      </c>
      <c r="E26" s="3"/>
      <c r="G26" s="3"/>
      <c r="H26" s="3" t="str">
        <f>IF(G26=0,"",_xlfn.XLOOKUP(G26,List_item!A:A,List_item!B:B))</f>
        <v/>
      </c>
      <c r="I26" s="3">
        <v>0</v>
      </c>
      <c r="J26" s="26">
        <f t="shared" si="5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4"/>
        <v>0</v>
      </c>
    </row>
    <row r="27" spans="1:16" hidden="1" x14ac:dyDescent="0.35">
      <c r="A27" t="s">
        <v>3888</v>
      </c>
      <c r="B27" s="2">
        <f>_xlfn.IFNA(_xlfn.XLOOKUP(A27,'Price list'!D:D,'Price list'!E:E),0)</f>
        <v>36500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5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4"/>
        <v>0</v>
      </c>
    </row>
    <row r="28" spans="1:16" hidden="1" x14ac:dyDescent="0.35">
      <c r="A28" t="s">
        <v>3889</v>
      </c>
      <c r="B28" s="2">
        <f>_xlfn.IFNA(_xlfn.XLOOKUP(A28,'Price list'!D:D,'Price list'!E:E),0)</f>
        <v>36500</v>
      </c>
      <c r="C28" t="s">
        <v>9</v>
      </c>
      <c r="H28" s="2" t="str">
        <f>IF(G28=0,"",_xlfn.XLOOKUP(G28,List_item!A:A,List_item!B:B))</f>
        <v/>
      </c>
      <c r="I28" s="3">
        <v>0</v>
      </c>
      <c r="J28" s="26">
        <f t="shared" si="5"/>
        <v>0</v>
      </c>
      <c r="K28" s="3">
        <f>+B28*(F28+I28)</f>
        <v>0</v>
      </c>
      <c r="L28" s="27">
        <f t="shared" si="1"/>
        <v>0</v>
      </c>
      <c r="M28" s="3">
        <f t="shared" si="2"/>
        <v>0</v>
      </c>
      <c r="N28" s="3">
        <f>IF(L28=0,0,B28-L28)</f>
        <v>0</v>
      </c>
      <c r="O28" s="3">
        <f t="shared" si="4"/>
        <v>0</v>
      </c>
    </row>
    <row r="29" spans="1:16" hidden="1" x14ac:dyDescent="0.35">
      <c r="A29" t="s">
        <v>3890</v>
      </c>
      <c r="B29" s="2">
        <f>_xlfn.IFNA(_xlfn.XLOOKUP(A29,'Price list'!D:D,'Price list'!E:E),0)</f>
        <v>0</v>
      </c>
      <c r="C29" t="s">
        <v>9</v>
      </c>
      <c r="H29" s="2" t="str">
        <f>IF(G29=0,"",_xlfn.XLOOKUP(G29,List_item!A:A,List_item!B:B))</f>
        <v/>
      </c>
      <c r="I29" s="3">
        <v>0</v>
      </c>
      <c r="J29" s="26">
        <f t="shared" si="5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4"/>
        <v>0</v>
      </c>
    </row>
    <row r="30" spans="1:16" hidden="1" x14ac:dyDescent="0.35">
      <c r="A30" t="s">
        <v>8</v>
      </c>
      <c r="B30" s="2">
        <f>_xlfn.IFNA(_xlfn.XLOOKUP(A30,'Price list'!D:D,'Price list'!E:E),0)</f>
        <v>50000</v>
      </c>
      <c r="C30" t="s">
        <v>9</v>
      </c>
      <c r="H30" s="2" t="str">
        <f>IF(G30=0,"",_xlfn.XLOOKUP(G30,List_item!A:A,List_item!B:B))</f>
        <v/>
      </c>
      <c r="I30" s="3">
        <v>0</v>
      </c>
      <c r="J30" s="26">
        <f t="shared" si="5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4"/>
        <v>0</v>
      </c>
    </row>
    <row r="31" spans="1:16" hidden="1" x14ac:dyDescent="0.35">
      <c r="A31" t="s">
        <v>10</v>
      </c>
      <c r="B31" s="2">
        <f>_xlfn.IFNA(_xlfn.XLOOKUP(A31,'Price list'!D:D,'Price list'!E:E),0)</f>
        <v>48000</v>
      </c>
      <c r="C31" t="s">
        <v>9</v>
      </c>
      <c r="H31" s="2" t="str">
        <f>IF(G31=0,"",_xlfn.XLOOKUP(G31,List_item!A:A,List_item!B:B))</f>
        <v/>
      </c>
      <c r="I31" s="3">
        <v>0</v>
      </c>
      <c r="J31" s="26">
        <f t="shared" si="5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4"/>
        <v>0</v>
      </c>
    </row>
    <row r="32" spans="1:16" hidden="1" x14ac:dyDescent="0.35">
      <c r="A32" t="s">
        <v>12</v>
      </c>
      <c r="B32" s="2">
        <f>_xlfn.IFNA(_xlfn.XLOOKUP(A32,'Price list'!D:D,'Price list'!E:E),0)</f>
        <v>49000</v>
      </c>
      <c r="C32" t="s">
        <v>9</v>
      </c>
      <c r="H32" s="2" t="str">
        <f>IF(G32=0,"",_xlfn.XLOOKUP(G32,List_item!A:A,List_item!B:B))</f>
        <v/>
      </c>
      <c r="I32" s="3">
        <v>0</v>
      </c>
      <c r="J32" s="26">
        <f t="shared" si="5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4"/>
        <v>0</v>
      </c>
    </row>
    <row r="33" spans="1:16" hidden="1" x14ac:dyDescent="0.35">
      <c r="A33" t="s">
        <v>2159</v>
      </c>
      <c r="B33" s="2">
        <f>_xlfn.IFNA(_xlfn.XLOOKUP(A33,'Price list'!D:D,'Price list'!E:E),0)</f>
        <v>5500</v>
      </c>
      <c r="C33" t="s">
        <v>9</v>
      </c>
      <c r="H33" s="2" t="str">
        <f>IF(G33=0,"",_xlfn.XLOOKUP(G33,List_item!A:A,List_item!B:B))</f>
        <v/>
      </c>
      <c r="I33" s="3">
        <v>0</v>
      </c>
      <c r="J33" s="26">
        <f t="shared" si="5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4"/>
        <v>0</v>
      </c>
    </row>
    <row r="34" spans="1:16" hidden="1" x14ac:dyDescent="0.35">
      <c r="A34" t="s">
        <v>3891</v>
      </c>
      <c r="B34" s="2">
        <f>_xlfn.IFNA(_xlfn.XLOOKUP(A34,'Price list'!D:D,'Price list'!E:E),0)</f>
        <v>20000</v>
      </c>
      <c r="C34" t="s">
        <v>9</v>
      </c>
      <c r="H34" s="2" t="str">
        <f>IF(G34=0,"",_xlfn.XLOOKUP(G34,List_item!A:A,List_item!B:B))</f>
        <v/>
      </c>
      <c r="I34" s="3">
        <v>0</v>
      </c>
      <c r="J34" s="26">
        <f t="shared" si="5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4"/>
        <v>0</v>
      </c>
    </row>
    <row r="35" spans="1:16" hidden="1" x14ac:dyDescent="0.35">
      <c r="A35" t="s">
        <v>3892</v>
      </c>
      <c r="B35" s="2">
        <f>_xlfn.IFNA(_xlfn.XLOOKUP(A35,'Price list'!D:D,'Price list'!E:E),0)</f>
        <v>22000</v>
      </c>
      <c r="C35" t="s">
        <v>9</v>
      </c>
      <c r="H35" s="2" t="str">
        <f>IF(G35=0,"",_xlfn.XLOOKUP(G35,List_item!A:A,List_item!B:B))</f>
        <v/>
      </c>
      <c r="I35" s="3">
        <v>0</v>
      </c>
      <c r="J35" s="26">
        <f t="shared" si="5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4"/>
        <v>0</v>
      </c>
    </row>
    <row r="36" spans="1:16" hidden="1" x14ac:dyDescent="0.35">
      <c r="A36" t="s">
        <v>3852</v>
      </c>
      <c r="B36" s="2">
        <f>_xlfn.IFNA(_xlfn.XLOOKUP(A36,'Price list'!D:D,'Price list'!E:E),0)</f>
        <v>18000</v>
      </c>
      <c r="C36" t="s">
        <v>9</v>
      </c>
      <c r="H36" s="2" t="str">
        <f>IF(G36=0,"",_xlfn.XLOOKUP(G36,List_item!A:A,List_item!B:B))</f>
        <v/>
      </c>
      <c r="I36" s="3">
        <v>0</v>
      </c>
      <c r="J36" s="26">
        <f t="shared" si="5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4"/>
        <v>0</v>
      </c>
    </row>
    <row r="37" spans="1:16" hidden="1" x14ac:dyDescent="0.35">
      <c r="A37" t="s">
        <v>17</v>
      </c>
      <c r="B37" s="2">
        <f>_xlfn.IFNA(_xlfn.XLOOKUP(A37,'Price list'!D:D,'Price list'!E:E),0)</f>
        <v>3500</v>
      </c>
      <c r="C37" t="s">
        <v>9</v>
      </c>
      <c r="H37" s="2" t="str">
        <f>IF(G37=0,"",_xlfn.XLOOKUP(G37,List_item!A:A,List_item!B:B))</f>
        <v/>
      </c>
      <c r="I37" s="3">
        <v>0</v>
      </c>
      <c r="J37" s="26">
        <f t="shared" si="5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4"/>
        <v>0</v>
      </c>
    </row>
    <row r="38" spans="1:16" hidden="1" x14ac:dyDescent="0.35">
      <c r="A38" t="s">
        <v>2199</v>
      </c>
      <c r="B38" s="2">
        <f>_xlfn.IFNA(_xlfn.XLOOKUP(A38,'Price list'!D:D,'Price list'!E:E),0)</f>
        <v>38000</v>
      </c>
      <c r="C38" t="s">
        <v>9</v>
      </c>
      <c r="H38" s="2" t="str">
        <f>IF(G38=0,"",_xlfn.XLOOKUP(G38,List_item!A:A,List_item!B:B))</f>
        <v/>
      </c>
      <c r="I38" s="3">
        <v>0</v>
      </c>
      <c r="J38" s="26">
        <f t="shared" si="5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4"/>
        <v>0</v>
      </c>
    </row>
    <row r="39" spans="1:16" x14ac:dyDescent="0.35">
      <c r="A39" s="103" t="s">
        <v>2161</v>
      </c>
      <c r="B39" s="2">
        <f>_xlfn.IFNA(_xlfn.XLOOKUP(A39,'Price list'!D:D,'Price list'!E:E),0)</f>
        <v>18000</v>
      </c>
      <c r="C39" s="103" t="s">
        <v>9</v>
      </c>
      <c r="D39" s="103"/>
      <c r="E39" s="104"/>
      <c r="F39" s="104"/>
      <c r="G39" s="104" t="s">
        <v>245</v>
      </c>
      <c r="H39" s="104" t="str">
        <f>IF(G39=0,"",_xlfn.XLOOKUP(G39,List_item!A:A,List_item!B:B))</f>
        <v>Boneless BL Fresh Lemak</v>
      </c>
      <c r="I39" s="104">
        <v>31.4</v>
      </c>
      <c r="J39" s="106">
        <f t="shared" si="5"/>
        <v>2.7933209383423328E-3</v>
      </c>
      <c r="K39" s="104">
        <f t="shared" si="0"/>
        <v>565200</v>
      </c>
      <c r="L39" s="107">
        <f t="shared" si="1"/>
        <v>17874.895287629945</v>
      </c>
      <c r="M39" s="104">
        <f t="shared" si="2"/>
        <v>561271.71203158027</v>
      </c>
      <c r="N39" s="104">
        <f t="shared" si="3"/>
        <v>125.10471237005549</v>
      </c>
      <c r="O39" s="104">
        <f t="shared" si="4"/>
        <v>3928.2879684197251</v>
      </c>
      <c r="P39" s="104"/>
    </row>
    <row r="40" spans="1:16" x14ac:dyDescent="0.35">
      <c r="A40" s="103" t="s">
        <v>2162</v>
      </c>
      <c r="B40" s="2">
        <f>_xlfn.IFNA(_xlfn.XLOOKUP(A40,'Price list'!D:D,'Price list'!E:E),0)</f>
        <v>8000</v>
      </c>
      <c r="C40" s="103"/>
      <c r="D40" s="103"/>
      <c r="E40" s="104"/>
      <c r="F40" s="104"/>
      <c r="G40" s="104" t="s">
        <v>20</v>
      </c>
      <c r="H40" s="104" t="str">
        <f>IF(G40=0,"",_xlfn.XLOOKUP(G40,List_item!A:A,List_item!B:B))</f>
        <v>Boneless BL Fresh Kepala</v>
      </c>
      <c r="I40" s="104">
        <v>518.79999999999995</v>
      </c>
      <c r="J40" s="106">
        <f t="shared" si="5"/>
        <v>4.6152066968535105E-2</v>
      </c>
      <c r="K40" s="104">
        <f t="shared" si="0"/>
        <v>4150399.9999999995</v>
      </c>
      <c r="L40" s="107">
        <f t="shared" si="1"/>
        <v>7944.3979056133076</v>
      </c>
      <c r="M40" s="104">
        <f t="shared" si="2"/>
        <v>4121553.6334321834</v>
      </c>
      <c r="N40" s="104">
        <f t="shared" si="3"/>
        <v>55.602094386692443</v>
      </c>
      <c r="O40" s="104">
        <f t="shared" si="4"/>
        <v>28846.36656781612</v>
      </c>
      <c r="P40" s="104"/>
    </row>
    <row r="41" spans="1:16" x14ac:dyDescent="0.35">
      <c r="A41" s="103" t="s">
        <v>0</v>
      </c>
      <c r="B41" s="2">
        <f>_xlfn.IFNA(_xlfn.XLOOKUP(A41,'Price list'!D:D,'Price list'!E:E),0)</f>
        <v>10000</v>
      </c>
      <c r="C41" s="103" t="s">
        <v>9</v>
      </c>
      <c r="D41" s="103"/>
      <c r="E41" s="104"/>
      <c r="F41" s="104"/>
      <c r="G41" s="104" t="s">
        <v>21</v>
      </c>
      <c r="H41" s="104" t="str">
        <f>IF(G41=0,"",_xlfn.XLOOKUP(G41,List_item!A:A,List_item!B:B))</f>
        <v>Boneless BL Fresh Ceker</v>
      </c>
      <c r="I41" s="104">
        <v>329.3</v>
      </c>
      <c r="J41" s="106">
        <f t="shared" si="5"/>
        <v>2.9294286146373576E-2</v>
      </c>
      <c r="K41" s="104">
        <f t="shared" si="0"/>
        <v>3293000</v>
      </c>
      <c r="L41" s="107">
        <f t="shared" si="1"/>
        <v>9930.4973820166342</v>
      </c>
      <c r="M41" s="104">
        <f t="shared" si="2"/>
        <v>3270112.7878980776</v>
      </c>
      <c r="N41" s="104">
        <f t="shared" si="3"/>
        <v>69.502617983365781</v>
      </c>
      <c r="O41" s="104">
        <f t="shared" si="4"/>
        <v>22887.21210192237</v>
      </c>
      <c r="P41" s="104"/>
    </row>
    <row r="42" spans="1:16" hidden="1" x14ac:dyDescent="0.35">
      <c r="A42" t="s">
        <v>24</v>
      </c>
      <c r="B42" s="2">
        <f>_xlfn.IFNA(_xlfn.XLOOKUP(A42,'Price list'!D:D,'Price list'!E:E),0)</f>
        <v>4000</v>
      </c>
      <c r="C42" t="s">
        <v>9</v>
      </c>
      <c r="H42" s="2" t="str">
        <f>IF(G42=0,"",_xlfn.XLOOKUP(G42,List_item!A:A,List_item!B:B))</f>
        <v/>
      </c>
      <c r="I42" s="3">
        <v>0</v>
      </c>
      <c r="J42" s="26">
        <f t="shared" si="5"/>
        <v>0</v>
      </c>
      <c r="K42" s="3">
        <f t="shared" si="0"/>
        <v>0</v>
      </c>
      <c r="L42" s="27">
        <f t="shared" si="1"/>
        <v>0</v>
      </c>
      <c r="M42" s="3">
        <f t="shared" si="2"/>
        <v>0</v>
      </c>
      <c r="N42" s="3">
        <f t="shared" si="3"/>
        <v>0</v>
      </c>
      <c r="O42" s="3">
        <f t="shared" si="4"/>
        <v>0</v>
      </c>
    </row>
    <row r="43" spans="1:16" x14ac:dyDescent="0.35">
      <c r="A43" s="103" t="s">
        <v>3893</v>
      </c>
      <c r="B43" s="2">
        <f>_xlfn.IFNA(_xlfn.XLOOKUP(A43,'Price list'!D:D,'Price list'!E:E),0)</f>
        <v>5000</v>
      </c>
      <c r="C43" s="103" t="s">
        <v>9</v>
      </c>
      <c r="D43" s="103"/>
      <c r="E43" s="104"/>
      <c r="F43" s="104"/>
      <c r="G43" s="104" t="s">
        <v>25</v>
      </c>
      <c r="H43" s="104" t="str">
        <f>IF(G43=0,"",_xlfn.XLOOKUP(G43,List_item!A:A,List_item!B:B))</f>
        <v>Boneless BL Fresh Usus Kotor</v>
      </c>
      <c r="I43" s="104">
        <v>495</v>
      </c>
      <c r="J43" s="106">
        <f t="shared" si="5"/>
        <v>4.4034836448390284E-2</v>
      </c>
      <c r="K43" s="104">
        <f t="shared" si="0"/>
        <v>2475000</v>
      </c>
      <c r="L43" s="107">
        <f t="shared" si="1"/>
        <v>4965.2486910083171</v>
      </c>
      <c r="M43" s="104">
        <f t="shared" si="2"/>
        <v>2457798.102049117</v>
      </c>
      <c r="N43" s="104">
        <f t="shared" si="3"/>
        <v>34.75130899168289</v>
      </c>
      <c r="O43" s="104">
        <f t="shared" si="4"/>
        <v>17201.897950883023</v>
      </c>
      <c r="P43" s="104"/>
    </row>
    <row r="44" spans="1:16" hidden="1" x14ac:dyDescent="0.35">
      <c r="A44" t="s">
        <v>2167</v>
      </c>
      <c r="B44" s="2">
        <f>_xlfn.IFNA(_xlfn.XLOOKUP(A44,'Price list'!D:D,'Price list'!E:E),0)</f>
        <v>16000</v>
      </c>
      <c r="C44" t="s">
        <v>9</v>
      </c>
      <c r="H44" s="2" t="str">
        <f>IF(G44=0,"",_xlfn.XLOOKUP(G44,List_item!A:A,List_item!B:B))</f>
        <v/>
      </c>
      <c r="I44" s="3">
        <v>0</v>
      </c>
      <c r="J44" s="26">
        <f t="shared" si="5"/>
        <v>0</v>
      </c>
      <c r="K44" s="3">
        <f t="shared" si="0"/>
        <v>0</v>
      </c>
      <c r="L44" s="27">
        <f t="shared" si="1"/>
        <v>0</v>
      </c>
      <c r="M44" s="3">
        <f t="shared" si="2"/>
        <v>0</v>
      </c>
      <c r="N44" s="3">
        <f t="shared" si="3"/>
        <v>0</v>
      </c>
      <c r="O44" s="3">
        <f t="shared" si="4"/>
        <v>0</v>
      </c>
    </row>
    <row r="45" spans="1:16" hidden="1" x14ac:dyDescent="0.35">
      <c r="A45" t="s">
        <v>2168</v>
      </c>
      <c r="B45" s="2">
        <f>_xlfn.IFNA(_xlfn.XLOOKUP(A45,'Price list'!D:D,'Price list'!E:E),0)</f>
        <v>10000</v>
      </c>
      <c r="C45" t="s">
        <v>9</v>
      </c>
      <c r="H45" s="2" t="str">
        <f>IF(G45=0,"",_xlfn.XLOOKUP(G45,List_item!A:A,List_item!B:B))</f>
        <v/>
      </c>
      <c r="I45" s="3">
        <v>0</v>
      </c>
      <c r="J45" s="26">
        <f t="shared" si="5"/>
        <v>0</v>
      </c>
      <c r="K45" s="3">
        <f t="shared" si="0"/>
        <v>0</v>
      </c>
      <c r="L45" s="27">
        <f t="shared" si="1"/>
        <v>0</v>
      </c>
      <c r="M45" s="3">
        <f t="shared" si="2"/>
        <v>0</v>
      </c>
      <c r="N45" s="3">
        <f t="shared" si="3"/>
        <v>0</v>
      </c>
      <c r="O45" s="3">
        <f t="shared" si="4"/>
        <v>0</v>
      </c>
    </row>
    <row r="46" spans="1:16" hidden="1" x14ac:dyDescent="0.35">
      <c r="A46" t="s">
        <v>2169</v>
      </c>
      <c r="B46" s="2">
        <f>_xlfn.IFNA(_xlfn.XLOOKUP(A46,'Price list'!D:D,'Price list'!E:E),0)</f>
        <v>5000</v>
      </c>
      <c r="C46" t="s">
        <v>9</v>
      </c>
      <c r="H46" s="2" t="str">
        <f>IF(G46=0,"",_xlfn.XLOOKUP(G46,List_item!A:A,List_item!B:B))</f>
        <v/>
      </c>
      <c r="I46" s="3">
        <v>0</v>
      </c>
      <c r="J46" s="26">
        <f t="shared" si="5"/>
        <v>0</v>
      </c>
      <c r="K46" s="3">
        <f t="shared" si="0"/>
        <v>0</v>
      </c>
      <c r="L46" s="27">
        <f t="shared" si="1"/>
        <v>0</v>
      </c>
      <c r="M46" s="3">
        <f t="shared" si="2"/>
        <v>0</v>
      </c>
      <c r="N46" s="3">
        <f t="shared" si="3"/>
        <v>0</v>
      </c>
      <c r="O46" s="3">
        <f t="shared" si="4"/>
        <v>0</v>
      </c>
    </row>
    <row r="47" spans="1:16" x14ac:dyDescent="0.35">
      <c r="A47" s="103" t="s">
        <v>3894</v>
      </c>
      <c r="B47" s="2">
        <f>_xlfn.IFNA(_xlfn.XLOOKUP(A47,'Price list'!D:D,'Price list'!E:E),0)</f>
        <v>5000</v>
      </c>
      <c r="C47" s="103" t="s">
        <v>9</v>
      </c>
      <c r="D47" s="103"/>
      <c r="E47" s="104"/>
      <c r="F47" s="104"/>
      <c r="G47" s="104" t="s">
        <v>23</v>
      </c>
      <c r="H47" s="104" t="str">
        <f>IF(G47=0,"",_xlfn.XLOOKUP(G47,List_item!A:A,List_item!B:B))</f>
        <v>Boneless BL Fresh HJA</v>
      </c>
      <c r="I47" s="104">
        <v>590.69999999999993</v>
      </c>
      <c r="J47" s="106">
        <f t="shared" si="5"/>
        <v>5.2548238161745732E-2</v>
      </c>
      <c r="K47" s="104">
        <f t="shared" si="0"/>
        <v>2953499.9999999995</v>
      </c>
      <c r="L47" s="107">
        <f t="shared" si="1"/>
        <v>4965.2486910083162</v>
      </c>
      <c r="M47" s="104">
        <f t="shared" si="2"/>
        <v>2932972.4017786118</v>
      </c>
      <c r="N47" s="104">
        <f t="shared" si="3"/>
        <v>34.7513089916838</v>
      </c>
      <c r="O47" s="104">
        <f t="shared" si="4"/>
        <v>20527.598221387714</v>
      </c>
      <c r="P47" s="104"/>
    </row>
    <row r="48" spans="1:16" hidden="1" x14ac:dyDescent="0.35">
      <c r="A48" t="s">
        <v>2170</v>
      </c>
      <c r="B48" s="2">
        <f>_xlfn.IFNA(_xlfn.XLOOKUP(A48,'Price list'!D:D,'Price list'!E:E),0)</f>
        <v>45000</v>
      </c>
      <c r="C48" t="s">
        <v>9</v>
      </c>
      <c r="H48" s="2" t="str">
        <f>IF(G48=0,"",_xlfn.XLOOKUP(G48,List_item!A:A,List_item!B:B))</f>
        <v/>
      </c>
      <c r="I48" s="3">
        <v>0</v>
      </c>
      <c r="J48" s="26">
        <f t="shared" si="5"/>
        <v>0</v>
      </c>
      <c r="K48" s="3">
        <f t="shared" si="0"/>
        <v>0</v>
      </c>
      <c r="L48" s="27">
        <f t="shared" si="1"/>
        <v>0</v>
      </c>
      <c r="M48" s="3">
        <f t="shared" si="2"/>
        <v>0</v>
      </c>
      <c r="N48" s="3">
        <f t="shared" si="3"/>
        <v>0</v>
      </c>
      <c r="O48" s="3">
        <f t="shared" si="4"/>
        <v>0</v>
      </c>
    </row>
    <row r="49" spans="1:18" hidden="1" x14ac:dyDescent="0.35">
      <c r="A49" t="s">
        <v>2171</v>
      </c>
      <c r="B49" s="2">
        <f>_xlfn.IFNA(_xlfn.XLOOKUP(A49,'Price list'!D:D,'Price list'!E:E),0)</f>
        <v>44000</v>
      </c>
      <c r="C49" t="s">
        <v>9</v>
      </c>
      <c r="H49" s="2" t="str">
        <f>IF(G49=0,"",_xlfn.XLOOKUP(G49,List_item!A:A,List_item!B:B))</f>
        <v/>
      </c>
      <c r="I49" s="3">
        <v>0</v>
      </c>
      <c r="J49" s="26">
        <f t="shared" si="5"/>
        <v>0</v>
      </c>
      <c r="K49" s="3">
        <f t="shared" si="0"/>
        <v>0</v>
      </c>
      <c r="L49" s="27">
        <f t="shared" si="1"/>
        <v>0</v>
      </c>
      <c r="M49" s="3">
        <f t="shared" si="2"/>
        <v>0</v>
      </c>
      <c r="N49" s="3">
        <f t="shared" si="3"/>
        <v>0</v>
      </c>
      <c r="O49" s="3">
        <f t="shared" si="4"/>
        <v>0</v>
      </c>
    </row>
    <row r="50" spans="1:18" hidden="1" x14ac:dyDescent="0.35">
      <c r="A50" t="s">
        <v>3895</v>
      </c>
      <c r="B50" s="2">
        <f>_xlfn.IFNA(_xlfn.XLOOKUP(A50,'Price list'!D:D,'Price list'!E:E),0)</f>
        <v>0</v>
      </c>
      <c r="C50" t="s">
        <v>9</v>
      </c>
      <c r="H50" s="2" t="str">
        <f>IF(G50=0,"",_xlfn.XLOOKUP(G50,List_item!A:A,List_item!B:B))</f>
        <v/>
      </c>
      <c r="I50" s="3">
        <v>0</v>
      </c>
      <c r="J50" s="26">
        <f t="shared" si="5"/>
        <v>0</v>
      </c>
      <c r="K50" s="3">
        <f t="shared" si="0"/>
        <v>0</v>
      </c>
      <c r="L50" s="27">
        <f t="shared" si="1"/>
        <v>0</v>
      </c>
      <c r="M50" s="3">
        <f t="shared" si="2"/>
        <v>0</v>
      </c>
      <c r="N50" s="3">
        <f t="shared" si="3"/>
        <v>0</v>
      </c>
      <c r="O50" s="3">
        <f t="shared" si="4"/>
        <v>0</v>
      </c>
    </row>
    <row r="51" spans="1:18" hidden="1" x14ac:dyDescent="0.35">
      <c r="A51" t="s">
        <v>3896</v>
      </c>
      <c r="B51" s="2">
        <f>_xlfn.IFNA(_xlfn.XLOOKUP(A51,'Price list'!D:D,'Price list'!E:E),0)</f>
        <v>35000</v>
      </c>
      <c r="C51" t="s">
        <v>9</v>
      </c>
      <c r="H51" s="2" t="str">
        <f>IF(G51=0,"",_xlfn.XLOOKUP(G51,List_item!A:A,List_item!B:B))</f>
        <v/>
      </c>
      <c r="I51" s="3">
        <v>0</v>
      </c>
      <c r="J51" s="26">
        <f t="shared" si="5"/>
        <v>0</v>
      </c>
      <c r="K51" s="3">
        <f t="shared" si="0"/>
        <v>0</v>
      </c>
      <c r="L51" s="27">
        <f t="shared" si="1"/>
        <v>0</v>
      </c>
      <c r="M51" s="3">
        <f t="shared" si="2"/>
        <v>0</v>
      </c>
      <c r="N51" s="3">
        <f t="shared" si="3"/>
        <v>0</v>
      </c>
      <c r="O51" s="3">
        <f t="shared" si="4"/>
        <v>0</v>
      </c>
    </row>
    <row r="52" spans="1:18" hidden="1" x14ac:dyDescent="0.35">
      <c r="A52" t="s">
        <v>3897</v>
      </c>
      <c r="B52" s="2">
        <f>_xlfn.IFNA(_xlfn.XLOOKUP(A52,'Price list'!D:D,'Price list'!E:E),0)</f>
        <v>35000</v>
      </c>
      <c r="C52" t="s">
        <v>9</v>
      </c>
      <c r="H52" s="2" t="str">
        <f>IF(G52=0,"",_xlfn.XLOOKUP(G52,List_item!A:A,List_item!B:B))</f>
        <v/>
      </c>
      <c r="I52" s="3">
        <v>0</v>
      </c>
      <c r="J52" s="26">
        <f t="shared" si="5"/>
        <v>0</v>
      </c>
      <c r="K52" s="3">
        <f t="shared" si="0"/>
        <v>0</v>
      </c>
      <c r="L52" s="27">
        <f t="shared" si="1"/>
        <v>0</v>
      </c>
      <c r="M52" s="3">
        <f t="shared" si="2"/>
        <v>0</v>
      </c>
      <c r="N52" s="3">
        <f t="shared" si="3"/>
        <v>0</v>
      </c>
      <c r="O52" s="3">
        <f t="shared" si="4"/>
        <v>0</v>
      </c>
    </row>
    <row r="53" spans="1:18" x14ac:dyDescent="0.35">
      <c r="A53" t="s">
        <v>3898</v>
      </c>
      <c r="B53" s="2">
        <f>_xlfn.IFNA(_xlfn.XLOOKUP(A53,'Price list'!D:D,'Price list'!E:E),0)</f>
        <v>35000</v>
      </c>
      <c r="C53" t="s">
        <v>9</v>
      </c>
      <c r="G53" s="2" t="s">
        <v>636</v>
      </c>
      <c r="H53" s="2" t="str">
        <f>IF(G53=0,"",_xlfn.XLOOKUP(G53,List_item!A:A,List_item!B:B))</f>
        <v>Karkas Uk 0.6 Karkas Uk 0.6 Frozen Grade A</v>
      </c>
      <c r="I53" s="3">
        <v>8.5</v>
      </c>
      <c r="J53" s="26">
        <f t="shared" si="5"/>
        <v>7.5615375719458055E-4</v>
      </c>
      <c r="K53" s="3">
        <f t="shared" si="0"/>
        <v>297500</v>
      </c>
      <c r="L53" s="27">
        <f t="shared" si="1"/>
        <v>34756.74083705822</v>
      </c>
      <c r="M53" s="3">
        <f t="shared" si="2"/>
        <v>295432.29711499484</v>
      </c>
      <c r="N53" s="3">
        <f t="shared" si="3"/>
        <v>243.25916294178023</v>
      </c>
      <c r="O53" s="3">
        <f t="shared" si="4"/>
        <v>2067.7028850051574</v>
      </c>
    </row>
    <row r="54" spans="1:18" x14ac:dyDescent="0.35">
      <c r="A54" t="s">
        <v>3899</v>
      </c>
      <c r="B54" s="2">
        <f>_xlfn.IFNA(_xlfn.XLOOKUP(A54,'Price list'!D:D,'Price list'!E:E),0)</f>
        <v>35000</v>
      </c>
      <c r="C54" t="s">
        <v>9</v>
      </c>
      <c r="G54" s="2" t="s">
        <v>701</v>
      </c>
      <c r="H54" s="2" t="str">
        <f>IF(G54=0,"",_xlfn.XLOOKUP(G54,List_item!A:A,List_item!B:B))</f>
        <v>Karkas Uk 0.7 Karkas Uk 0.7 Frozen Grade A</v>
      </c>
      <c r="I54" s="3">
        <v>37.6</v>
      </c>
      <c r="J54" s="26">
        <f t="shared" si="5"/>
        <v>3.3448683847666152E-3</v>
      </c>
      <c r="K54" s="3">
        <f t="shared" si="0"/>
        <v>1316000</v>
      </c>
      <c r="L54" s="27">
        <f t="shared" si="1"/>
        <v>34756.74083705822</v>
      </c>
      <c r="M54" s="3">
        <f t="shared" si="2"/>
        <v>1306853.455473389</v>
      </c>
      <c r="N54" s="3">
        <f t="shared" si="3"/>
        <v>243.25916294178023</v>
      </c>
      <c r="O54" s="3">
        <f t="shared" si="4"/>
        <v>9146.5445266109891</v>
      </c>
    </row>
    <row r="55" spans="1:18" x14ac:dyDescent="0.35">
      <c r="A55" t="s">
        <v>3900</v>
      </c>
      <c r="B55" s="2">
        <f>_xlfn.IFNA(_xlfn.XLOOKUP(A55,'Price list'!D:D,'Price list'!E:E),0)</f>
        <v>35000</v>
      </c>
      <c r="C55" t="s">
        <v>9</v>
      </c>
      <c r="G55" s="2" t="s">
        <v>766</v>
      </c>
      <c r="H55" s="2" t="str">
        <f>IF(G55=0,"",_xlfn.XLOOKUP(G55,List_item!A:A,List_item!B:B))</f>
        <v>Karkas Uk 0.8 Karkas Uk 0.8 Frozen Grade A</v>
      </c>
      <c r="I55" s="3">
        <v>63</v>
      </c>
      <c r="J55" s="26">
        <f t="shared" si="5"/>
        <v>5.6044337297951269E-3</v>
      </c>
      <c r="K55" s="3">
        <f t="shared" si="0"/>
        <v>2205000</v>
      </c>
      <c r="L55" s="27">
        <f t="shared" si="1"/>
        <v>34756.74083705822</v>
      </c>
      <c r="M55" s="3">
        <f t="shared" si="2"/>
        <v>2189674.672734668</v>
      </c>
      <c r="N55" s="3">
        <f t="shared" si="3"/>
        <v>243.25916294178023</v>
      </c>
      <c r="O55" s="3">
        <f t="shared" si="4"/>
        <v>15325.327265331987</v>
      </c>
    </row>
    <row r="56" spans="1:18" x14ac:dyDescent="0.35">
      <c r="A56" t="s">
        <v>3901</v>
      </c>
      <c r="B56" s="2">
        <f>_xlfn.IFNA(_xlfn.XLOOKUP(A56,'Price list'!D:D,'Price list'!E:E),0)</f>
        <v>35000</v>
      </c>
      <c r="C56" t="s">
        <v>9</v>
      </c>
      <c r="G56" s="2" t="s">
        <v>831</v>
      </c>
      <c r="H56" s="2" t="str">
        <f>IF(G56=0,"",_xlfn.XLOOKUP(G56,List_item!A:A,List_item!B:B))</f>
        <v>Karkas Uk 0.9 Karkas Uk 0.9 Frozen Grade A</v>
      </c>
      <c r="I56" s="3">
        <v>147.9</v>
      </c>
      <c r="J56" s="26">
        <f t="shared" si="5"/>
        <v>1.3157075375185703E-2</v>
      </c>
      <c r="K56" s="3">
        <f t="shared" si="0"/>
        <v>5176500</v>
      </c>
      <c r="L56" s="27">
        <f t="shared" si="1"/>
        <v>34756.74083705822</v>
      </c>
      <c r="M56" s="3">
        <f t="shared" si="2"/>
        <v>5140521.9698009109</v>
      </c>
      <c r="N56" s="3">
        <f t="shared" si="3"/>
        <v>243.25916294178023</v>
      </c>
      <c r="O56" s="3">
        <f t="shared" si="4"/>
        <v>35978.030199089088</v>
      </c>
    </row>
    <row r="57" spans="1:18" x14ac:dyDescent="0.35">
      <c r="A57" t="s">
        <v>3902</v>
      </c>
      <c r="B57" s="2">
        <f>_xlfn.IFNA(_xlfn.XLOOKUP(A57,'Price list'!D:D,'Price list'!E:E),0)</f>
        <v>35000</v>
      </c>
      <c r="C57" t="s">
        <v>9</v>
      </c>
      <c r="E57" s="3"/>
      <c r="F57" s="3"/>
      <c r="G57" s="3" t="s">
        <v>896</v>
      </c>
      <c r="H57" s="3" t="str">
        <f>IF(G57=0,"",_xlfn.XLOOKUP(G57,List_item!A:A,List_item!B:B))</f>
        <v>Karkas Uk 1.0 Karkas Uk 1.0 Frozen Grade A</v>
      </c>
      <c r="I57" s="3">
        <v>207.3</v>
      </c>
      <c r="J57" s="26">
        <f t="shared" si="5"/>
        <v>1.8441255748992538E-2</v>
      </c>
      <c r="K57" s="3">
        <f t="shared" si="0"/>
        <v>7255500</v>
      </c>
      <c r="L57" s="27">
        <f t="shared" si="1"/>
        <v>34756.74083705822</v>
      </c>
      <c r="M57" s="3">
        <f t="shared" si="2"/>
        <v>7205072.3755221693</v>
      </c>
      <c r="N57" s="3">
        <f t="shared" si="3"/>
        <v>243.25916294178023</v>
      </c>
      <c r="O57" s="3">
        <f t="shared" si="4"/>
        <v>50427.624477830715</v>
      </c>
      <c r="P57" s="3"/>
    </row>
    <row r="58" spans="1:18" x14ac:dyDescent="0.35">
      <c r="A58" t="s">
        <v>3903</v>
      </c>
      <c r="B58" s="2">
        <f>_xlfn.IFNA(_xlfn.XLOOKUP(A58,'Price list'!D:D,'Price list'!E:E),0)</f>
        <v>35000</v>
      </c>
      <c r="C58" t="s">
        <v>9</v>
      </c>
      <c r="E58" s="3"/>
      <c r="F58" s="3"/>
      <c r="G58" s="3" t="s">
        <v>962</v>
      </c>
      <c r="H58" s="3" t="str">
        <f>IF(G58=0,"",_xlfn.XLOOKUP(G58,List_item!A:A,List_item!B:B))</f>
        <v>Karkas Uk 1.1 Karkas Uk 1.1 Frozen Grade A</v>
      </c>
      <c r="I58" s="3">
        <v>161</v>
      </c>
      <c r="J58" s="26">
        <f t="shared" si="5"/>
        <v>1.4322441753920879E-2</v>
      </c>
      <c r="K58" s="3">
        <f t="shared" si="0"/>
        <v>5635000</v>
      </c>
      <c r="L58" s="27">
        <f t="shared" si="1"/>
        <v>34756.74083705822</v>
      </c>
      <c r="M58" s="3">
        <f t="shared" si="2"/>
        <v>5595835.2747663734</v>
      </c>
      <c r="N58" s="3">
        <f t="shared" si="3"/>
        <v>243.25916294178023</v>
      </c>
      <c r="O58" s="3">
        <f t="shared" si="4"/>
        <v>39164.725233626552</v>
      </c>
      <c r="P58" s="3"/>
    </row>
    <row r="59" spans="1:18" x14ac:dyDescent="0.35">
      <c r="A59" t="s">
        <v>3904</v>
      </c>
      <c r="B59" s="2">
        <f>_xlfn.IFNA(_xlfn.XLOOKUP(A59,'Price list'!D:D,'Price list'!E:E),0)</f>
        <v>35000</v>
      </c>
      <c r="C59" t="s">
        <v>9</v>
      </c>
      <c r="E59" s="3"/>
      <c r="F59" s="3"/>
      <c r="G59" s="3" t="s">
        <v>1028</v>
      </c>
      <c r="H59" s="3" t="str">
        <f>IF(G59=0,"",_xlfn.XLOOKUP(G59,List_item!A:A,List_item!B:B))</f>
        <v>Karkas Uk 1.2 Karkas Uk 1.2 Frozen Grade A</v>
      </c>
      <c r="I59" s="3">
        <v>117.5</v>
      </c>
      <c r="J59" s="26">
        <f t="shared" si="5"/>
        <v>1.0452713702395674E-2</v>
      </c>
      <c r="K59" s="3">
        <f t="shared" si="0"/>
        <v>4112500</v>
      </c>
      <c r="L59" s="27">
        <f t="shared" si="1"/>
        <v>34756.74083705822</v>
      </c>
      <c r="M59" s="3">
        <f t="shared" si="2"/>
        <v>4083917.0483543407</v>
      </c>
      <c r="N59" s="3">
        <f t="shared" si="3"/>
        <v>243.25916294178023</v>
      </c>
      <c r="O59" s="3">
        <f t="shared" si="4"/>
        <v>28582.951645659283</v>
      </c>
      <c r="P59" s="3"/>
    </row>
    <row r="60" spans="1:18" x14ac:dyDescent="0.35">
      <c r="A60" t="s">
        <v>3905</v>
      </c>
      <c r="B60" s="2">
        <f>_xlfn.IFNA(_xlfn.XLOOKUP(A60,'Price list'!D:D,'Price list'!E:E),0)</f>
        <v>35000</v>
      </c>
      <c r="C60" t="s">
        <v>9</v>
      </c>
      <c r="E60" s="3"/>
      <c r="F60" s="3"/>
      <c r="G60" s="3" t="s">
        <v>1094</v>
      </c>
      <c r="H60" s="3" t="str">
        <f>IF(G60=0,"",_xlfn.XLOOKUP(G60,List_item!A:A,List_item!B:B))</f>
        <v>Karkas Uk 1.3 Karkas Uk 1.3 Frozen Grade A</v>
      </c>
      <c r="I60" s="3">
        <v>51.3</v>
      </c>
      <c r="J60" s="26">
        <f t="shared" si="5"/>
        <v>4.5636103228331743E-3</v>
      </c>
      <c r="K60" s="3">
        <f t="shared" si="0"/>
        <v>1795500</v>
      </c>
      <c r="L60" s="27">
        <f t="shared" si="1"/>
        <v>34756.740837058227</v>
      </c>
      <c r="M60" s="3">
        <f t="shared" si="2"/>
        <v>1783020.804941087</v>
      </c>
      <c r="N60" s="3">
        <f t="shared" si="3"/>
        <v>243.25916294177296</v>
      </c>
      <c r="O60" s="3">
        <f t="shared" si="4"/>
        <v>12479.19505891297</v>
      </c>
      <c r="P60" s="3"/>
    </row>
    <row r="61" spans="1:18" hidden="1" x14ac:dyDescent="0.35">
      <c r="A61" t="s">
        <v>3906</v>
      </c>
      <c r="B61" s="2">
        <f>_xlfn.IFNA(_xlfn.XLOOKUP(A61,'Price list'!D:D,'Price list'!E:E),0)</f>
        <v>35000</v>
      </c>
      <c r="C61" t="s">
        <v>9</v>
      </c>
      <c r="H61" s="2" t="str">
        <f>IF(G61=0,"",_xlfn.XLOOKUP(G61,List_item!A:A,List_item!B:B))</f>
        <v/>
      </c>
      <c r="I61" s="3">
        <v>0</v>
      </c>
      <c r="J61" s="26">
        <f t="shared" si="5"/>
        <v>0</v>
      </c>
      <c r="K61" s="3">
        <f t="shared" si="0"/>
        <v>0</v>
      </c>
      <c r="L61" s="27">
        <f t="shared" si="1"/>
        <v>0</v>
      </c>
      <c r="M61" s="3">
        <f t="shared" si="2"/>
        <v>0</v>
      </c>
      <c r="N61" s="3">
        <f t="shared" si="3"/>
        <v>0</v>
      </c>
      <c r="O61" s="3">
        <f t="shared" si="4"/>
        <v>0</v>
      </c>
    </row>
    <row r="62" spans="1:18" hidden="1" x14ac:dyDescent="0.35">
      <c r="A62" t="s">
        <v>3907</v>
      </c>
      <c r="B62" s="2">
        <f>_xlfn.IFNA(_xlfn.XLOOKUP(A62,'Price list'!D:D,'Price list'!E:E),0)</f>
        <v>35000</v>
      </c>
      <c r="C62" t="s">
        <v>9</v>
      </c>
      <c r="H62" s="2" t="str">
        <f>IF(G62=0,"",_xlfn.XLOOKUP(G62,List_item!A:A,List_item!B:B))</f>
        <v/>
      </c>
      <c r="I62" s="3">
        <v>0</v>
      </c>
      <c r="J62" s="26">
        <f t="shared" si="5"/>
        <v>0</v>
      </c>
      <c r="K62" s="3">
        <f t="shared" si="0"/>
        <v>0</v>
      </c>
      <c r="L62" s="27">
        <f t="shared" si="1"/>
        <v>0</v>
      </c>
      <c r="M62" s="3">
        <f t="shared" si="2"/>
        <v>0</v>
      </c>
      <c r="N62" s="3">
        <f t="shared" si="3"/>
        <v>0</v>
      </c>
      <c r="O62" s="3">
        <f t="shared" si="4"/>
        <v>0</v>
      </c>
    </row>
    <row r="63" spans="1:18" s="2" customFormat="1" hidden="1" x14ac:dyDescent="0.35">
      <c r="A63" t="s">
        <v>3908</v>
      </c>
      <c r="B63" s="2">
        <f>_xlfn.IFNA(_xlfn.XLOOKUP(A63,'Price list'!D:D,'Price list'!E:E),0)</f>
        <v>35000</v>
      </c>
      <c r="C63" t="s">
        <v>9</v>
      </c>
      <c r="D63"/>
      <c r="H63" s="2" t="str">
        <f>IF(G63=0,"",_xlfn.XLOOKUP(G63,List_item!A:A,List_item!B:B))</f>
        <v/>
      </c>
      <c r="I63" s="3">
        <v>0</v>
      </c>
      <c r="J63" s="26">
        <f t="shared" si="5"/>
        <v>0</v>
      </c>
      <c r="K63" s="3">
        <f t="shared" si="0"/>
        <v>0</v>
      </c>
      <c r="L63" s="27">
        <f t="shared" si="1"/>
        <v>0</v>
      </c>
      <c r="M63" s="3">
        <f t="shared" si="2"/>
        <v>0</v>
      </c>
      <c r="N63" s="3">
        <f t="shared" si="3"/>
        <v>0</v>
      </c>
      <c r="O63" s="3">
        <f t="shared" si="4"/>
        <v>0</v>
      </c>
      <c r="Q63"/>
      <c r="R63"/>
    </row>
    <row r="64" spans="1:18" s="2" customFormat="1" hidden="1" x14ac:dyDescent="0.35">
      <c r="A64" t="s">
        <v>3909</v>
      </c>
      <c r="B64" s="2">
        <f>_xlfn.IFNA(_xlfn.XLOOKUP(A64,'Price list'!D:D,'Price list'!E:E),0)</f>
        <v>35000</v>
      </c>
      <c r="C64" t="s">
        <v>9</v>
      </c>
      <c r="D64"/>
      <c r="H64" s="2" t="str">
        <f>IF(G64=0,"",_xlfn.XLOOKUP(G64,List_item!A:A,List_item!B:B))</f>
        <v/>
      </c>
      <c r="I64" s="3">
        <v>0</v>
      </c>
      <c r="J64" s="26">
        <f t="shared" si="5"/>
        <v>0</v>
      </c>
      <c r="K64" s="3">
        <f t="shared" si="0"/>
        <v>0</v>
      </c>
      <c r="L64" s="27">
        <f t="shared" si="1"/>
        <v>0</v>
      </c>
      <c r="M64" s="3">
        <f t="shared" si="2"/>
        <v>0</v>
      </c>
      <c r="N64" s="3">
        <f t="shared" si="3"/>
        <v>0</v>
      </c>
      <c r="O64" s="3">
        <f t="shared" si="4"/>
        <v>0</v>
      </c>
      <c r="Q64"/>
      <c r="R64"/>
    </row>
    <row r="65" spans="1:18" s="2" customFormat="1" hidden="1" x14ac:dyDescent="0.35">
      <c r="A65" t="s">
        <v>3910</v>
      </c>
      <c r="B65" s="2">
        <f>_xlfn.IFNA(_xlfn.XLOOKUP(A65,'Price list'!D:D,'Price list'!E:E),0)</f>
        <v>0</v>
      </c>
      <c r="C65" t="s">
        <v>9</v>
      </c>
      <c r="D65"/>
      <c r="H65" s="2" t="str">
        <f>IF(G65=0,"",_xlfn.XLOOKUP(G65,List_item!A:A,List_item!B:B))</f>
        <v/>
      </c>
      <c r="I65" s="3">
        <v>0</v>
      </c>
      <c r="J65" s="26">
        <f t="shared" si="5"/>
        <v>0</v>
      </c>
      <c r="K65" s="2">
        <f t="shared" si="0"/>
        <v>0</v>
      </c>
      <c r="L65" s="27">
        <f t="shared" si="1"/>
        <v>0</v>
      </c>
      <c r="M65" s="2">
        <f t="shared" si="2"/>
        <v>0</v>
      </c>
      <c r="N65" s="2">
        <f t="shared" si="3"/>
        <v>0</v>
      </c>
      <c r="O65" s="2">
        <f t="shared" si="4"/>
        <v>0</v>
      </c>
      <c r="Q65"/>
      <c r="R65"/>
    </row>
    <row r="66" spans="1:18" s="2" customFormat="1" hidden="1" x14ac:dyDescent="0.35">
      <c r="A66" t="s">
        <v>3911</v>
      </c>
      <c r="B66" s="2">
        <f>_xlfn.IFNA(_xlfn.XLOOKUP(A66,'Price list'!D:D,'Price list'!E:E),0)</f>
        <v>35000</v>
      </c>
      <c r="C66" t="s">
        <v>9</v>
      </c>
      <c r="D66"/>
      <c r="H66" s="2" t="str">
        <f>IF(G66=0,"",_xlfn.XLOOKUP(G66,List_item!A:A,List_item!B:B))</f>
        <v/>
      </c>
      <c r="I66" s="3">
        <v>0</v>
      </c>
      <c r="J66" s="26">
        <f t="shared" si="5"/>
        <v>0</v>
      </c>
      <c r="K66" s="2">
        <f t="shared" si="0"/>
        <v>0</v>
      </c>
      <c r="L66" s="27">
        <f t="shared" si="1"/>
        <v>0</v>
      </c>
      <c r="M66" s="2">
        <f t="shared" si="2"/>
        <v>0</v>
      </c>
      <c r="N66" s="2">
        <f t="shared" si="3"/>
        <v>0</v>
      </c>
      <c r="O66" s="2">
        <f t="shared" si="4"/>
        <v>0</v>
      </c>
      <c r="Q66"/>
      <c r="R66"/>
    </row>
    <row r="67" spans="1:18" s="2" customFormat="1" hidden="1" x14ac:dyDescent="0.35">
      <c r="A67" t="s">
        <v>3912</v>
      </c>
      <c r="B67" s="2">
        <f>_xlfn.IFNA(_xlfn.XLOOKUP(A67,'Price list'!D:D,'Price list'!E:E),0)</f>
        <v>35000</v>
      </c>
      <c r="C67" t="s">
        <v>9</v>
      </c>
      <c r="D67"/>
      <c r="H67" s="2" t="str">
        <f>IF(G67=0,"",_xlfn.XLOOKUP(G67,List_item!A:A,List_item!B:B))</f>
        <v/>
      </c>
      <c r="I67" s="3">
        <v>0</v>
      </c>
      <c r="J67" s="26">
        <f t="shared" si="5"/>
        <v>0</v>
      </c>
      <c r="K67" s="2">
        <f t="shared" si="0"/>
        <v>0</v>
      </c>
      <c r="L67" s="27">
        <f t="shared" si="1"/>
        <v>0</v>
      </c>
      <c r="M67" s="2">
        <f t="shared" si="2"/>
        <v>0</v>
      </c>
      <c r="N67" s="2">
        <f t="shared" si="3"/>
        <v>0</v>
      </c>
      <c r="O67" s="2">
        <f t="shared" si="4"/>
        <v>0</v>
      </c>
      <c r="Q67"/>
      <c r="R67"/>
    </row>
    <row r="68" spans="1:18" s="2" customFormat="1" hidden="1" x14ac:dyDescent="0.35">
      <c r="A68" t="s">
        <v>3913</v>
      </c>
      <c r="B68" s="2">
        <f>_xlfn.IFNA(_xlfn.XLOOKUP(A68,'Price list'!D:D,'Price list'!E:E),0)</f>
        <v>0</v>
      </c>
      <c r="C68" t="s">
        <v>9</v>
      </c>
      <c r="D68"/>
      <c r="H68" s="2" t="str">
        <f>IF(G68=0,"",_xlfn.XLOOKUP(G68,List_item!A:A,List_item!B:B))</f>
        <v/>
      </c>
      <c r="I68" s="3">
        <v>0</v>
      </c>
      <c r="J68" s="26">
        <f t="shared" si="5"/>
        <v>0</v>
      </c>
      <c r="K68" s="2">
        <f t="shared" si="0"/>
        <v>0</v>
      </c>
      <c r="L68" s="27">
        <f t="shared" si="1"/>
        <v>0</v>
      </c>
      <c r="M68" s="2">
        <f t="shared" si="2"/>
        <v>0</v>
      </c>
      <c r="N68" s="2">
        <f t="shared" si="3"/>
        <v>0</v>
      </c>
      <c r="O68" s="2">
        <f t="shared" si="4"/>
        <v>0</v>
      </c>
      <c r="Q68"/>
      <c r="R68"/>
    </row>
    <row r="69" spans="1:18" s="2" customFormat="1" hidden="1" x14ac:dyDescent="0.35">
      <c r="A69" t="s">
        <v>3914</v>
      </c>
      <c r="B69" s="2">
        <f>_xlfn.IFNA(_xlfn.XLOOKUP(A69,'Price list'!D:D,'Price list'!E:E),0)</f>
        <v>0</v>
      </c>
      <c r="C69" t="s">
        <v>9</v>
      </c>
      <c r="D69"/>
      <c r="H69" s="2" t="str">
        <f>IF(G69=0,"",_xlfn.XLOOKUP(G69,List_item!A:A,List_item!B:B))</f>
        <v/>
      </c>
      <c r="I69" s="3">
        <v>0</v>
      </c>
      <c r="J69" s="26">
        <f t="shared" si="5"/>
        <v>0</v>
      </c>
      <c r="K69" s="2">
        <f t="shared" si="0"/>
        <v>0</v>
      </c>
      <c r="L69" s="27">
        <f t="shared" si="1"/>
        <v>0</v>
      </c>
      <c r="M69" s="2">
        <f t="shared" si="2"/>
        <v>0</v>
      </c>
      <c r="N69" s="2">
        <f t="shared" si="3"/>
        <v>0</v>
      </c>
      <c r="O69" s="2">
        <f t="shared" si="4"/>
        <v>0</v>
      </c>
      <c r="Q69"/>
      <c r="R69"/>
    </row>
    <row r="70" spans="1:18" s="2" customFormat="1" hidden="1" x14ac:dyDescent="0.35">
      <c r="A70" t="s">
        <v>3915</v>
      </c>
      <c r="B70" s="2">
        <f>_xlfn.IFNA(_xlfn.XLOOKUP(A70,'Price list'!D:D,'Price list'!E:E),0)</f>
        <v>0</v>
      </c>
      <c r="C70" t="s">
        <v>9</v>
      </c>
      <c r="D70"/>
      <c r="H70" s="2" t="str">
        <f>IF(G70=0,"",_xlfn.XLOOKUP(G70,List_item!A:A,List_item!B:B))</f>
        <v/>
      </c>
      <c r="I70" s="3">
        <v>0</v>
      </c>
      <c r="J70" s="26">
        <f t="shared" si="5"/>
        <v>0</v>
      </c>
      <c r="K70" s="2">
        <f t="shared" si="0"/>
        <v>0</v>
      </c>
      <c r="L70" s="27">
        <f t="shared" si="1"/>
        <v>0</v>
      </c>
      <c r="M70" s="2">
        <f t="shared" si="2"/>
        <v>0</v>
      </c>
      <c r="N70" s="2">
        <f t="shared" si="3"/>
        <v>0</v>
      </c>
      <c r="O70" s="2">
        <f t="shared" si="4"/>
        <v>0</v>
      </c>
      <c r="Q70"/>
      <c r="R70"/>
    </row>
    <row r="71" spans="1:18" s="2" customFormat="1" hidden="1" x14ac:dyDescent="0.35">
      <c r="A71" t="s">
        <v>3916</v>
      </c>
      <c r="B71" s="2">
        <f>_xlfn.IFNA(_xlfn.XLOOKUP(A71,'Price list'!D:D,'Price list'!E:E),0)</f>
        <v>0</v>
      </c>
      <c r="C71" t="s">
        <v>9</v>
      </c>
      <c r="D71"/>
      <c r="H71" s="2" t="str">
        <f>IF(G71=0,"",_xlfn.XLOOKUP(G71,List_item!A:A,List_item!B:B))</f>
        <v/>
      </c>
      <c r="I71" s="3">
        <v>0</v>
      </c>
      <c r="J71" s="26">
        <f t="shared" si="5"/>
        <v>0</v>
      </c>
      <c r="K71" s="2">
        <f t="shared" si="0"/>
        <v>0</v>
      </c>
      <c r="L71" s="27">
        <f t="shared" si="1"/>
        <v>0</v>
      </c>
      <c r="M71" s="2">
        <f t="shared" si="2"/>
        <v>0</v>
      </c>
      <c r="N71" s="2">
        <f t="shared" si="3"/>
        <v>0</v>
      </c>
      <c r="O71" s="2">
        <f t="shared" si="4"/>
        <v>0</v>
      </c>
      <c r="Q71"/>
      <c r="R71"/>
    </row>
    <row r="72" spans="1:18" s="2" customFormat="1" hidden="1" x14ac:dyDescent="0.35">
      <c r="A72" t="s">
        <v>3917</v>
      </c>
      <c r="B72" s="2">
        <f>_xlfn.IFNA(_xlfn.XLOOKUP(A72,'Price list'!D:D,'Price list'!E:E),0)</f>
        <v>0</v>
      </c>
      <c r="C72" t="s">
        <v>9</v>
      </c>
      <c r="D72"/>
      <c r="H72" s="2" t="str">
        <f>IF(G72=0,"",_xlfn.XLOOKUP(G72,List_item!A:A,List_item!B:B))</f>
        <v/>
      </c>
      <c r="I72" s="3">
        <v>0</v>
      </c>
      <c r="J72" s="26">
        <f t="shared" si="5"/>
        <v>0</v>
      </c>
      <c r="K72" s="2">
        <f t="shared" si="0"/>
        <v>0</v>
      </c>
      <c r="L72" s="27">
        <f t="shared" si="1"/>
        <v>0</v>
      </c>
      <c r="M72" s="2">
        <f t="shared" si="2"/>
        <v>0</v>
      </c>
      <c r="N72" s="2">
        <f t="shared" si="3"/>
        <v>0</v>
      </c>
      <c r="O72" s="2">
        <f t="shared" si="4"/>
        <v>0</v>
      </c>
      <c r="Q72"/>
      <c r="R72"/>
    </row>
    <row r="73" spans="1:18" s="2" customFormat="1" hidden="1" x14ac:dyDescent="0.35">
      <c r="A73" t="s">
        <v>3918</v>
      </c>
      <c r="B73" s="2">
        <f>_xlfn.IFNA(_xlfn.XLOOKUP(A73,'Price list'!D:D,'Price list'!E:E),0)</f>
        <v>0</v>
      </c>
      <c r="C73" t="s">
        <v>9</v>
      </c>
      <c r="D73"/>
      <c r="H73" s="2" t="str">
        <f>IF(G73=0,"",_xlfn.XLOOKUP(G73,List_item!A:A,List_item!B:B))</f>
        <v/>
      </c>
      <c r="I73" s="3">
        <v>0</v>
      </c>
      <c r="J73" s="26">
        <f t="shared" si="5"/>
        <v>0</v>
      </c>
      <c r="K73" s="2">
        <f t="shared" si="0"/>
        <v>0</v>
      </c>
      <c r="L73" s="27">
        <f t="shared" si="1"/>
        <v>0</v>
      </c>
      <c r="M73" s="2">
        <f t="shared" si="2"/>
        <v>0</v>
      </c>
      <c r="N73" s="2">
        <f t="shared" si="3"/>
        <v>0</v>
      </c>
      <c r="O73" s="2">
        <f t="shared" si="4"/>
        <v>0</v>
      </c>
      <c r="Q73"/>
      <c r="R73"/>
    </row>
    <row r="74" spans="1:18" s="2" customFormat="1" hidden="1" x14ac:dyDescent="0.35">
      <c r="A74" t="s">
        <v>3919</v>
      </c>
      <c r="B74" s="2">
        <f>_xlfn.IFNA(_xlfn.XLOOKUP(A74,'Price list'!D:D,'Price list'!E:E),0)</f>
        <v>0</v>
      </c>
      <c r="C74" t="s">
        <v>9</v>
      </c>
      <c r="D74"/>
      <c r="H74" s="2" t="str">
        <f>IF(G74=0,"",_xlfn.XLOOKUP(G74,List_item!A:A,List_item!B:B))</f>
        <v/>
      </c>
      <c r="I74" s="3">
        <v>0</v>
      </c>
      <c r="J74" s="26">
        <f t="shared" si="5"/>
        <v>0</v>
      </c>
      <c r="K74" s="2">
        <f t="shared" si="0"/>
        <v>0</v>
      </c>
      <c r="L74" s="27">
        <f t="shared" si="1"/>
        <v>0</v>
      </c>
      <c r="M74" s="2">
        <f t="shared" si="2"/>
        <v>0</v>
      </c>
      <c r="N74" s="2">
        <f t="shared" si="3"/>
        <v>0</v>
      </c>
      <c r="O74" s="2">
        <f t="shared" si="4"/>
        <v>0</v>
      </c>
      <c r="Q74"/>
      <c r="R74"/>
    </row>
    <row r="75" spans="1:18" s="2" customFormat="1" hidden="1" x14ac:dyDescent="0.35">
      <c r="A75" t="s">
        <v>3920</v>
      </c>
      <c r="B75" s="2">
        <f>_xlfn.IFNA(_xlfn.XLOOKUP(A75,'Price list'!D:D,'Price list'!E:E),0)</f>
        <v>0</v>
      </c>
      <c r="C75" t="s">
        <v>9</v>
      </c>
      <c r="D75"/>
      <c r="H75" s="2" t="str">
        <f>IF(G75=0,"",_xlfn.XLOOKUP(G75,List_item!A:A,List_item!B:B))</f>
        <v/>
      </c>
      <c r="I75" s="3">
        <v>0</v>
      </c>
      <c r="J75" s="26">
        <f t="shared" si="5"/>
        <v>0</v>
      </c>
      <c r="K75" s="2">
        <f t="shared" ref="K75:K79" si="6">+B75*(F75+I75)</f>
        <v>0</v>
      </c>
      <c r="L75" s="27">
        <f t="shared" si="1"/>
        <v>0</v>
      </c>
      <c r="M75" s="2">
        <f t="shared" si="2"/>
        <v>0</v>
      </c>
      <c r="N75" s="2">
        <f t="shared" si="3"/>
        <v>0</v>
      </c>
      <c r="O75" s="2">
        <f t="shared" si="4"/>
        <v>0</v>
      </c>
      <c r="Q75"/>
      <c r="R75"/>
    </row>
    <row r="76" spans="1:18" s="2" customFormat="1" hidden="1" x14ac:dyDescent="0.35">
      <c r="A76" t="s">
        <v>3921</v>
      </c>
      <c r="B76" s="2">
        <f>_xlfn.IFNA(_xlfn.XLOOKUP(A76,'Price list'!D:D,'Price list'!E:E),0)</f>
        <v>0</v>
      </c>
      <c r="C76" t="s">
        <v>9</v>
      </c>
      <c r="D76"/>
      <c r="H76" s="2" t="str">
        <f>IF(G76=0,"",_xlfn.XLOOKUP(G76,List_item!A:A,List_item!B:B))</f>
        <v/>
      </c>
      <c r="I76" s="3">
        <v>0</v>
      </c>
      <c r="J76" s="26">
        <f t="shared" si="5"/>
        <v>0</v>
      </c>
      <c r="K76" s="2">
        <f t="shared" si="6"/>
        <v>0</v>
      </c>
      <c r="L76" s="27">
        <f t="shared" ref="L76:L79" si="7">IFERROR(((K76/SUM($K$11:$K$79))*$F$10)/(F76+I76),0)</f>
        <v>0</v>
      </c>
      <c r="M76" s="2">
        <f t="shared" ref="M76:M79" si="8">+L76*(F76+I76)</f>
        <v>0</v>
      </c>
      <c r="N76" s="2">
        <f t="shared" ref="N76:N79" si="9">IF(L76=0,0,B76-L76)</f>
        <v>0</v>
      </c>
      <c r="O76" s="2">
        <f t="shared" ref="O76:O79" si="10">+K76-M76</f>
        <v>0</v>
      </c>
      <c r="Q76"/>
      <c r="R76"/>
    </row>
    <row r="77" spans="1:18" s="2" customFormat="1" hidden="1" x14ac:dyDescent="0.35">
      <c r="A77" t="s">
        <v>3922</v>
      </c>
      <c r="B77" s="2">
        <f>_xlfn.IFNA(_xlfn.XLOOKUP(A77,'Price list'!D:D,'Price list'!E:E),0)</f>
        <v>0</v>
      </c>
      <c r="C77" t="s">
        <v>9</v>
      </c>
      <c r="D77"/>
      <c r="H77" s="2" t="str">
        <f>IF(G77=0,"",_xlfn.XLOOKUP(G77,List_item!A:A,List_item!B:B))</f>
        <v/>
      </c>
      <c r="I77" s="3">
        <v>0</v>
      </c>
      <c r="J77" s="26">
        <f t="shared" si="5"/>
        <v>0</v>
      </c>
      <c r="K77" s="2">
        <f t="shared" si="6"/>
        <v>0</v>
      </c>
      <c r="L77" s="27">
        <f t="shared" si="7"/>
        <v>0</v>
      </c>
      <c r="M77" s="2">
        <f t="shared" si="8"/>
        <v>0</v>
      </c>
      <c r="N77" s="2">
        <f t="shared" si="9"/>
        <v>0</v>
      </c>
      <c r="O77" s="2">
        <f t="shared" si="10"/>
        <v>0</v>
      </c>
      <c r="Q77"/>
      <c r="R77"/>
    </row>
    <row r="78" spans="1:18" s="2" customFormat="1" hidden="1" x14ac:dyDescent="0.35">
      <c r="A78" t="s">
        <v>3923</v>
      </c>
      <c r="B78" s="2">
        <f>_xlfn.IFNA(_xlfn.XLOOKUP(A78,'Price list'!D:D,'Price list'!E:E),0)</f>
        <v>0</v>
      </c>
      <c r="C78" t="s">
        <v>9</v>
      </c>
      <c r="D78"/>
      <c r="H78" s="2" t="str">
        <f>IF(G78=0,"",_xlfn.XLOOKUP(G78,List_item!A:A,List_item!B:B))</f>
        <v/>
      </c>
      <c r="I78" s="3">
        <v>0</v>
      </c>
      <c r="J78" s="26">
        <f t="shared" ref="J78:J79" si="11">IF(F78/E$10&gt;0,F78/E$10,I78/E$10)</f>
        <v>0</v>
      </c>
      <c r="K78" s="2">
        <f t="shared" si="6"/>
        <v>0</v>
      </c>
      <c r="L78" s="27">
        <f t="shared" si="7"/>
        <v>0</v>
      </c>
      <c r="M78" s="2">
        <f t="shared" si="8"/>
        <v>0</v>
      </c>
      <c r="N78" s="2">
        <f t="shared" si="9"/>
        <v>0</v>
      </c>
      <c r="O78" s="2">
        <f t="shared" si="10"/>
        <v>0</v>
      </c>
      <c r="Q78"/>
      <c r="R78"/>
    </row>
    <row r="79" spans="1:18" s="2" customFormat="1" hidden="1" x14ac:dyDescent="0.35">
      <c r="A79" t="s">
        <v>3924</v>
      </c>
      <c r="B79" s="2">
        <f>_xlfn.IFNA(_xlfn.XLOOKUP(A79,'Price list'!D:D,'Price list'!E:E),0)</f>
        <v>0</v>
      </c>
      <c r="C79" t="s">
        <v>9</v>
      </c>
      <c r="D79"/>
      <c r="H79" s="2" t="str">
        <f>IF(G79=0,"",_xlfn.XLOOKUP(G79,List_item!A:A,List_item!B:B))</f>
        <v/>
      </c>
      <c r="I79" s="3">
        <v>0</v>
      </c>
      <c r="J79" s="26">
        <f t="shared" si="11"/>
        <v>0</v>
      </c>
      <c r="K79" s="2">
        <f t="shared" si="6"/>
        <v>0</v>
      </c>
      <c r="L79" s="27">
        <f t="shared" si="7"/>
        <v>0</v>
      </c>
      <c r="M79" s="2">
        <f t="shared" si="8"/>
        <v>0</v>
      </c>
      <c r="N79" s="2">
        <f t="shared" si="9"/>
        <v>0</v>
      </c>
      <c r="O79" s="2">
        <f t="shared" si="10"/>
        <v>0</v>
      </c>
      <c r="Q79"/>
      <c r="R79"/>
    </row>
    <row r="82" spans="1:7" x14ac:dyDescent="0.35">
      <c r="A82" t="s">
        <v>3929</v>
      </c>
      <c r="B82"/>
      <c r="E82"/>
      <c r="F82" s="117"/>
      <c r="G82" t="s">
        <v>3930</v>
      </c>
    </row>
    <row r="83" spans="1:7" x14ac:dyDescent="0.35">
      <c r="B83"/>
      <c r="E83"/>
      <c r="F83" s="117"/>
      <c r="G83"/>
    </row>
    <row r="84" spans="1:7" x14ac:dyDescent="0.35">
      <c r="B84"/>
      <c r="E84"/>
      <c r="F84" s="117"/>
      <c r="G84"/>
    </row>
    <row r="85" spans="1:7" x14ac:dyDescent="0.35">
      <c r="B85"/>
      <c r="E85"/>
      <c r="F85" s="117"/>
      <c r="G85"/>
    </row>
    <row r="86" spans="1:7" x14ac:dyDescent="0.35">
      <c r="B86"/>
      <c r="E86"/>
      <c r="F86" s="117"/>
      <c r="G86"/>
    </row>
    <row r="87" spans="1:7" x14ac:dyDescent="0.35">
      <c r="B87"/>
      <c r="E87"/>
      <c r="F87" s="117"/>
      <c r="G87"/>
    </row>
    <row r="88" spans="1:7" x14ac:dyDescent="0.35">
      <c r="A88" s="118"/>
      <c r="B88"/>
      <c r="E88"/>
      <c r="F88" s="117"/>
      <c r="G88" s="118"/>
    </row>
  </sheetData>
  <autoFilter ref="A10:P79" xr:uid="{F98C210C-C4C2-4C9A-996A-31134E27B117}">
    <filterColumn colId="6">
      <customFilters>
        <customFilter operator="notEqual" val=" "/>
      </customFilters>
    </filterColumn>
  </autoFilter>
  <conditionalFormatting sqref="O10">
    <cfRule type="cellIs" dxfId="24" priority="1" operator="lessThan">
      <formula>0</formula>
    </cfRule>
  </conditionalFormatting>
  <pageMargins left="0.7" right="0.7" top="0.75" bottom="0.75" header="0.3" footer="0.3"/>
  <pageSetup paperSize="9" scale="6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C26D-A4B9-495E-B96B-49122D0DF0D9}">
  <sheetPr>
    <tabColor theme="3" tint="0.499984740745262"/>
    <pageSetUpPr fitToPage="1"/>
  </sheetPr>
  <dimension ref="A1:R96"/>
  <sheetViews>
    <sheetView zoomScale="80" zoomScaleNormal="80" workbookViewId="0">
      <pane xSplit="3" ySplit="10" topLeftCell="D25" activePane="bottomRight" state="frozen"/>
      <selection activeCell="B23" sqref="B23"/>
      <selection pane="topRight" activeCell="B23" sqref="B23"/>
      <selection pane="bottomLeft" activeCell="B23" sqref="B23"/>
      <selection pane="bottomRight" activeCell="A14" sqref="A14:XFD25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4.6328125" style="2" bestFit="1" customWidth="1"/>
    <col min="10" max="10" width="11.26953125" style="2" bestFit="1" customWidth="1"/>
    <col min="11" max="11" width="17.81640625" style="2" bestFit="1" customWidth="1"/>
    <col min="12" max="12" width="16.36328125" style="2" bestFit="1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+I9/E11</f>
        <v>3.6277285714285714</v>
      </c>
    </row>
    <row r="2" spans="1:18" x14ac:dyDescent="0.35">
      <c r="A2" s="18" t="s">
        <v>3865</v>
      </c>
      <c r="E2" s="159"/>
      <c r="F2" s="159"/>
      <c r="G2" s="19" t="s">
        <v>3943</v>
      </c>
    </row>
    <row r="3" spans="1:18" x14ac:dyDescent="0.35">
      <c r="A3" s="101" t="s">
        <v>3866</v>
      </c>
      <c r="B3" s="2">
        <f>J5*24800</f>
        <v>466083760</v>
      </c>
      <c r="C3" s="19"/>
      <c r="E3" s="157"/>
      <c r="F3" s="157"/>
      <c r="G3" s="156" t="s">
        <v>4154</v>
      </c>
      <c r="H3" s="157" t="s">
        <v>4160</v>
      </c>
      <c r="I3" s="101" t="s">
        <v>3870</v>
      </c>
      <c r="J3" s="2" t="s">
        <v>4069</v>
      </c>
      <c r="Q3" s="25"/>
      <c r="R3" s="2"/>
    </row>
    <row r="4" spans="1:18" x14ac:dyDescent="0.35">
      <c r="A4" s="101" t="s">
        <v>3867</v>
      </c>
      <c r="B4" s="2">
        <f>6*1500000</f>
        <v>9000000</v>
      </c>
      <c r="E4"/>
      <c r="F4" s="157"/>
      <c r="G4" s="157" t="s">
        <v>4149</v>
      </c>
      <c r="H4" s="157" t="s">
        <v>4150</v>
      </c>
      <c r="I4" s="101" t="s">
        <v>3872</v>
      </c>
      <c r="J4" s="115">
        <v>46295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f>25324515+486486</f>
        <v>25811001</v>
      </c>
      <c r="E5" s="157"/>
      <c r="F5" s="157"/>
      <c r="G5" s="157" t="s">
        <v>4145</v>
      </c>
      <c r="H5" s="157" t="s">
        <v>4146</v>
      </c>
      <c r="I5" s="101" t="s">
        <v>3944</v>
      </c>
      <c r="J5" s="19">
        <f>3169.2+3000+3100.6+3200+3202.5+3121.4</f>
        <v>18793.7</v>
      </c>
      <c r="K5" s="2">
        <v>17568.900000000001</v>
      </c>
      <c r="L5" s="2">
        <f>J5-K5</f>
        <v>1224.7999999999993</v>
      </c>
      <c r="M5" s="147">
        <f>L5/J5</f>
        <v>6.517077531300379E-2</v>
      </c>
    </row>
    <row r="6" spans="1:18" x14ac:dyDescent="0.35">
      <c r="A6" s="102" t="s">
        <v>3869</v>
      </c>
      <c r="B6" s="19">
        <f>SUBTOTAL(9,B3:B5)</f>
        <v>500894761</v>
      </c>
      <c r="E6" s="149" t="s">
        <v>4054</v>
      </c>
      <c r="F6" s="93"/>
      <c r="I6" s="101"/>
      <c r="J6" s="19"/>
      <c r="M6" s="147"/>
    </row>
    <row r="7" spans="1:18" x14ac:dyDescent="0.35">
      <c r="B7" s="2">
        <f>B6+F6</f>
        <v>500894761</v>
      </c>
      <c r="Q7" s="25"/>
    </row>
    <row r="8" spans="1:18" ht="4.5" customHeight="1" x14ac:dyDescent="0.35">
      <c r="A8" s="101"/>
    </row>
    <row r="9" spans="1:18" x14ac:dyDescent="0.35">
      <c r="A9" s="8"/>
      <c r="B9" s="19"/>
      <c r="C9" s="18"/>
      <c r="E9" s="18"/>
      <c r="I9" s="2">
        <f>J9+3300.2*2</f>
        <v>25394.1</v>
      </c>
      <c r="J9" s="2">
        <f>J5-J7</f>
        <v>18793.7</v>
      </c>
      <c r="K9" s="19" t="s">
        <v>3931</v>
      </c>
      <c r="L9" s="28">
        <f>SUM(K12:K68)/M11-1</f>
        <v>-4.6759245301828622E-2</v>
      </c>
    </row>
    <row r="10" spans="1:18" ht="28.5" customHeight="1" x14ac:dyDescent="0.35">
      <c r="A10" s="112" t="s">
        <v>27</v>
      </c>
      <c r="B10" s="119" t="s">
        <v>3938</v>
      </c>
      <c r="C10" s="112" t="s">
        <v>4</v>
      </c>
      <c r="D10" s="1"/>
      <c r="E10" s="113" t="s">
        <v>28</v>
      </c>
      <c r="F10" s="110" t="s">
        <v>6</v>
      </c>
      <c r="G10" s="110" t="s">
        <v>3937</v>
      </c>
      <c r="H10" s="120" t="s">
        <v>3926</v>
      </c>
      <c r="I10" s="110" t="s">
        <v>3835</v>
      </c>
      <c r="J10" s="119" t="s">
        <v>2177</v>
      </c>
      <c r="K10" s="119" t="s">
        <v>3932</v>
      </c>
      <c r="L10" s="119" t="s">
        <v>3935</v>
      </c>
      <c r="M10" s="120" t="s">
        <v>2173</v>
      </c>
      <c r="N10" s="121" t="s">
        <v>3939</v>
      </c>
      <c r="O10" s="121" t="s">
        <v>3936</v>
      </c>
      <c r="P10" s="110" t="s">
        <v>3826</v>
      </c>
    </row>
    <row r="11" spans="1:18" x14ac:dyDescent="0.35">
      <c r="A11" s="4"/>
      <c r="B11" s="24"/>
      <c r="C11" s="4"/>
      <c r="D11" s="1"/>
      <c r="E11" s="5">
        <v>7000</v>
      </c>
      <c r="F11" s="5">
        <f>+B6</f>
        <v>500894761</v>
      </c>
      <c r="G11" s="5"/>
      <c r="H11" s="5"/>
      <c r="I11" s="5">
        <f>SUM(I12:I89)</f>
        <v>15893.9</v>
      </c>
      <c r="J11" s="148">
        <f>SUM(J12:J89)</f>
        <v>0.84570361344493117</v>
      </c>
      <c r="K11" s="5">
        <f>SUM(K12:K89)</f>
        <v>477473300</v>
      </c>
      <c r="L11" s="5"/>
      <c r="M11" s="5">
        <f>SUM(M12:M89)</f>
        <v>500894760.99999982</v>
      </c>
      <c r="N11" s="5"/>
      <c r="O11" s="5">
        <f>SUM(O12:O89)</f>
        <v>-23421460.999999978</v>
      </c>
    </row>
    <row r="12" spans="1:18" x14ac:dyDescent="0.35">
      <c r="A12" t="s">
        <v>3873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>IF(F12/J$5&gt;0,F12/J$5,I12/J$5)</f>
        <v>0</v>
      </c>
      <c r="K12" s="3">
        <f t="shared" ref="K12:K77" si="0">+B12*(F12+I12)</f>
        <v>0</v>
      </c>
      <c r="L12" s="3">
        <f t="shared" ref="L12:L29" si="1">IFERROR(((K12/$K$11)*$F$11)/(F12+I12),0)</f>
        <v>0</v>
      </c>
      <c r="M12" s="3">
        <f t="shared" ref="M12:M77" si="2">+L12*(F12+I12)</f>
        <v>0</v>
      </c>
      <c r="N12" s="3">
        <f t="shared" ref="N12:N77" si="3">IF(L12=0,0,B12-L12)</f>
        <v>0</v>
      </c>
      <c r="O12" s="3">
        <f>+K12-M12</f>
        <v>0</v>
      </c>
      <c r="P12" s="3"/>
    </row>
    <row r="13" spans="1:18" x14ac:dyDescent="0.35">
      <c r="A13" t="s">
        <v>3874</v>
      </c>
      <c r="B13" s="3">
        <f>_xlfn.IFNA(_xlfn.XLOOKUP(A13,'Price list'!J:J,'Price list'!K:K),0)</f>
        <v>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ref="J13:J78" si="4">IF(F13/J$5&gt;0,F13/J$5,I13/J$5)</f>
        <v>0</v>
      </c>
      <c r="K13" s="3">
        <f t="shared" si="0"/>
        <v>0</v>
      </c>
      <c r="L13" s="3">
        <f t="shared" si="1"/>
        <v>0</v>
      </c>
      <c r="M13" s="3">
        <f t="shared" si="2"/>
        <v>0</v>
      </c>
      <c r="N13" s="3">
        <f t="shared" si="3"/>
        <v>0</v>
      </c>
      <c r="O13" s="3">
        <f t="shared" ref="O13:O78" si="5">+K13-M13</f>
        <v>0</v>
      </c>
      <c r="P13" s="3"/>
      <c r="R13" s="3"/>
    </row>
    <row r="14" spans="1:18" s="186" customFormat="1" x14ac:dyDescent="0.35">
      <c r="A14" s="186" t="s">
        <v>3875</v>
      </c>
      <c r="B14" s="187">
        <f>_xlfn.IFNA(_xlfn.XLOOKUP(A14,'Price list'!J:J,'Price list'!K:K),0)</f>
        <v>37000</v>
      </c>
      <c r="C14" s="186" t="s">
        <v>9</v>
      </c>
      <c r="E14" s="187"/>
      <c r="F14" s="187"/>
      <c r="G14" s="187" t="s">
        <v>2219</v>
      </c>
      <c r="H14" s="187" t="str">
        <f>IF(G14=0,"",_xlfn.XLOOKUP(G14,List_item!A:A,List_item!B:B))</f>
        <v>Karkas Uk 0.5 Karkas Uk 0.5 Frozen Premium</v>
      </c>
      <c r="I14" s="188">
        <v>70.3</v>
      </c>
      <c r="J14" s="189">
        <f t="shared" si="4"/>
        <v>3.7406152061595106E-3</v>
      </c>
      <c r="K14" s="187">
        <f t="shared" si="0"/>
        <v>2601100</v>
      </c>
      <c r="L14" s="187">
        <f t="shared" si="1"/>
        <v>38814.95814949234</v>
      </c>
      <c r="M14" s="187">
        <f t="shared" si="2"/>
        <v>2728691.5579093113</v>
      </c>
      <c r="N14" s="187">
        <f t="shared" si="3"/>
        <v>-1814.9581494923405</v>
      </c>
      <c r="O14" s="187">
        <f t="shared" si="5"/>
        <v>-127591.55790931126</v>
      </c>
      <c r="P14" s="187"/>
    </row>
    <row r="15" spans="1:18" s="186" customFormat="1" x14ac:dyDescent="0.35">
      <c r="A15" s="186" t="s">
        <v>3876</v>
      </c>
      <c r="B15" s="187">
        <f>_xlfn.IFNA(_xlfn.XLOOKUP(A15,'Price list'!J:J,'Price list'!K:K),0)</f>
        <v>37000</v>
      </c>
      <c r="C15" s="186" t="s">
        <v>9</v>
      </c>
      <c r="E15" s="187"/>
      <c r="F15" s="187"/>
      <c r="G15" s="187" t="s">
        <v>2220</v>
      </c>
      <c r="H15" s="187" t="str">
        <f>IF(G15=0,"",_xlfn.XLOOKUP(G15,List_item!A:A,List_item!B:B))</f>
        <v>Karkas Uk 0.6 Karkas Uk 0.6 Frozen Premium</v>
      </c>
      <c r="I15" s="188">
        <v>267</v>
      </c>
      <c r="J15" s="189">
        <f t="shared" si="4"/>
        <v>1.4206888478585908E-2</v>
      </c>
      <c r="K15" s="187">
        <f t="shared" si="0"/>
        <v>9879000</v>
      </c>
      <c r="L15" s="187">
        <f t="shared" si="1"/>
        <v>38814.958149492333</v>
      </c>
      <c r="M15" s="187">
        <f t="shared" si="2"/>
        <v>10363593.825914454</v>
      </c>
      <c r="N15" s="187">
        <f t="shared" si="3"/>
        <v>-1814.9581494923332</v>
      </c>
      <c r="O15" s="187">
        <f t="shared" si="5"/>
        <v>-484593.82591445372</v>
      </c>
      <c r="P15" s="187"/>
    </row>
    <row r="16" spans="1:18" s="186" customFormat="1" x14ac:dyDescent="0.35">
      <c r="A16" s="186" t="s">
        <v>3877</v>
      </c>
      <c r="B16" s="187">
        <f>_xlfn.IFNA(_xlfn.XLOOKUP(A16,'Price list'!J:J,'Price list'!K:K),0)</f>
        <v>37000</v>
      </c>
      <c r="C16" s="186" t="s">
        <v>9</v>
      </c>
      <c r="G16" s="187" t="s">
        <v>2221</v>
      </c>
      <c r="H16" s="187" t="str">
        <f>IF(G16=0,"",_xlfn.XLOOKUP(G16,List_item!A:A,List_item!B:B))</f>
        <v>Karkas Uk 0.7 Karkas Uk 0.7 Frozen Premium</v>
      </c>
      <c r="I16" s="188">
        <v>1113.9000000000001</v>
      </c>
      <c r="J16" s="189">
        <f t="shared" si="4"/>
        <v>5.9269861708976947E-2</v>
      </c>
      <c r="K16" s="187">
        <f t="shared" si="0"/>
        <v>41214300</v>
      </c>
      <c r="L16" s="187">
        <f t="shared" si="1"/>
        <v>38814.958149492326</v>
      </c>
      <c r="M16" s="187">
        <f t="shared" si="2"/>
        <v>43235981.882719502</v>
      </c>
      <c r="N16" s="187">
        <f t="shared" si="3"/>
        <v>-1814.9581494923259</v>
      </c>
      <c r="O16" s="187">
        <f t="shared" si="5"/>
        <v>-2021681.8827195019</v>
      </c>
      <c r="P16" s="187"/>
    </row>
    <row r="17" spans="1:17" s="186" customFormat="1" x14ac:dyDescent="0.35">
      <c r="A17" s="186" t="s">
        <v>3878</v>
      </c>
      <c r="B17" s="187">
        <f>_xlfn.IFNA(_xlfn.XLOOKUP(A17,'Price list'!J:J,'Price list'!K:K),0)</f>
        <v>37000</v>
      </c>
      <c r="C17" s="186" t="s">
        <v>9</v>
      </c>
      <c r="E17" s="187"/>
      <c r="G17" s="187" t="s">
        <v>2222</v>
      </c>
      <c r="H17" s="187" t="str">
        <f>IF(G17=0,"",_xlfn.XLOOKUP(G17,List_item!A:A,List_item!B:B))</f>
        <v>Karkas Uk 0.8 Frozen Premium</v>
      </c>
      <c r="I17" s="188">
        <v>899.8</v>
      </c>
      <c r="J17" s="189">
        <f t="shared" si="4"/>
        <v>4.7877746266035956E-2</v>
      </c>
      <c r="K17" s="187">
        <f t="shared" si="0"/>
        <v>33292600</v>
      </c>
      <c r="L17" s="187">
        <f t="shared" si="1"/>
        <v>38814.958149492348</v>
      </c>
      <c r="M17" s="187">
        <f t="shared" si="2"/>
        <v>34925699.34291321</v>
      </c>
      <c r="N17" s="187">
        <f t="shared" si="3"/>
        <v>-1814.9581494923477</v>
      </c>
      <c r="O17" s="187">
        <f t="shared" si="5"/>
        <v>-1633099.3429132104</v>
      </c>
      <c r="P17" s="187"/>
    </row>
    <row r="18" spans="1:17" s="186" customFormat="1" x14ac:dyDescent="0.35">
      <c r="A18" s="186" t="s">
        <v>3879</v>
      </c>
      <c r="B18" s="187">
        <f>_xlfn.IFNA(_xlfn.XLOOKUP(A18,'Price list'!J:J,'Price list'!K:K),0)</f>
        <v>37000</v>
      </c>
      <c r="C18" s="186" t="s">
        <v>9</v>
      </c>
      <c r="E18" s="187"/>
      <c r="G18" s="187" t="s">
        <v>2223</v>
      </c>
      <c r="H18" s="187" t="str">
        <f>IF(G18=0,"",_xlfn.XLOOKUP(G18,List_item!A:A,List_item!B:B))</f>
        <v>Karkas Uk 0.9 Frozen Premium</v>
      </c>
      <c r="I18" s="188">
        <v>2093.6999999999998</v>
      </c>
      <c r="J18" s="189">
        <f t="shared" si="4"/>
        <v>0.1114043535865742</v>
      </c>
      <c r="K18" s="187">
        <f t="shared" si="0"/>
        <v>77466900</v>
      </c>
      <c r="L18" s="187">
        <f t="shared" si="1"/>
        <v>38814.95814949234</v>
      </c>
      <c r="M18" s="187">
        <f t="shared" si="2"/>
        <v>81266877.877592102</v>
      </c>
      <c r="N18" s="187">
        <f t="shared" si="3"/>
        <v>-1814.9581494923405</v>
      </c>
      <c r="O18" s="187">
        <f t="shared" si="5"/>
        <v>-3799977.8775921017</v>
      </c>
      <c r="P18" s="187"/>
    </row>
    <row r="19" spans="1:17" s="186" customFormat="1" x14ac:dyDescent="0.35">
      <c r="A19" s="186" t="s">
        <v>3879</v>
      </c>
      <c r="B19" s="187">
        <f>_xlfn.IFNA(_xlfn.XLOOKUP(A19,'Price list'!J:J,'Price list'!K:K),0)</f>
        <v>37000</v>
      </c>
      <c r="C19" s="186" t="s">
        <v>9</v>
      </c>
      <c r="E19" s="190"/>
      <c r="G19" s="187" t="s">
        <v>826</v>
      </c>
      <c r="H19" s="187" t="str">
        <f>IF(G19=0,"",_xlfn.XLOOKUP(G19,List_item!A:A,List_item!B:B))</f>
        <v>Karkas Uk 0.9 Karkas Uk 0.9 Fresh Premium</v>
      </c>
      <c r="I19" s="188">
        <v>1820.9</v>
      </c>
      <c r="J19" s="189">
        <f t="shared" si="4"/>
        <v>9.6888851051150124E-2</v>
      </c>
      <c r="K19" s="187">
        <f t="shared" si="0"/>
        <v>67373300</v>
      </c>
      <c r="L19" s="187">
        <f t="shared" si="1"/>
        <v>38814.95814949234</v>
      </c>
      <c r="M19" s="187">
        <f t="shared" si="2"/>
        <v>70678157.294410601</v>
      </c>
      <c r="N19" s="187">
        <f t="shared" si="3"/>
        <v>-1814.9581494923405</v>
      </c>
      <c r="O19" s="187">
        <f t="shared" si="5"/>
        <v>-3304857.2944106013</v>
      </c>
      <c r="P19" s="187"/>
    </row>
    <row r="20" spans="1:17" s="186" customFormat="1" x14ac:dyDescent="0.35">
      <c r="A20" s="186" t="s">
        <v>3880</v>
      </c>
      <c r="B20" s="187">
        <f>_xlfn.IFNA(_xlfn.XLOOKUP(A20,'Price list'!J:J,'Price list'!K:K),0)</f>
        <v>37000</v>
      </c>
      <c r="C20" s="186" t="s">
        <v>9</v>
      </c>
      <c r="E20" s="190"/>
      <c r="G20" s="187" t="s">
        <v>923</v>
      </c>
      <c r="H20" s="187" t="str">
        <f>IF(G20=0,"",_xlfn.XLOOKUP(G20,List_item!A:A,List_item!B:B))</f>
        <v>Karkas Uk 1.0 Karkas Uk 1.0 Frozen Premium</v>
      </c>
      <c r="I20" s="188">
        <v>1697.1</v>
      </c>
      <c r="J20" s="189">
        <f t="shared" si="4"/>
        <v>9.0301537217258962E-2</v>
      </c>
      <c r="K20" s="187">
        <f t="shared" si="0"/>
        <v>62792700</v>
      </c>
      <c r="L20" s="187">
        <f t="shared" si="1"/>
        <v>38814.95814949234</v>
      </c>
      <c r="M20" s="187">
        <f t="shared" si="2"/>
        <v>65872865.475503445</v>
      </c>
      <c r="N20" s="187">
        <f t="shared" si="3"/>
        <v>-1814.9581494923405</v>
      </c>
      <c r="O20" s="187">
        <f t="shared" si="5"/>
        <v>-3080165.4755034447</v>
      </c>
      <c r="P20" s="187"/>
    </row>
    <row r="21" spans="1:17" s="186" customFormat="1" x14ac:dyDescent="0.35">
      <c r="A21" s="186" t="s">
        <v>3881</v>
      </c>
      <c r="B21" s="187">
        <f>_xlfn.IFNA(_xlfn.XLOOKUP(A21,'Price list'!J:J,'Price list'!K:K),0)</f>
        <v>37000</v>
      </c>
      <c r="C21" s="186" t="s">
        <v>9</v>
      </c>
      <c r="E21" s="187"/>
      <c r="F21" s="187"/>
      <c r="G21" s="187" t="s">
        <v>989</v>
      </c>
      <c r="H21" s="187" t="str">
        <f>IF(G21=0,"",_xlfn.XLOOKUP(G21,List_item!A:A,List_item!B:B))</f>
        <v>Karkas Uk 1.1 Karkas Uk 1.1 Frozen Premium</v>
      </c>
      <c r="I21" s="188">
        <v>174.4</v>
      </c>
      <c r="J21" s="189">
        <f t="shared" si="4"/>
        <v>9.2797054332036805E-3</v>
      </c>
      <c r="K21" s="187">
        <f t="shared" si="0"/>
        <v>6452800</v>
      </c>
      <c r="L21" s="187">
        <f t="shared" si="1"/>
        <v>38814.95814949234</v>
      </c>
      <c r="M21" s="187">
        <f t="shared" si="2"/>
        <v>6769328.7012714641</v>
      </c>
      <c r="N21" s="187">
        <f t="shared" si="3"/>
        <v>-1814.9581494923405</v>
      </c>
      <c r="O21" s="187">
        <f t="shared" si="5"/>
        <v>-316528.70127146412</v>
      </c>
      <c r="P21" s="187"/>
    </row>
    <row r="22" spans="1:17" s="186" customFormat="1" x14ac:dyDescent="0.35">
      <c r="A22" s="186" t="s">
        <v>3881</v>
      </c>
      <c r="B22" s="187">
        <f>_xlfn.IFNA(_xlfn.XLOOKUP(A22,'Price list'!J:J,'Price list'!K:K),0)</f>
        <v>37000</v>
      </c>
      <c r="C22" s="186" t="s">
        <v>9</v>
      </c>
      <c r="E22" s="187"/>
      <c r="F22" s="187"/>
      <c r="G22" s="187" t="s">
        <v>957</v>
      </c>
      <c r="H22" s="187" t="str">
        <f>IF(G22=0,"",_xlfn.XLOOKUP(G22,List_item!A:A,List_item!B:B))</f>
        <v>Karkas Uk 1.1 Karkas Uk 1.1 Fresh Premium</v>
      </c>
      <c r="I22" s="188">
        <v>1282</v>
      </c>
      <c r="J22" s="189">
        <f t="shared" si="4"/>
        <v>6.8214348425270174E-2</v>
      </c>
      <c r="K22" s="187">
        <f t="shared" si="0"/>
        <v>47434000</v>
      </c>
      <c r="L22" s="187">
        <f t="shared" si="1"/>
        <v>38814.95814949234</v>
      </c>
      <c r="M22" s="187">
        <f t="shared" si="2"/>
        <v>49760776.347649179</v>
      </c>
      <c r="N22" s="187">
        <f t="shared" si="3"/>
        <v>-1814.9581494923405</v>
      </c>
      <c r="O22" s="187">
        <f t="shared" si="5"/>
        <v>-2326776.3476491794</v>
      </c>
      <c r="P22" s="187"/>
    </row>
    <row r="23" spans="1:17" s="186" customFormat="1" x14ac:dyDescent="0.35">
      <c r="A23" s="186" t="s">
        <v>3882</v>
      </c>
      <c r="B23" s="187">
        <f>_xlfn.IFNA(_xlfn.XLOOKUP(A23,'Price list'!J:J,'Price list'!K:K),0)</f>
        <v>37000</v>
      </c>
      <c r="C23" s="186" t="s">
        <v>9</v>
      </c>
      <c r="E23" s="187"/>
      <c r="F23" s="187"/>
      <c r="G23" s="187" t="s">
        <v>1055</v>
      </c>
      <c r="H23" s="187" t="str">
        <f>IF(G23=0,"",_xlfn.XLOOKUP(G23,List_item!A:A,List_item!B:B))</f>
        <v>Karkas Uk 1.2 Karkas Uk 1.2 Frozen Premium</v>
      </c>
      <c r="I23" s="188">
        <v>846.6</v>
      </c>
      <c r="J23" s="189">
        <f t="shared" si="4"/>
        <v>4.5047010434347681E-2</v>
      </c>
      <c r="K23" s="187">
        <f t="shared" si="0"/>
        <v>31324200</v>
      </c>
      <c r="L23" s="187">
        <f t="shared" si="1"/>
        <v>38814.958149492333</v>
      </c>
      <c r="M23" s="187">
        <f t="shared" si="2"/>
        <v>32860743.569360211</v>
      </c>
      <c r="N23" s="187">
        <f t="shared" si="3"/>
        <v>-1814.9581494923332</v>
      </c>
      <c r="O23" s="187">
        <f t="shared" si="5"/>
        <v>-1536543.5693602115</v>
      </c>
      <c r="P23" s="187"/>
    </row>
    <row r="24" spans="1:17" s="186" customFormat="1" x14ac:dyDescent="0.35">
      <c r="A24" s="186" t="s">
        <v>3883</v>
      </c>
      <c r="B24" s="187">
        <f>_xlfn.IFNA(_xlfn.XLOOKUP(A24,'Price list'!J:J,'Price list'!K:K),0)</f>
        <v>37000</v>
      </c>
      <c r="C24" s="186" t="s">
        <v>9</v>
      </c>
      <c r="E24" s="187"/>
      <c r="F24" s="187"/>
      <c r="G24" s="187" t="s">
        <v>1121</v>
      </c>
      <c r="H24" s="187" t="str">
        <f>IF(G24=0,"",_xlfn.XLOOKUP(G24,List_item!A:A,List_item!B:B))</f>
        <v>Karkas Uk 1.3 Karkas Uk 1.3 Frozen Premium</v>
      </c>
      <c r="I24" s="188">
        <v>387.6</v>
      </c>
      <c r="J24" s="189">
        <f t="shared" si="4"/>
        <v>2.0623932488014602E-2</v>
      </c>
      <c r="K24" s="187">
        <f t="shared" si="0"/>
        <v>14341200</v>
      </c>
      <c r="L24" s="187">
        <f t="shared" si="1"/>
        <v>38814.958149492333</v>
      </c>
      <c r="M24" s="187">
        <f t="shared" si="2"/>
        <v>15044677.77874323</v>
      </c>
      <c r="N24" s="187">
        <f t="shared" si="3"/>
        <v>-1814.9581494923332</v>
      </c>
      <c r="O24" s="187">
        <f t="shared" si="5"/>
        <v>-703477.77874322981</v>
      </c>
      <c r="P24" s="187"/>
    </row>
    <row r="25" spans="1:17" s="186" customFormat="1" x14ac:dyDescent="0.35">
      <c r="A25" s="186" t="s">
        <v>3884</v>
      </c>
      <c r="B25" s="187">
        <f>_xlfn.IFNA(_xlfn.XLOOKUP(A25,'Price list'!J:J,'Price list'!K:K),0)</f>
        <v>37000</v>
      </c>
      <c r="C25" s="186" t="s">
        <v>9</v>
      </c>
      <c r="E25" s="187"/>
      <c r="F25" s="187"/>
      <c r="G25" s="187" t="s">
        <v>1187</v>
      </c>
      <c r="H25" s="187" t="str">
        <f>IF(G25=0,"",_xlfn.XLOOKUP(G25,List_item!A:A,List_item!B:B))</f>
        <v>Karkas Uk 1.4 Karkas Uk 1.4 Frozen Premium</v>
      </c>
      <c r="I25" s="188">
        <v>134.30000000000001</v>
      </c>
      <c r="J25" s="189">
        <f t="shared" si="4"/>
        <v>7.1460116954085683E-3</v>
      </c>
      <c r="K25" s="187">
        <f t="shared" si="0"/>
        <v>4969100</v>
      </c>
      <c r="L25" s="187">
        <f t="shared" si="1"/>
        <v>38814.958149492326</v>
      </c>
      <c r="M25" s="187">
        <f t="shared" si="2"/>
        <v>5212848.8794768201</v>
      </c>
      <c r="N25" s="187">
        <f t="shared" si="3"/>
        <v>-1814.9581494923259</v>
      </c>
      <c r="O25" s="187">
        <f t="shared" si="5"/>
        <v>-243748.87947682012</v>
      </c>
      <c r="P25" s="187"/>
    </row>
    <row r="26" spans="1:17" x14ac:dyDescent="0.35">
      <c r="A26" t="s">
        <v>3849</v>
      </c>
      <c r="B26" s="3">
        <f>_xlfn.IFNA(_xlfn.XLOOKUP(A26,'Price list'!J:J,'Price list'!K:K),0)</f>
        <v>37000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156">
        <v>0</v>
      </c>
      <c r="J26" s="26">
        <f t="shared" si="4"/>
        <v>0</v>
      </c>
      <c r="K26" s="3">
        <f t="shared" si="0"/>
        <v>0</v>
      </c>
      <c r="L26" s="3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7" x14ac:dyDescent="0.35">
      <c r="A27" t="s">
        <v>3885</v>
      </c>
      <c r="B27" s="3">
        <f>_xlfn.IFNA(_xlfn.XLOOKUP(A27,'Price list'!J:J,'Price list'!K:K),0)</f>
        <v>37000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156">
        <v>0</v>
      </c>
      <c r="J27" s="26">
        <f t="shared" si="4"/>
        <v>0</v>
      </c>
      <c r="K27" s="3">
        <f t="shared" si="0"/>
        <v>0</v>
      </c>
      <c r="L27" s="3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7" x14ac:dyDescent="0.35">
      <c r="A28" t="s">
        <v>3886</v>
      </c>
      <c r="B28" s="3">
        <f>_xlfn.IFNA(_xlfn.XLOOKUP(A28,'Price list'!J:J,'Price list'!K:K),0)</f>
        <v>37000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156">
        <v>0</v>
      </c>
      <c r="J28" s="26">
        <f t="shared" si="4"/>
        <v>0</v>
      </c>
      <c r="K28" s="3">
        <f t="shared" si="0"/>
        <v>0</v>
      </c>
      <c r="L28" s="3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7" x14ac:dyDescent="0.35">
      <c r="A29" t="s">
        <v>3887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156">
        <v>0</v>
      </c>
      <c r="J29" s="26">
        <f t="shared" si="4"/>
        <v>0</v>
      </c>
      <c r="K29" s="3">
        <f t="shared" si="0"/>
        <v>0</v>
      </c>
      <c r="L29" s="3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7" x14ac:dyDescent="0.35">
      <c r="A30" t="s">
        <v>3888</v>
      </c>
      <c r="B30" s="3">
        <f>_xlfn.IFNA(_xlfn.XLOOKUP(A30,'Price list'!J:J,'Price list'!K:K),0)</f>
        <v>37000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156">
        <v>0</v>
      </c>
      <c r="J30" s="26">
        <f t="shared" si="4"/>
        <v>0</v>
      </c>
      <c r="K30" s="3">
        <f t="shared" si="0"/>
        <v>0</v>
      </c>
      <c r="L30" s="93">
        <f>IFERROR(((K30/$K$11)*$F$11)/(F30+I30),0)+IFERROR(((K30/SUMIF(H:H,"*Boneless*",K:K))*$F$6)/I30,0)</f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>
        <f>IFERROR(((K30/SUMIF(H:H,"*Boneless*",K:K))*$F$6),0)</f>
        <v>0</v>
      </c>
      <c r="Q30">
        <f>SUMIF(H:H,"*Boneless*",K:K)</f>
        <v>25941500</v>
      </c>
    </row>
    <row r="31" spans="1:17" x14ac:dyDescent="0.35">
      <c r="A31" t="s">
        <v>3889</v>
      </c>
      <c r="B31" s="3">
        <f>_xlfn.IFNA(_xlfn.XLOOKUP(A31,'Price list'!J:J,'Price list'!K:K),0)</f>
        <v>37000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156">
        <v>0</v>
      </c>
      <c r="J31" s="26">
        <f t="shared" si="4"/>
        <v>0</v>
      </c>
      <c r="K31" s="3">
        <f t="shared" si="0"/>
        <v>0</v>
      </c>
      <c r="L31" s="3">
        <f>IFERROR(((K31/$K$11)*$F$11)/(F31+I31),0)</f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7" x14ac:dyDescent="0.35">
      <c r="A32" t="s">
        <v>3890</v>
      </c>
      <c r="B32" s="3">
        <f>_xlfn.IFNA(_xlfn.XLOOKUP(A32,'Price list'!J:J,'Price list'!K:K),0)</f>
        <v>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156">
        <v>0</v>
      </c>
      <c r="J32" s="26">
        <f t="shared" si="4"/>
        <v>0</v>
      </c>
      <c r="K32" s="3">
        <f t="shared" si="0"/>
        <v>0</v>
      </c>
      <c r="L32" s="93">
        <f t="shared" ref="L32:L37" si="6">IFERROR(((K32/$K$11)*$F$11)/(F32+I32),0)+IFERROR(((K32/SUMIF(H:H,"*Boneless*",K:K))*$F$6)/I32,0)</f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>
        <f t="shared" ref="P32:P37" si="7">IFERROR(((K32/SUMIF(H:H,"*Boneless*",K:K))*$F$6),0)</f>
        <v>0</v>
      </c>
      <c r="Q32">
        <f t="shared" ref="Q32:Q37" si="8">SUMIF(H:H,"*Boneless*",K:K)</f>
        <v>25941500</v>
      </c>
    </row>
    <row r="33" spans="1:17" x14ac:dyDescent="0.35">
      <c r="A33" t="s">
        <v>8</v>
      </c>
      <c r="B33" s="3">
        <f>_xlfn.IFNA(_xlfn.XLOOKUP(A33,'Price list'!J:J,'Price list'!K:K),0)</f>
        <v>50000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156">
        <v>0</v>
      </c>
      <c r="J33" s="26">
        <f t="shared" si="4"/>
        <v>0</v>
      </c>
      <c r="K33" s="3">
        <f t="shared" si="0"/>
        <v>0</v>
      </c>
      <c r="L33" s="93">
        <f t="shared" si="6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>
        <f t="shared" si="7"/>
        <v>0</v>
      </c>
      <c r="Q33">
        <f t="shared" si="8"/>
        <v>25941500</v>
      </c>
    </row>
    <row r="34" spans="1:17" x14ac:dyDescent="0.35">
      <c r="A34" t="s">
        <v>10</v>
      </c>
      <c r="B34" s="3">
        <f>_xlfn.IFNA(_xlfn.XLOOKUP(A34,'Price list'!J:J,'Price list'!K:K),0)</f>
        <v>48000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156">
        <v>0</v>
      </c>
      <c r="J34" s="26">
        <f t="shared" si="4"/>
        <v>0</v>
      </c>
      <c r="K34" s="3">
        <f t="shared" si="0"/>
        <v>0</v>
      </c>
      <c r="L34" s="93">
        <f t="shared" si="6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>
        <f t="shared" si="7"/>
        <v>0</v>
      </c>
      <c r="Q34">
        <f t="shared" si="8"/>
        <v>25941500</v>
      </c>
    </row>
    <row r="35" spans="1:17" x14ac:dyDescent="0.35">
      <c r="A35" t="s">
        <v>12</v>
      </c>
      <c r="B35" s="3">
        <f>_xlfn.IFNA(_xlfn.XLOOKUP(A35,'Price list'!J:J,'Price list'!K:K),0)</f>
        <v>49000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156">
        <v>0</v>
      </c>
      <c r="J35" s="26">
        <f t="shared" si="4"/>
        <v>0</v>
      </c>
      <c r="K35" s="3">
        <f t="shared" si="0"/>
        <v>0</v>
      </c>
      <c r="L35" s="93">
        <f t="shared" si="6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>
        <f t="shared" si="7"/>
        <v>0</v>
      </c>
      <c r="Q35">
        <f t="shared" si="8"/>
        <v>25941500</v>
      </c>
    </row>
    <row r="36" spans="1:17" x14ac:dyDescent="0.35">
      <c r="A36" t="s">
        <v>2159</v>
      </c>
      <c r="B36" s="3">
        <f>_xlfn.IFNA(_xlfn.XLOOKUP(A36,'Price list'!J:J,'Price list'!K:K),0)</f>
        <v>12500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156">
        <v>0</v>
      </c>
      <c r="J36" s="26">
        <f t="shared" si="4"/>
        <v>0</v>
      </c>
      <c r="K36" s="3">
        <f t="shared" si="0"/>
        <v>0</v>
      </c>
      <c r="L36" s="93">
        <f t="shared" si="6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>
        <f t="shared" si="7"/>
        <v>0</v>
      </c>
      <c r="Q36">
        <f t="shared" si="8"/>
        <v>25941500</v>
      </c>
    </row>
    <row r="37" spans="1:17" x14ac:dyDescent="0.35">
      <c r="A37" t="s">
        <v>3891</v>
      </c>
      <c r="B37" s="3">
        <f>_xlfn.IFNA(_xlfn.XLOOKUP(A37,'Price list'!J:J,'Price list'!K:K),0)</f>
        <v>32000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156">
        <v>0</v>
      </c>
      <c r="J37" s="26">
        <f t="shared" si="4"/>
        <v>0</v>
      </c>
      <c r="K37" s="3">
        <f t="shared" si="0"/>
        <v>0</v>
      </c>
      <c r="L37" s="93">
        <f t="shared" si="6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>
        <f t="shared" si="7"/>
        <v>0</v>
      </c>
      <c r="Q37">
        <f t="shared" si="8"/>
        <v>25941500</v>
      </c>
    </row>
    <row r="38" spans="1:17" x14ac:dyDescent="0.35">
      <c r="A38" t="s">
        <v>2179</v>
      </c>
      <c r="B38" s="3">
        <f>_xlfn.IFNA(_xlfn.XLOOKUP(A38,'Price list'!J:J,'Price list'!K:K),0)</f>
        <v>36000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156">
        <v>0</v>
      </c>
      <c r="J38" s="26">
        <f t="shared" si="4"/>
        <v>0</v>
      </c>
      <c r="K38" s="3">
        <f t="shared" si="0"/>
        <v>0</v>
      </c>
      <c r="L38" s="3">
        <f t="shared" ref="L38:L43" si="9">IFERROR(((K38/$K$11)*$F$11)/(F38+I38),0)</f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7" x14ac:dyDescent="0.35">
      <c r="A39" t="s">
        <v>3852</v>
      </c>
      <c r="B39" s="3">
        <f>_xlfn.IFNA(_xlfn.XLOOKUP(A39,'Price list'!J:J,'Price list'!K:K),0)</f>
        <v>32000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156">
        <v>0</v>
      </c>
      <c r="J39" s="26">
        <f t="shared" si="4"/>
        <v>0</v>
      </c>
      <c r="K39" s="3">
        <f t="shared" si="0"/>
        <v>0</v>
      </c>
      <c r="L39" s="3">
        <f t="shared" si="9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7" x14ac:dyDescent="0.35">
      <c r="A40" t="s">
        <v>17</v>
      </c>
      <c r="B40" s="3">
        <f>_xlfn.IFNA(_xlfn.XLOOKUP(A40,'Price list'!J:J,'Price list'!K:K),0)</f>
        <v>5000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156">
        <v>0</v>
      </c>
      <c r="J40" s="26">
        <f t="shared" si="4"/>
        <v>0</v>
      </c>
      <c r="K40" s="3">
        <f t="shared" si="0"/>
        <v>0</v>
      </c>
      <c r="L40" s="3">
        <f t="shared" si="9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7" x14ac:dyDescent="0.35">
      <c r="A41" t="s">
        <v>2199</v>
      </c>
      <c r="B41" s="3">
        <f>_xlfn.IFNA(_xlfn.XLOOKUP(A41,'Price list'!J:J,'Price list'!K:K),0)</f>
        <v>35000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156">
        <v>0</v>
      </c>
      <c r="J41" s="26">
        <f t="shared" si="4"/>
        <v>0</v>
      </c>
      <c r="K41" s="3">
        <f t="shared" si="0"/>
        <v>0</v>
      </c>
      <c r="L41" s="3">
        <f t="shared" si="9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7" s="186" customFormat="1" x14ac:dyDescent="0.35">
      <c r="A42" s="186" t="s">
        <v>2161</v>
      </c>
      <c r="B42" s="187">
        <f>_xlfn.IFNA(_xlfn.XLOOKUP(A42,'Price list'!J:J,'Price list'!K:K),0)</f>
        <v>24000</v>
      </c>
      <c r="C42" s="186" t="s">
        <v>9</v>
      </c>
      <c r="E42" s="187"/>
      <c r="F42" s="187"/>
      <c r="G42" s="187" t="s">
        <v>19</v>
      </c>
      <c r="H42" s="187" t="str">
        <f>IF(G42=0,"",_xlfn.XLOOKUP(G42,List_item!A:A,List_item!B:B))</f>
        <v>Boneless BL Frozen Lemak</v>
      </c>
      <c r="I42" s="188">
        <v>56.1</v>
      </c>
      <c r="J42" s="189">
        <f t="shared" si="4"/>
        <v>2.9850428601073762E-3</v>
      </c>
      <c r="K42" s="187">
        <f t="shared" si="0"/>
        <v>1346400</v>
      </c>
      <c r="L42" s="187">
        <f t="shared" si="9"/>
        <v>25177.270151022054</v>
      </c>
      <c r="M42" s="187">
        <f t="shared" si="2"/>
        <v>1412444.8554723372</v>
      </c>
      <c r="N42" s="187">
        <f t="shared" si="3"/>
        <v>-1177.2701510220541</v>
      </c>
      <c r="O42" s="187">
        <f t="shared" si="5"/>
        <v>-66044.855472337222</v>
      </c>
      <c r="P42" s="187"/>
    </row>
    <row r="43" spans="1:17" s="186" customFormat="1" x14ac:dyDescent="0.35">
      <c r="A43" s="186" t="s">
        <v>2162</v>
      </c>
      <c r="B43" s="187">
        <f>_xlfn.IFNA(_xlfn.XLOOKUP(A43,'Price list'!J:J,'Price list'!K:K),0)</f>
        <v>9500</v>
      </c>
      <c r="C43" s="186" t="s">
        <v>9</v>
      </c>
      <c r="E43" s="187"/>
      <c r="F43" s="187"/>
      <c r="G43" s="187" t="s">
        <v>20</v>
      </c>
      <c r="H43" s="187" t="str">
        <f>IF(G43=0,"",_xlfn.XLOOKUP(G43,List_item!A:A,List_item!B:B))</f>
        <v>Boneless BL Fresh Kepala</v>
      </c>
      <c r="I43" s="188">
        <v>957.7</v>
      </c>
      <c r="J43" s="189">
        <f t="shared" si="4"/>
        <v>5.0958565902403469E-2</v>
      </c>
      <c r="K43" s="187">
        <f>+B43*(F43+I43)</f>
        <v>9098150</v>
      </c>
      <c r="L43" s="187">
        <f t="shared" si="9"/>
        <v>9966.0027681128977</v>
      </c>
      <c r="M43" s="187">
        <f t="shared" si="2"/>
        <v>9544440.851021722</v>
      </c>
      <c r="N43" s="187">
        <f t="shared" si="3"/>
        <v>-466.00276811289768</v>
      </c>
      <c r="O43" s="187">
        <f t="shared" si="5"/>
        <v>-446290.85102172196</v>
      </c>
      <c r="P43" s="187" t="s">
        <v>3947</v>
      </c>
    </row>
    <row r="44" spans="1:17" s="186" customFormat="1" x14ac:dyDescent="0.35">
      <c r="A44" s="186" t="s">
        <v>0</v>
      </c>
      <c r="B44" s="187">
        <f>_xlfn.IFNA(_xlfn.XLOOKUP(A44,'Price list'!J:J,'Price list'!K:K),0)</f>
        <v>16000</v>
      </c>
      <c r="C44" s="186" t="s">
        <v>9</v>
      </c>
      <c r="E44" s="187"/>
      <c r="F44" s="187"/>
      <c r="G44" s="187" t="s">
        <v>21</v>
      </c>
      <c r="H44" s="187" t="str">
        <f>IF(G44=0,"",_xlfn.XLOOKUP(G44,List_item!A:A,List_item!B:B))</f>
        <v>Boneless BL Fresh Ceker</v>
      </c>
      <c r="I44" s="188">
        <v>580.5</v>
      </c>
      <c r="J44" s="189">
        <f t="shared" si="4"/>
        <v>3.0888010343891836E-2</v>
      </c>
      <c r="K44" s="187">
        <f t="shared" si="0"/>
        <v>9288000</v>
      </c>
      <c r="L44" s="187">
        <f>IFERROR(((K44/$K$11)*$F$11)/(F44+I44),0)+IFERROR(((K44/SUMIF(H:H,"*Boneless*",K:K))*$F$6)/I44,0)</f>
        <v>16784.846767348037</v>
      </c>
      <c r="M44" s="187">
        <f t="shared" si="2"/>
        <v>9743603.5484455358</v>
      </c>
      <c r="N44" s="187">
        <f t="shared" si="3"/>
        <v>-784.84676734803725</v>
      </c>
      <c r="O44" s="187">
        <f t="shared" si="5"/>
        <v>-455603.54844553582</v>
      </c>
      <c r="P44" s="187">
        <f>IFERROR(((K44/SUMIF(H:H,"*Boneless*",K:K))*$F$6),0)</f>
        <v>0</v>
      </c>
      <c r="Q44" s="186">
        <f>SUMIF(H:H,"*Boneless*",K:K)</f>
        <v>25941500</v>
      </c>
    </row>
    <row r="45" spans="1:17" x14ac:dyDescent="0.35">
      <c r="A45" t="s">
        <v>24</v>
      </c>
      <c r="B45" s="3">
        <f>_xlfn.IFNA(_xlfn.XLOOKUP(A45,'Price list'!J:J,'Price list'!K:K),0)</f>
        <v>4500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156">
        <v>0</v>
      </c>
      <c r="J45" s="26">
        <f t="shared" si="4"/>
        <v>0</v>
      </c>
      <c r="K45" s="3">
        <f t="shared" si="0"/>
        <v>0</v>
      </c>
      <c r="L45" s="3">
        <f t="shared" ref="L45:L72" si="10">IFERROR(((K45/$K$11)*$F$11)/(F45+I45),0)</f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/>
    </row>
    <row r="46" spans="1:17" s="186" customFormat="1" x14ac:dyDescent="0.35">
      <c r="A46" s="186" t="s">
        <v>3893</v>
      </c>
      <c r="B46" s="187">
        <f>_xlfn.IFNA(_xlfn.XLOOKUP(A46,'Price list'!J:J,'Price list'!K:K),0)</f>
        <v>1500</v>
      </c>
      <c r="C46" s="186" t="s">
        <v>9</v>
      </c>
      <c r="E46" s="187"/>
      <c r="F46" s="187"/>
      <c r="G46" s="187" t="s">
        <v>25</v>
      </c>
      <c r="H46" s="187" t="str">
        <f>IF(G46=0,"",_xlfn.XLOOKUP(G46,List_item!A:A,List_item!B:B))</f>
        <v>Boneless BL Fresh Usus Kotor</v>
      </c>
      <c r="I46" s="188">
        <v>887</v>
      </c>
      <c r="J46" s="189">
        <f t="shared" si="4"/>
        <v>4.7196666968186148E-2</v>
      </c>
      <c r="K46" s="187">
        <f t="shared" si="0"/>
        <v>1330500</v>
      </c>
      <c r="L46" s="187">
        <f t="shared" si="10"/>
        <v>1573.5793844388786</v>
      </c>
      <c r="M46" s="187">
        <f t="shared" si="2"/>
        <v>1395764.9139972853</v>
      </c>
      <c r="N46" s="187">
        <f t="shared" si="3"/>
        <v>-73.579384438878606</v>
      </c>
      <c r="O46" s="187">
        <f t="shared" si="5"/>
        <v>-65264.913997285301</v>
      </c>
      <c r="P46" s="187"/>
    </row>
    <row r="47" spans="1:17" x14ac:dyDescent="0.35">
      <c r="A47" t="s">
        <v>2167</v>
      </c>
      <c r="B47" s="3">
        <f>_xlfn.IFNA(_xlfn.XLOOKUP(A47,'Price list'!J:J,'Price list'!K:K),0)</f>
        <v>22000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156">
        <v>0</v>
      </c>
      <c r="J47" s="26">
        <f t="shared" si="4"/>
        <v>0</v>
      </c>
      <c r="K47" s="3">
        <f t="shared" si="0"/>
        <v>0</v>
      </c>
      <c r="L47" s="3">
        <f t="shared" si="10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7" x14ac:dyDescent="0.35">
      <c r="A48" t="s">
        <v>2168</v>
      </c>
      <c r="B48" s="3">
        <f>_xlfn.IFNA(_xlfn.XLOOKUP(A48,'Price list'!J:J,'Price list'!K:K),0)</f>
        <v>16000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156">
        <v>0</v>
      </c>
      <c r="J48" s="26">
        <f t="shared" si="4"/>
        <v>0</v>
      </c>
      <c r="K48" s="3">
        <f t="shared" si="0"/>
        <v>0</v>
      </c>
      <c r="L48" s="3">
        <f t="shared" si="10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2169</v>
      </c>
      <c r="B49" s="3">
        <f>_xlfn.IFNA(_xlfn.XLOOKUP(A49,'Price list'!J:J,'Price list'!K:K),0)</f>
        <v>5000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156">
        <v>0</v>
      </c>
      <c r="J49" s="26">
        <f t="shared" si="4"/>
        <v>0</v>
      </c>
      <c r="K49" s="3">
        <f t="shared" si="0"/>
        <v>0</v>
      </c>
      <c r="L49" s="3">
        <f t="shared" si="10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s="186" customFormat="1" x14ac:dyDescent="0.35">
      <c r="A50" s="186" t="s">
        <v>3894</v>
      </c>
      <c r="B50" s="187">
        <f>_xlfn.IFNA(_xlfn.XLOOKUP(A50,'Price list'!J:J,'Price list'!K:K),0)</f>
        <v>4500</v>
      </c>
      <c r="C50" s="186" t="s">
        <v>9</v>
      </c>
      <c r="E50" s="187"/>
      <c r="F50" s="187"/>
      <c r="G50" s="187" t="s">
        <v>23</v>
      </c>
      <c r="H50" s="187" t="str">
        <f>IF(G50=0,"",_xlfn.XLOOKUP(G50,List_item!A:A,List_item!B:B))</f>
        <v>Boneless BL Fresh HJA</v>
      </c>
      <c r="I50" s="188">
        <v>1084.0999999999999</v>
      </c>
      <c r="J50" s="189">
        <f t="shared" si="4"/>
        <v>5.7684223968670345E-2</v>
      </c>
      <c r="K50" s="187">
        <f t="shared" si="0"/>
        <v>4878450</v>
      </c>
      <c r="L50" s="187">
        <f t="shared" si="10"/>
        <v>4720.7381533166363</v>
      </c>
      <c r="M50" s="187">
        <f t="shared" si="2"/>
        <v>5117752.2320105648</v>
      </c>
      <c r="N50" s="187">
        <f t="shared" si="3"/>
        <v>-220.73815331663627</v>
      </c>
      <c r="O50" s="187">
        <f t="shared" si="5"/>
        <v>-239302.23201056477</v>
      </c>
      <c r="P50" s="187"/>
    </row>
    <row r="51" spans="1:16" x14ac:dyDescent="0.35">
      <c r="A51" t="s">
        <v>2170</v>
      </c>
      <c r="B51" s="3">
        <f>_xlfn.IFNA(_xlfn.XLOOKUP(A51,'Price list'!J:J,'Price list'!K:K),0)</f>
        <v>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156">
        <v>0</v>
      </c>
      <c r="J51" s="26">
        <f t="shared" si="4"/>
        <v>0</v>
      </c>
      <c r="K51" s="3">
        <f t="shared" si="0"/>
        <v>0</v>
      </c>
      <c r="L51" s="3">
        <f t="shared" si="10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2171</v>
      </c>
      <c r="B52" s="3">
        <f>_xlfn.IFNA(_xlfn.XLOOKUP(A52,'Price list'!J:J,'Price list'!K:K),0)</f>
        <v>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156">
        <v>0</v>
      </c>
      <c r="J52" s="26">
        <f t="shared" si="4"/>
        <v>0</v>
      </c>
      <c r="K52" s="3">
        <f t="shared" si="0"/>
        <v>0</v>
      </c>
      <c r="L52" s="3">
        <f t="shared" si="10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3895</v>
      </c>
      <c r="B53" s="3">
        <f>_xlfn.IFNA(_xlfn.XLOOKUP(A53,'Price list'!J:J,'Price list'!K:K),0)</f>
        <v>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156">
        <v>0</v>
      </c>
      <c r="J53" s="26">
        <f t="shared" si="4"/>
        <v>0</v>
      </c>
      <c r="K53" s="3">
        <f t="shared" si="0"/>
        <v>0</v>
      </c>
      <c r="L53" s="3">
        <f t="shared" si="10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3896</v>
      </c>
      <c r="B54" s="3">
        <f>_xlfn.IFNA(_xlfn.XLOOKUP(A54,'Price list'!J:J,'Price list'!K:K),0)</f>
        <v>34000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156">
        <v>0</v>
      </c>
      <c r="J54" s="26">
        <f t="shared" si="4"/>
        <v>0</v>
      </c>
      <c r="K54" s="3">
        <f t="shared" si="0"/>
        <v>0</v>
      </c>
      <c r="L54" s="3">
        <f t="shared" si="10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s="186" customFormat="1" x14ac:dyDescent="0.35">
      <c r="A55" s="186" t="s">
        <v>3897</v>
      </c>
      <c r="B55" s="187">
        <f>_xlfn.IFNA(_xlfn.XLOOKUP(A55,'Price list'!J:J,'Price list'!K:K),0)</f>
        <v>34000</v>
      </c>
      <c r="C55" s="186" t="s">
        <v>9</v>
      </c>
      <c r="E55" s="187"/>
      <c r="F55" s="187"/>
      <c r="G55" s="187" t="s">
        <v>571</v>
      </c>
      <c r="H55" s="187" t="str">
        <f>IF(G55=0,"",_xlfn.XLOOKUP(G55,List_item!A:A,List_item!B:B))</f>
        <v>Karkas Uk 0.5 Karkas Uk 0.5 Frozen Grade A</v>
      </c>
      <c r="I55" s="188">
        <v>32.6</v>
      </c>
      <c r="J55" s="189">
        <f t="shared" si="4"/>
        <v>1.7346238367112383E-3</v>
      </c>
      <c r="K55" s="187">
        <f t="shared" si="0"/>
        <v>1108400</v>
      </c>
      <c r="L55" s="187">
        <f t="shared" si="10"/>
        <v>35667.799380614582</v>
      </c>
      <c r="M55" s="187">
        <f t="shared" si="2"/>
        <v>1162770.2598080353</v>
      </c>
      <c r="N55" s="187">
        <f t="shared" si="3"/>
        <v>-1667.7993806145823</v>
      </c>
      <c r="O55" s="187">
        <f t="shared" si="5"/>
        <v>-54370.259808035335</v>
      </c>
      <c r="P55" s="187"/>
    </row>
    <row r="56" spans="1:16" s="186" customFormat="1" x14ac:dyDescent="0.35">
      <c r="A56" s="186" t="s">
        <v>3898</v>
      </c>
      <c r="B56" s="187">
        <f>_xlfn.IFNA(_xlfn.XLOOKUP(A56,'Price list'!J:J,'Price list'!K:K),0)</f>
        <v>34000</v>
      </c>
      <c r="C56" s="186" t="s">
        <v>9</v>
      </c>
      <c r="E56" s="187"/>
      <c r="F56" s="187"/>
      <c r="G56" s="187" t="s">
        <v>636</v>
      </c>
      <c r="H56" s="187" t="str">
        <f>IF(G56=0,"",_xlfn.XLOOKUP(G56,List_item!A:A,List_item!B:B))</f>
        <v>Karkas Uk 0.6 Karkas Uk 0.6 Frozen Grade A</v>
      </c>
      <c r="I56" s="188">
        <v>79.900000000000006</v>
      </c>
      <c r="J56" s="189">
        <f t="shared" si="4"/>
        <v>4.2514246795468695E-3</v>
      </c>
      <c r="K56" s="187">
        <f t="shared" si="0"/>
        <v>2716600</v>
      </c>
      <c r="L56" s="187">
        <f t="shared" si="10"/>
        <v>35667.799380614575</v>
      </c>
      <c r="M56" s="187">
        <f t="shared" si="2"/>
        <v>2849857.1705111046</v>
      </c>
      <c r="N56" s="187">
        <f t="shared" si="3"/>
        <v>-1667.7993806145751</v>
      </c>
      <c r="O56" s="187">
        <f t="shared" si="5"/>
        <v>-133257.17051110463</v>
      </c>
      <c r="P56" s="187"/>
    </row>
    <row r="57" spans="1:16" s="186" customFormat="1" x14ac:dyDescent="0.35">
      <c r="A57" s="186" t="s">
        <v>3899</v>
      </c>
      <c r="B57" s="187">
        <f>_xlfn.IFNA(_xlfn.XLOOKUP(A57,'Price list'!J:J,'Price list'!K:K),0)</f>
        <v>34000</v>
      </c>
      <c r="C57" s="186" t="s">
        <v>9</v>
      </c>
      <c r="E57" s="187"/>
      <c r="F57" s="187"/>
      <c r="G57" s="187" t="s">
        <v>701</v>
      </c>
      <c r="H57" s="187" t="str">
        <f>IF(G57=0,"",_xlfn.XLOOKUP(G57,List_item!A:A,List_item!B:B))</f>
        <v>Karkas Uk 0.7 Karkas Uk 0.7 Frozen Grade A</v>
      </c>
      <c r="I57" s="188">
        <v>168.1</v>
      </c>
      <c r="J57" s="189">
        <f t="shared" si="4"/>
        <v>8.9444867162932259E-3</v>
      </c>
      <c r="K57" s="187">
        <f t="shared" si="0"/>
        <v>5715400</v>
      </c>
      <c r="L57" s="187">
        <f t="shared" si="10"/>
        <v>35667.799380614582</v>
      </c>
      <c r="M57" s="187">
        <f t="shared" si="2"/>
        <v>5995757.0758813107</v>
      </c>
      <c r="N57" s="187">
        <f t="shared" si="3"/>
        <v>-1667.7993806145823</v>
      </c>
      <c r="O57" s="187">
        <f t="shared" si="5"/>
        <v>-280357.07588131074</v>
      </c>
      <c r="P57" s="187"/>
    </row>
    <row r="58" spans="1:16" s="186" customFormat="1" x14ac:dyDescent="0.35">
      <c r="A58" s="186" t="s">
        <v>3899</v>
      </c>
      <c r="B58" s="187">
        <f>_xlfn.IFNA(_xlfn.XLOOKUP(A58,'Price list'!J:J,'Price list'!K:K),0)</f>
        <v>34000</v>
      </c>
      <c r="C58" s="186" t="s">
        <v>9</v>
      </c>
      <c r="E58" s="187"/>
      <c r="F58" s="187"/>
      <c r="G58" s="187" t="s">
        <v>668</v>
      </c>
      <c r="H58" s="187" t="str">
        <f>IF(G58=0,"",_xlfn.XLOOKUP(G58,List_item!A:A,List_item!B:B))</f>
        <v>Karkas Uk 0.7 Karkas Uk 0.7 Fresh Grade A</v>
      </c>
      <c r="I58" s="188">
        <v>21.4</v>
      </c>
      <c r="J58" s="189">
        <f t="shared" ref="J58" si="11">IF(F58/J$5&gt;0,F58/J$5,I58/J$5)</f>
        <v>1.1386794510926533E-3</v>
      </c>
      <c r="K58" s="187">
        <f t="shared" ref="K58" si="12">+B58*(F58+I58)</f>
        <v>727600</v>
      </c>
      <c r="L58" s="187">
        <f t="shared" ref="L58" si="13">IFERROR(((K58/$K$11)*$F$11)/(F58+I58),0)</f>
        <v>35667.799380614582</v>
      </c>
      <c r="M58" s="187">
        <f t="shared" ref="M58" si="14">+L58*(F58+I58)</f>
        <v>763290.90674515197</v>
      </c>
      <c r="N58" s="187">
        <f t="shared" ref="N58" si="15">IF(L58=0,0,B58-L58)</f>
        <v>-1667.7993806145823</v>
      </c>
      <c r="O58" s="187">
        <f t="shared" ref="O58" si="16">+K58-M58</f>
        <v>-35690.906745151966</v>
      </c>
      <c r="P58" s="187"/>
    </row>
    <row r="59" spans="1:16" s="186" customFormat="1" x14ac:dyDescent="0.35">
      <c r="A59" s="186" t="s">
        <v>3900</v>
      </c>
      <c r="B59" s="187">
        <f>_xlfn.IFNA(_xlfn.XLOOKUP(A59,'Price list'!J:J,'Price list'!K:K),0)</f>
        <v>34000</v>
      </c>
      <c r="C59" s="186" t="s">
        <v>9</v>
      </c>
      <c r="E59" s="187"/>
      <c r="F59" s="187"/>
      <c r="G59" s="187" t="s">
        <v>766</v>
      </c>
      <c r="H59" s="187" t="str">
        <f>IF(G59=0,"",_xlfn.XLOOKUP(G59,List_item!A:A,List_item!B:B))</f>
        <v>Karkas Uk 0.8 Karkas Uk 0.8 Frozen Grade A</v>
      </c>
      <c r="I59" s="188">
        <v>259.39999999999998</v>
      </c>
      <c r="J59" s="189">
        <f t="shared" si="4"/>
        <v>1.3802497645487582E-2</v>
      </c>
      <c r="K59" s="187">
        <f t="shared" si="0"/>
        <v>8819600</v>
      </c>
      <c r="L59" s="187">
        <f t="shared" si="10"/>
        <v>35667.799380614582</v>
      </c>
      <c r="M59" s="187">
        <f t="shared" si="2"/>
        <v>9252227.1593314223</v>
      </c>
      <c r="N59" s="187">
        <f t="shared" si="3"/>
        <v>-1667.7993806145823</v>
      </c>
      <c r="O59" s="187">
        <f t="shared" si="5"/>
        <v>-432627.1593314223</v>
      </c>
      <c r="P59" s="187"/>
    </row>
    <row r="60" spans="1:16" s="186" customFormat="1" x14ac:dyDescent="0.35">
      <c r="A60" s="186" t="s">
        <v>3901</v>
      </c>
      <c r="B60" s="187">
        <f>_xlfn.IFNA(_xlfn.XLOOKUP(A60,'Price list'!J:J,'Price list'!K:K),0)</f>
        <v>34000</v>
      </c>
      <c r="C60" s="186" t="s">
        <v>9</v>
      </c>
      <c r="E60" s="187"/>
      <c r="F60" s="187"/>
      <c r="G60" s="187" t="s">
        <v>831</v>
      </c>
      <c r="H60" s="187" t="str">
        <f>IF(G60=0,"",_xlfn.XLOOKUP(G60,List_item!A:A,List_item!B:B))</f>
        <v>Karkas Uk 0.9 Karkas Uk 0.9 Frozen Grade A</v>
      </c>
      <c r="I60" s="188">
        <v>295.39999999999998</v>
      </c>
      <c r="J60" s="189">
        <f t="shared" si="4"/>
        <v>1.5718033170690177E-2</v>
      </c>
      <c r="K60" s="187">
        <f t="shared" si="0"/>
        <v>10043600</v>
      </c>
      <c r="L60" s="187">
        <f t="shared" si="10"/>
        <v>35667.799380614582</v>
      </c>
      <c r="M60" s="187">
        <f t="shared" si="2"/>
        <v>10536267.937033547</v>
      </c>
      <c r="N60" s="187">
        <f t="shared" si="3"/>
        <v>-1667.7993806145823</v>
      </c>
      <c r="O60" s="187">
        <f t="shared" si="5"/>
        <v>-492667.93703354709</v>
      </c>
      <c r="P60" s="187"/>
    </row>
    <row r="61" spans="1:16" s="186" customFormat="1" x14ac:dyDescent="0.35">
      <c r="A61" s="186" t="s">
        <v>3902</v>
      </c>
      <c r="B61" s="187">
        <f>_xlfn.IFNA(_xlfn.XLOOKUP(A61,'Price list'!J:J,'Price list'!K:K),0)</f>
        <v>34000</v>
      </c>
      <c r="C61" s="186" t="s">
        <v>9</v>
      </c>
      <c r="E61" s="187"/>
      <c r="F61" s="187"/>
      <c r="G61" s="187" t="s">
        <v>896</v>
      </c>
      <c r="H61" s="187" t="str">
        <f>IF(G61=0,"",_xlfn.XLOOKUP(G61,List_item!A:A,List_item!B:B))</f>
        <v>Karkas Uk 1.0 Karkas Uk 1.0 Frozen Grade A</v>
      </c>
      <c r="I61" s="188">
        <v>216.3</v>
      </c>
      <c r="J61" s="189">
        <f t="shared" si="4"/>
        <v>1.1509175947258922E-2</v>
      </c>
      <c r="K61" s="187">
        <f t="shared" si="0"/>
        <v>7354200</v>
      </c>
      <c r="L61" s="187">
        <f t="shared" si="10"/>
        <v>35667.799380614582</v>
      </c>
      <c r="M61" s="187">
        <f t="shared" si="2"/>
        <v>7714945.0060269348</v>
      </c>
      <c r="N61" s="187">
        <f t="shared" si="3"/>
        <v>-1667.7993806145823</v>
      </c>
      <c r="O61" s="187">
        <f t="shared" si="5"/>
        <v>-360745.00602693483</v>
      </c>
      <c r="P61" s="187"/>
    </row>
    <row r="62" spans="1:16" s="186" customFormat="1" x14ac:dyDescent="0.35">
      <c r="A62" s="186" t="s">
        <v>3902</v>
      </c>
      <c r="B62" s="187">
        <f>_xlfn.IFNA(_xlfn.XLOOKUP(A62,'Price list'!J:J,'Price list'!K:K),0)</f>
        <v>34000</v>
      </c>
      <c r="C62" s="186" t="s">
        <v>9</v>
      </c>
      <c r="E62" s="187"/>
      <c r="F62" s="187"/>
      <c r="G62" s="187" t="s">
        <v>863</v>
      </c>
      <c r="H62" s="187" t="str">
        <f>IF(G62=0,"",_xlfn.XLOOKUP(G62,List_item!A:A,List_item!B:B))</f>
        <v>Karkas Uk 1.0 Karkas Uk 1.0 Fresh Grade A</v>
      </c>
      <c r="I62" s="188">
        <v>6</v>
      </c>
      <c r="J62" s="189">
        <f t="shared" ref="J62" si="17">IF(F62/J$5&gt;0,F62/J$5,I62/J$5)</f>
        <v>3.1925592086709905E-4</v>
      </c>
      <c r="K62" s="187">
        <f t="shared" ref="K62" si="18">+B62*(F62+I62)</f>
        <v>204000</v>
      </c>
      <c r="L62" s="187">
        <f t="shared" ref="L62" si="19">IFERROR(((K62/$K$11)*$F$11)/(F62+I62),0)</f>
        <v>35667.799380614582</v>
      </c>
      <c r="M62" s="187">
        <f t="shared" ref="M62" si="20">+L62*(F62+I62)</f>
        <v>214006.79628368749</v>
      </c>
      <c r="N62" s="187">
        <f t="shared" ref="N62" si="21">IF(L62=0,0,B62-L62)</f>
        <v>-1667.7993806145823</v>
      </c>
      <c r="O62" s="187">
        <f t="shared" ref="O62" si="22">+K62-M62</f>
        <v>-10006.796283687494</v>
      </c>
      <c r="P62" s="187"/>
    </row>
    <row r="63" spans="1:16" s="186" customFormat="1" x14ac:dyDescent="0.35">
      <c r="A63" s="186" t="s">
        <v>3903</v>
      </c>
      <c r="B63" s="187">
        <f>_xlfn.IFNA(_xlfn.XLOOKUP(A63,'Price list'!J:J,'Price list'!K:K),0)</f>
        <v>34000</v>
      </c>
      <c r="C63" s="186" t="s">
        <v>9</v>
      </c>
      <c r="E63" s="187"/>
      <c r="F63" s="187"/>
      <c r="G63" s="187" t="s">
        <v>962</v>
      </c>
      <c r="H63" s="187" t="str">
        <f>IF(G63=0,"",_xlfn.XLOOKUP(G63,List_item!A:A,List_item!B:B))</f>
        <v>Karkas Uk 1.1 Karkas Uk 1.1 Frozen Grade A</v>
      </c>
      <c r="I63" s="188">
        <v>206.1</v>
      </c>
      <c r="J63" s="189">
        <f t="shared" si="4"/>
        <v>1.0966440881784853E-2</v>
      </c>
      <c r="K63" s="187">
        <f t="shared" si="0"/>
        <v>7007400</v>
      </c>
      <c r="L63" s="187">
        <f t="shared" si="10"/>
        <v>35667.799380614582</v>
      </c>
      <c r="M63" s="187">
        <f t="shared" si="2"/>
        <v>7351133.4523446653</v>
      </c>
      <c r="N63" s="187">
        <f t="shared" si="3"/>
        <v>-1667.7993806145823</v>
      </c>
      <c r="O63" s="187">
        <f t="shared" si="5"/>
        <v>-343733.4523446653</v>
      </c>
      <c r="P63" s="187"/>
    </row>
    <row r="64" spans="1:16" s="186" customFormat="1" x14ac:dyDescent="0.35">
      <c r="A64" s="186" t="s">
        <v>3904</v>
      </c>
      <c r="B64" s="187">
        <f>_xlfn.IFNA(_xlfn.XLOOKUP(A64,'Price list'!J:J,'Price list'!K:K),0)</f>
        <v>34000</v>
      </c>
      <c r="C64" s="186" t="s">
        <v>9</v>
      </c>
      <c r="E64" s="187"/>
      <c r="F64" s="187"/>
      <c r="G64" s="187" t="s">
        <v>1028</v>
      </c>
      <c r="H64" s="187" t="str">
        <f>IF(G64=0,"",_xlfn.XLOOKUP(G64,List_item!A:A,List_item!B:B))</f>
        <v>Karkas Uk 1.2 Karkas Uk 1.2 Frozen Grade A</v>
      </c>
      <c r="I64" s="188">
        <v>149.9</v>
      </c>
      <c r="J64" s="189">
        <f t="shared" si="4"/>
        <v>7.9760770896630251E-3</v>
      </c>
      <c r="K64" s="187">
        <f t="shared" si="0"/>
        <v>5096600</v>
      </c>
      <c r="L64" s="187">
        <f t="shared" si="10"/>
        <v>35667.799380614575</v>
      </c>
      <c r="M64" s="187">
        <f t="shared" si="2"/>
        <v>5346603.1271541249</v>
      </c>
      <c r="N64" s="187">
        <f t="shared" si="3"/>
        <v>-1667.7993806145751</v>
      </c>
      <c r="O64" s="187">
        <f t="shared" si="5"/>
        <v>-250003.1271541249</v>
      </c>
      <c r="P64" s="187"/>
    </row>
    <row r="65" spans="1:17" s="186" customFormat="1" x14ac:dyDescent="0.35">
      <c r="A65" s="186" t="s">
        <v>3904</v>
      </c>
      <c r="B65" s="187">
        <f>_xlfn.IFNA(_xlfn.XLOOKUP(A65,'Price list'!J:J,'Price list'!K:K),0)</f>
        <v>34000</v>
      </c>
      <c r="C65" s="186" t="s">
        <v>9</v>
      </c>
      <c r="E65" s="187"/>
      <c r="F65" s="187"/>
      <c r="G65" s="187" t="s">
        <v>996</v>
      </c>
      <c r="H65" s="187" t="str">
        <f>IF(G65=0,"",_xlfn.XLOOKUP(G65,List_item!A:A,List_item!B:B))</f>
        <v>Karkas Uk 1.2 Karkas Uk 1.2 Fresh Grade A</v>
      </c>
      <c r="I65" s="188">
        <v>10</v>
      </c>
      <c r="J65" s="189">
        <f t="shared" ref="J65" si="23">IF(F65/J$5&gt;0,F65/J$5,I65/J$5)</f>
        <v>5.320932014451651E-4</v>
      </c>
      <c r="K65" s="187">
        <f t="shared" ref="K65" si="24">+B65*(F65+I65)</f>
        <v>340000</v>
      </c>
      <c r="L65" s="187">
        <f t="shared" ref="L65" si="25">IFERROR(((K65/$K$11)*$F$11)/(F65+I65),0)</f>
        <v>35667.799380614582</v>
      </c>
      <c r="M65" s="187">
        <f t="shared" ref="M65" si="26">+L65*(F65+I65)</f>
        <v>356677.99380614585</v>
      </c>
      <c r="N65" s="187">
        <f t="shared" ref="N65" si="27">IF(L65=0,0,B65-L65)</f>
        <v>-1667.7993806145823</v>
      </c>
      <c r="O65" s="187">
        <f t="shared" ref="O65" si="28">+K65-M65</f>
        <v>-16677.993806145852</v>
      </c>
      <c r="P65" s="187"/>
    </row>
    <row r="66" spans="1:17" s="186" customFormat="1" x14ac:dyDescent="0.35">
      <c r="A66" s="186" t="s">
        <v>3905</v>
      </c>
      <c r="B66" s="187">
        <f>_xlfn.IFNA(_xlfn.XLOOKUP(A66,'Price list'!J:J,'Price list'!K:K),0)</f>
        <v>34000</v>
      </c>
      <c r="C66" s="186" t="s">
        <v>9</v>
      </c>
      <c r="E66" s="187"/>
      <c r="F66" s="187"/>
      <c r="G66" s="187" t="s">
        <v>1094</v>
      </c>
      <c r="H66" s="187" t="str">
        <f>IF(G66=0,"",_xlfn.XLOOKUP(G66,List_item!A:A,List_item!B:B))</f>
        <v>Karkas Uk 1.3 Karkas Uk 1.3 Frozen Grade A</v>
      </c>
      <c r="I66" s="188">
        <v>77.900000000000006</v>
      </c>
      <c r="J66" s="189">
        <f t="shared" si="4"/>
        <v>4.1450060392578363E-3</v>
      </c>
      <c r="K66" s="187">
        <f t="shared" si="0"/>
        <v>2648600</v>
      </c>
      <c r="L66" s="187">
        <f t="shared" si="10"/>
        <v>35667.799380614575</v>
      </c>
      <c r="M66" s="187">
        <f t="shared" si="2"/>
        <v>2778521.5717498758</v>
      </c>
      <c r="N66" s="187">
        <f t="shared" si="3"/>
        <v>-1667.7993806145751</v>
      </c>
      <c r="O66" s="187">
        <f t="shared" si="5"/>
        <v>-129921.57174987579</v>
      </c>
      <c r="P66" s="187"/>
    </row>
    <row r="67" spans="1:17" s="186" customFormat="1" x14ac:dyDescent="0.35">
      <c r="A67" s="186" t="s">
        <v>3906</v>
      </c>
      <c r="B67" s="187">
        <f>_xlfn.IFNA(_xlfn.XLOOKUP(A67,'Price list'!J:J,'Price list'!K:K),0)</f>
        <v>34000</v>
      </c>
      <c r="C67" s="186" t="s">
        <v>9</v>
      </c>
      <c r="E67" s="187"/>
      <c r="F67" s="187"/>
      <c r="G67" s="187" t="s">
        <v>1160</v>
      </c>
      <c r="H67" s="187" t="str">
        <f>IF(G67=0,"",_xlfn.XLOOKUP(G67,List_item!A:A,List_item!B:B))</f>
        <v>Karkas Uk 1.4 Karkas Uk 1.4 Frozen Grade A</v>
      </c>
      <c r="I67" s="188">
        <v>17.899999999999999</v>
      </c>
      <c r="J67" s="189">
        <f t="shared" si="4"/>
        <v>9.5244683058684553E-4</v>
      </c>
      <c r="K67" s="187">
        <f t="shared" si="0"/>
        <v>608600</v>
      </c>
      <c r="L67" s="187">
        <f t="shared" si="10"/>
        <v>35667.799380614582</v>
      </c>
      <c r="M67" s="187">
        <f t="shared" si="2"/>
        <v>638453.60891300102</v>
      </c>
      <c r="N67" s="187">
        <f t="shared" si="3"/>
        <v>-1667.7993806145823</v>
      </c>
      <c r="O67" s="187">
        <f t="shared" si="5"/>
        <v>-29853.608913001022</v>
      </c>
      <c r="P67" s="187"/>
    </row>
    <row r="68" spans="1:17" x14ac:dyDescent="0.35">
      <c r="A68" t="s">
        <v>3907</v>
      </c>
      <c r="B68" s="3">
        <f>_xlfn.IFNA(_xlfn.XLOOKUP(A68,'Price list'!J:J,'Price list'!K:K),0)</f>
        <v>34000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156">
        <v>0</v>
      </c>
      <c r="J68" s="26">
        <f t="shared" si="4"/>
        <v>0</v>
      </c>
      <c r="K68" s="3">
        <f t="shared" si="0"/>
        <v>0</v>
      </c>
      <c r="L68" s="3">
        <f t="shared" si="10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7" x14ac:dyDescent="0.35">
      <c r="A69" t="s">
        <v>3908</v>
      </c>
      <c r="B69" s="3">
        <f>_xlfn.IFNA(_xlfn.XLOOKUP(A69,'Price list'!J:J,'Price list'!K:K),0)</f>
        <v>34000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156">
        <v>0</v>
      </c>
      <c r="J69" s="26">
        <f t="shared" si="4"/>
        <v>0</v>
      </c>
      <c r="K69" s="3">
        <f t="shared" si="0"/>
        <v>0</v>
      </c>
      <c r="L69" s="3">
        <f t="shared" si="10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7" x14ac:dyDescent="0.35">
      <c r="A70" t="s">
        <v>3909</v>
      </c>
      <c r="B70" s="3">
        <f>_xlfn.IFNA(_xlfn.XLOOKUP(A70,'Price list'!J:J,'Price list'!K:K),0)</f>
        <v>34000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156">
        <v>0</v>
      </c>
      <c r="J70" s="26">
        <f t="shared" si="4"/>
        <v>0</v>
      </c>
      <c r="K70" s="3">
        <f t="shared" si="0"/>
        <v>0</v>
      </c>
      <c r="L70" s="3">
        <f t="shared" si="10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7" x14ac:dyDescent="0.35">
      <c r="A71" t="s">
        <v>3945</v>
      </c>
      <c r="B71" s="3">
        <f>_xlfn.IFNA(_xlfn.XLOOKUP(A71,'Price list'!J:J,'Price list'!K:K),0)</f>
        <v>34000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156">
        <v>0</v>
      </c>
      <c r="J71" s="26">
        <f t="shared" si="4"/>
        <v>0</v>
      </c>
      <c r="K71" s="3">
        <f t="shared" si="0"/>
        <v>0</v>
      </c>
      <c r="L71" s="3">
        <f t="shared" si="10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7" x14ac:dyDescent="0.35">
      <c r="A72" t="s">
        <v>3911</v>
      </c>
      <c r="B72" s="3">
        <f>_xlfn.IFNA(_xlfn.XLOOKUP(A72,'Price list'!J:J,'Price list'!K:K),0)</f>
        <v>34000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156">
        <v>0</v>
      </c>
      <c r="J72" s="26">
        <f t="shared" si="4"/>
        <v>0</v>
      </c>
      <c r="K72" s="3">
        <f t="shared" si="0"/>
        <v>0</v>
      </c>
      <c r="L72" s="3">
        <f t="shared" si="10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7" x14ac:dyDescent="0.35">
      <c r="A73" t="s">
        <v>3912</v>
      </c>
      <c r="B73" s="3">
        <f>_xlfn.IFNA(_xlfn.XLOOKUP(A73,'Price list'!J:J,'Price list'!K:K),0)</f>
        <v>34000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156">
        <v>0</v>
      </c>
      <c r="J73" s="26">
        <f t="shared" si="4"/>
        <v>0</v>
      </c>
      <c r="K73" s="3">
        <f t="shared" si="0"/>
        <v>0</v>
      </c>
      <c r="L73" s="93">
        <f>IFERROR(((K73/$K$11)*$F$11)/(F73+I73),0)+IFERROR(((K73/SUMIF(H:H,"*Boneless*",K:K))*$F$6)/I73,0)</f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>
        <f>IFERROR(((K73/SUMIF(H:H,"*Boneless*",K:K))*$F$6),0)</f>
        <v>0</v>
      </c>
      <c r="Q73">
        <f>SUMIF(H:H,"*Boneless*",K:K)</f>
        <v>25941500</v>
      </c>
    </row>
    <row r="74" spans="1:17" x14ac:dyDescent="0.35">
      <c r="A74" t="s">
        <v>3913</v>
      </c>
      <c r="B74" s="3">
        <f>_xlfn.IFNA(_xlfn.XLOOKUP(A74,'Price list'!J:J,'Price list'!K:K),0)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156">
        <v>0</v>
      </c>
      <c r="J74" s="26">
        <f t="shared" si="4"/>
        <v>0</v>
      </c>
      <c r="K74" s="3">
        <f t="shared" si="0"/>
        <v>0</v>
      </c>
      <c r="L74" s="3">
        <f t="shared" ref="L74:L82" si="29">IFERROR(((K74/$K$11)*$F$11)/(F74+I74),0)</f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7" x14ac:dyDescent="0.35">
      <c r="A75" t="s">
        <v>3914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156">
        <v>0</v>
      </c>
      <c r="J75" s="26">
        <f t="shared" si="4"/>
        <v>0</v>
      </c>
      <c r="K75" s="3">
        <f t="shared" si="0"/>
        <v>0</v>
      </c>
      <c r="L75" s="3">
        <f t="shared" si="29"/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7" x14ac:dyDescent="0.35">
      <c r="A76" t="s">
        <v>4055</v>
      </c>
      <c r="B76" s="3">
        <f>_xlfn.IFNA(_xlfn.XLOOKUP(A76,'Price list'!J:J,'Price list'!K:K),0)</f>
        <v>45000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156">
        <v>0</v>
      </c>
      <c r="J76" s="26">
        <f t="shared" si="4"/>
        <v>0</v>
      </c>
      <c r="K76" s="3">
        <f t="shared" si="0"/>
        <v>0</v>
      </c>
      <c r="L76" s="3">
        <f t="shared" si="29"/>
        <v>0</v>
      </c>
      <c r="M76" s="3">
        <f t="shared" si="2"/>
        <v>0</v>
      </c>
      <c r="N76" s="3">
        <f t="shared" si="3"/>
        <v>0</v>
      </c>
      <c r="O76" s="3">
        <f t="shared" si="5"/>
        <v>0</v>
      </c>
      <c r="P76" s="3"/>
    </row>
    <row r="77" spans="1:17" x14ac:dyDescent="0.35">
      <c r="A77" t="s">
        <v>3916</v>
      </c>
      <c r="B77" s="3">
        <f>_xlfn.IFNA(_xlfn.XLOOKUP(A77,'Price list'!J:J,'Price list'!K:K),0)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156">
        <v>0</v>
      </c>
      <c r="J77" s="26">
        <f t="shared" si="4"/>
        <v>0</v>
      </c>
      <c r="K77" s="3">
        <f t="shared" si="0"/>
        <v>0</v>
      </c>
      <c r="L77" s="3">
        <f t="shared" si="29"/>
        <v>0</v>
      </c>
      <c r="M77" s="3">
        <f t="shared" si="2"/>
        <v>0</v>
      </c>
      <c r="N77" s="3">
        <f t="shared" si="3"/>
        <v>0</v>
      </c>
      <c r="O77" s="3">
        <f t="shared" si="5"/>
        <v>0</v>
      </c>
      <c r="P77" s="3"/>
    </row>
    <row r="78" spans="1:17" x14ac:dyDescent="0.35">
      <c r="A78" t="s">
        <v>4062</v>
      </c>
      <c r="B78" s="3">
        <f>_xlfn.IFNA(_xlfn.XLOOKUP(A78,'Price list'!J:J,'Price list'!K:K),0)</f>
        <v>44000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156">
        <v>0</v>
      </c>
      <c r="J78" s="26">
        <f t="shared" si="4"/>
        <v>0</v>
      </c>
      <c r="K78" s="3">
        <f t="shared" ref="K78:K83" si="30">+B78*(F78+I78)</f>
        <v>0</v>
      </c>
      <c r="L78" s="3">
        <f t="shared" si="29"/>
        <v>0</v>
      </c>
      <c r="M78" s="3">
        <f t="shared" ref="M78:M83" si="31">+L78*(F78+I78)</f>
        <v>0</v>
      </c>
      <c r="N78" s="3">
        <f t="shared" ref="N78:N83" si="32">IF(L78=0,0,B78-L78)</f>
        <v>0</v>
      </c>
      <c r="O78" s="3">
        <f t="shared" si="5"/>
        <v>0</v>
      </c>
      <c r="P78" s="3"/>
    </row>
    <row r="79" spans="1:17" x14ac:dyDescent="0.35">
      <c r="A79" t="s">
        <v>3918</v>
      </c>
      <c r="B79" s="3">
        <f>_xlfn.IFNA(_xlfn.XLOOKUP(A79,'Price list'!J:J,'Price list'!K:K),0)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156">
        <v>0</v>
      </c>
      <c r="J79" s="26">
        <f t="shared" ref="J79:J83" si="33">IF(F79/J$5&gt;0,F79/J$5,I79/J$5)</f>
        <v>0</v>
      </c>
      <c r="K79" s="3">
        <f t="shared" si="30"/>
        <v>0</v>
      </c>
      <c r="L79" s="3">
        <f t="shared" si="29"/>
        <v>0</v>
      </c>
      <c r="M79" s="3">
        <f t="shared" si="31"/>
        <v>0</v>
      </c>
      <c r="N79" s="3">
        <f t="shared" si="32"/>
        <v>0</v>
      </c>
      <c r="O79" s="3">
        <f t="shared" ref="O79:O83" si="34">+K79-M79</f>
        <v>0</v>
      </c>
      <c r="P79" s="3"/>
    </row>
    <row r="80" spans="1:17" x14ac:dyDescent="0.35">
      <c r="A80" t="s">
        <v>3919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156">
        <v>0</v>
      </c>
      <c r="J80" s="26">
        <f t="shared" si="33"/>
        <v>0</v>
      </c>
      <c r="K80" s="3">
        <f t="shared" si="30"/>
        <v>0</v>
      </c>
      <c r="L80" s="3">
        <f t="shared" si="29"/>
        <v>0</v>
      </c>
      <c r="M80" s="3">
        <f t="shared" si="31"/>
        <v>0</v>
      </c>
      <c r="N80" s="3">
        <f t="shared" si="32"/>
        <v>0</v>
      </c>
      <c r="O80" s="3">
        <f t="shared" si="34"/>
        <v>0</v>
      </c>
      <c r="P80" s="3"/>
    </row>
    <row r="81" spans="1:18" x14ac:dyDescent="0.35">
      <c r="A81" t="s">
        <v>3920</v>
      </c>
      <c r="B81" s="3">
        <f>_xlfn.IFNA(_xlfn.XLOOKUP(A81,'Price list'!J:J,'Price list'!K:K),0)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156">
        <v>0</v>
      </c>
      <c r="J81" s="26">
        <f t="shared" si="33"/>
        <v>0</v>
      </c>
      <c r="K81" s="3">
        <f t="shared" si="30"/>
        <v>0</v>
      </c>
      <c r="L81" s="3">
        <f t="shared" si="29"/>
        <v>0</v>
      </c>
      <c r="M81" s="3">
        <f t="shared" si="31"/>
        <v>0</v>
      </c>
      <c r="N81" s="3">
        <f t="shared" si="32"/>
        <v>0</v>
      </c>
      <c r="O81" s="3">
        <f t="shared" si="34"/>
        <v>0</v>
      </c>
      <c r="P81" s="3"/>
    </row>
    <row r="82" spans="1:18" x14ac:dyDescent="0.35">
      <c r="A82" t="s">
        <v>3921</v>
      </c>
      <c r="B82" s="3">
        <f>_xlfn.IFNA(_xlfn.XLOOKUP(A82,'Price list'!J:J,'Price list'!K:K),0)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156">
        <v>0</v>
      </c>
      <c r="J82" s="26">
        <f t="shared" si="33"/>
        <v>0</v>
      </c>
      <c r="K82" s="3">
        <f t="shared" si="30"/>
        <v>0</v>
      </c>
      <c r="L82" s="3">
        <f t="shared" si="29"/>
        <v>0</v>
      </c>
      <c r="M82" s="3">
        <f t="shared" si="31"/>
        <v>0</v>
      </c>
      <c r="N82" s="3">
        <f t="shared" si="32"/>
        <v>0</v>
      </c>
      <c r="O82" s="3">
        <f t="shared" si="34"/>
        <v>0</v>
      </c>
      <c r="P82" s="3"/>
    </row>
    <row r="83" spans="1:18" x14ac:dyDescent="0.35">
      <c r="A83" t="s">
        <v>3922</v>
      </c>
      <c r="B83" s="3">
        <f>_xlfn.IFNA(_xlfn.XLOOKUP(A83,'Price list'!J:J,'Price list'!K:K),0)</f>
        <v>0</v>
      </c>
      <c r="C83" t="s">
        <v>9</v>
      </c>
      <c r="E83" s="3"/>
      <c r="F83" s="3"/>
      <c r="G83" s="3"/>
      <c r="H83" s="3" t="str">
        <f>IF(G83=0,"",_xlfn.XLOOKUP(G83,List_item!A:A,List_item!B:B))</f>
        <v/>
      </c>
      <c r="I83" s="156">
        <v>0</v>
      </c>
      <c r="J83" s="26">
        <f t="shared" si="33"/>
        <v>0</v>
      </c>
      <c r="K83" s="3">
        <f t="shared" si="30"/>
        <v>0</v>
      </c>
      <c r="L83" s="93">
        <f>IFERROR(((K83/$K$11)*$F$11)/(F83+I83),0)+IFERROR(((K83/SUMIF(H:H,"*Boneless*",K:K))*$F$6)/I83,0)</f>
        <v>0</v>
      </c>
      <c r="M83" s="3">
        <f t="shared" si="31"/>
        <v>0</v>
      </c>
      <c r="N83" s="3">
        <f t="shared" si="32"/>
        <v>0</v>
      </c>
      <c r="O83" s="3">
        <f t="shared" si="34"/>
        <v>0</v>
      </c>
      <c r="P83" s="3">
        <f>IFERROR(((K83/SUMIF(H:H,"*Boneless*",K:K))*$F$6),0)</f>
        <v>0</v>
      </c>
      <c r="Q83">
        <f>SUMIF(H:H,"*Boneless*",K:K)</f>
        <v>25941500</v>
      </c>
    </row>
    <row r="84" spans="1:18" x14ac:dyDescent="0.35">
      <c r="A84" t="s">
        <v>3923</v>
      </c>
      <c r="B84" s="3">
        <f>_xlfn.IFNA(_xlfn.XLOOKUP(A84,'Price list'!J:J,'Price list'!K:K),0)</f>
        <v>0</v>
      </c>
      <c r="C84" t="s">
        <v>9</v>
      </c>
      <c r="E84" s="3"/>
      <c r="F84" s="3"/>
      <c r="G84" s="3"/>
      <c r="H84" s="3"/>
      <c r="I84" s="3"/>
      <c r="J84" s="26"/>
      <c r="K84" s="3"/>
      <c r="L84" s="109"/>
      <c r="M84" s="3"/>
      <c r="N84" s="3"/>
      <c r="O84" s="3"/>
      <c r="P84" s="3"/>
    </row>
    <row r="85" spans="1:18" x14ac:dyDescent="0.35">
      <c r="A85" t="s">
        <v>3924</v>
      </c>
      <c r="B85" s="3">
        <f>_xlfn.IFNA(_xlfn.XLOOKUP(A85,'Price list'!J:J,'Price list'!K:K),0)</f>
        <v>0</v>
      </c>
      <c r="C85" t="s">
        <v>9</v>
      </c>
      <c r="E85" s="3"/>
      <c r="F85" s="3"/>
      <c r="G85" s="3"/>
      <c r="H85" s="3"/>
      <c r="I85" s="3"/>
      <c r="J85" s="26"/>
      <c r="K85" s="3"/>
      <c r="L85" s="109"/>
      <c r="M85" s="3"/>
      <c r="N85" s="3"/>
      <c r="O85" s="3"/>
      <c r="P85" s="3"/>
    </row>
    <row r="86" spans="1:18" x14ac:dyDescent="0.35">
      <c r="A86" t="s">
        <v>4060</v>
      </c>
      <c r="B86" s="3">
        <f>_xlfn.IFNA(_xlfn.XLOOKUP(A86,'Price list'!J:J,'Price list'!K:K),0)</f>
        <v>36000</v>
      </c>
      <c r="C86" t="s">
        <v>9</v>
      </c>
      <c r="E86" s="3"/>
      <c r="F86" s="3"/>
      <c r="G86" s="3"/>
      <c r="H86" s="3"/>
      <c r="I86" s="3"/>
      <c r="J86" s="26"/>
      <c r="K86" s="3"/>
      <c r="L86" s="109"/>
      <c r="M86" s="3"/>
      <c r="N86" s="3"/>
      <c r="O86" s="3"/>
      <c r="P86" s="3"/>
    </row>
    <row r="87" spans="1:18" x14ac:dyDescent="0.35">
      <c r="B87" s="3"/>
      <c r="E87" s="3"/>
      <c r="F87" s="3"/>
      <c r="G87" s="3"/>
      <c r="H87" s="3"/>
      <c r="I87" s="3"/>
      <c r="J87" s="26"/>
      <c r="K87" s="3"/>
      <c r="L87" s="109"/>
      <c r="M87" s="3"/>
      <c r="N87" s="3"/>
      <c r="O87" s="3"/>
      <c r="P87" s="3"/>
    </row>
    <row r="89" spans="1:18" s="2" customFormat="1" x14ac:dyDescent="0.35">
      <c r="A89" t="s">
        <v>3929</v>
      </c>
      <c r="B89"/>
      <c r="C89"/>
      <c r="D89"/>
      <c r="E89"/>
      <c r="F89" s="117"/>
      <c r="G89" t="s">
        <v>3930</v>
      </c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  <row r="91" spans="1:18" s="2" customFormat="1" x14ac:dyDescent="0.35">
      <c r="A91"/>
      <c r="B91"/>
      <c r="C91"/>
      <c r="D91"/>
      <c r="E91"/>
      <c r="F91" s="117"/>
      <c r="G91"/>
      <c r="Q91"/>
      <c r="R91"/>
    </row>
    <row r="92" spans="1:18" s="2" customFormat="1" x14ac:dyDescent="0.35">
      <c r="A92"/>
      <c r="B92"/>
      <c r="C92"/>
      <c r="D92"/>
      <c r="E92"/>
      <c r="F92" s="117"/>
      <c r="G92"/>
      <c r="Q92"/>
      <c r="R92"/>
    </row>
    <row r="93" spans="1:18" s="2" customFormat="1" x14ac:dyDescent="0.35">
      <c r="A93"/>
      <c r="B93"/>
      <c r="C93"/>
      <c r="D93"/>
      <c r="E93"/>
      <c r="F93" s="117"/>
      <c r="G93"/>
      <c r="Q93"/>
      <c r="R93"/>
    </row>
    <row r="94" spans="1:18" s="2" customFormat="1" x14ac:dyDescent="0.35">
      <c r="A94"/>
      <c r="B94"/>
      <c r="C94"/>
      <c r="D94"/>
      <c r="E94"/>
      <c r="F94" s="117"/>
      <c r="G94"/>
      <c r="Q94"/>
      <c r="R94"/>
    </row>
    <row r="95" spans="1:18" s="2" customFormat="1" x14ac:dyDescent="0.35">
      <c r="A95" s="118"/>
      <c r="B95"/>
      <c r="C95"/>
      <c r="D95"/>
      <c r="E95"/>
      <c r="F95" s="117"/>
      <c r="G95" s="118"/>
      <c r="Q95"/>
      <c r="R95"/>
    </row>
    <row r="96" spans="1:18" s="2" customFormat="1" x14ac:dyDescent="0.35">
      <c r="A96"/>
      <c r="B96"/>
      <c r="C96"/>
      <c r="D96"/>
      <c r="E96"/>
      <c r="F96" s="117"/>
      <c r="G96"/>
      <c r="Q96"/>
      <c r="R96"/>
    </row>
  </sheetData>
  <autoFilter ref="A11:P83" xr:uid="{9E3D57EB-0D9F-40FE-B4FE-C94EEFF00F8F}"/>
  <conditionalFormatting sqref="O11">
    <cfRule type="cellIs" dxfId="23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67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FB94-4369-45BC-ADC4-1D0567CE1975}">
  <sheetPr>
    <tabColor theme="3" tint="0.499984740745262"/>
    <pageSetUpPr fitToPage="1"/>
  </sheetPr>
  <dimension ref="A1:R94"/>
  <sheetViews>
    <sheetView zoomScale="80" zoomScaleNormal="80" workbookViewId="0">
      <pane xSplit="3" ySplit="10" topLeftCell="D24" activePane="bottomRight" state="frozen"/>
      <selection activeCell="B23" sqref="B23"/>
      <selection pane="topRight" activeCell="B23" sqref="B23"/>
      <selection pane="bottomLeft" activeCell="B23" sqref="B23"/>
      <selection pane="bottomRight" activeCell="G57" sqref="A57:XFD66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51.6328125" style="2" bestFit="1" customWidth="1"/>
    <col min="8" max="8" width="42.453125" style="2" bestFit="1" customWidth="1"/>
    <col min="9" max="9" width="14.6328125" style="2" bestFit="1" customWidth="1"/>
    <col min="10" max="10" width="11.26953125" style="2" bestFit="1" customWidth="1"/>
    <col min="11" max="11" width="17.81640625" style="2" bestFit="1" customWidth="1"/>
    <col min="12" max="12" width="16.36328125" style="2" bestFit="1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+I9/E11</f>
        <v>3.7082857142857142</v>
      </c>
    </row>
    <row r="2" spans="1:18" x14ac:dyDescent="0.35">
      <c r="A2" s="18" t="s">
        <v>3865</v>
      </c>
      <c r="E2" s="159"/>
      <c r="F2" s="159"/>
      <c r="G2" s="19" t="s">
        <v>3943</v>
      </c>
    </row>
    <row r="3" spans="1:18" x14ac:dyDescent="0.35">
      <c r="A3" s="101" t="s">
        <v>3866</v>
      </c>
      <c r="B3" s="2">
        <f>((3100+3300+3202.8+3300+3354.8)+(3100))*25000</f>
        <v>483939999.99999994</v>
      </c>
      <c r="C3" s="19"/>
      <c r="E3" s="157"/>
      <c r="F3" s="157"/>
      <c r="G3" s="156" t="s">
        <v>4079</v>
      </c>
      <c r="H3" s="157" t="s">
        <v>4158</v>
      </c>
      <c r="I3" s="101" t="s">
        <v>3870</v>
      </c>
      <c r="J3" s="2" t="s">
        <v>4069</v>
      </c>
      <c r="Q3" s="25"/>
      <c r="R3" s="2"/>
    </row>
    <row r="4" spans="1:18" x14ac:dyDescent="0.35">
      <c r="A4" s="101" t="s">
        <v>3867</v>
      </c>
      <c r="B4" s="2">
        <f>5*1500000</f>
        <v>7500000</v>
      </c>
      <c r="E4"/>
      <c r="F4" s="157"/>
      <c r="G4" s="157" t="s">
        <v>4159</v>
      </c>
      <c r="H4" s="157" t="s">
        <v>4081</v>
      </c>
      <c r="I4" s="101" t="s">
        <v>3872</v>
      </c>
      <c r="J4" s="115">
        <v>46294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26303973.699999999</v>
      </c>
      <c r="E5" s="157"/>
      <c r="F5" s="157"/>
      <c r="G5" s="157" t="s">
        <v>4144</v>
      </c>
      <c r="H5" s="157" t="s">
        <v>4082</v>
      </c>
      <c r="I5" s="101" t="s">
        <v>3944</v>
      </c>
      <c r="J5" s="19">
        <f>(3100+3300+3202.8+3300+3354.8)+3100</f>
        <v>19357.599999999999</v>
      </c>
      <c r="K5" s="2">
        <v>18248.400000000001</v>
      </c>
      <c r="L5" s="2">
        <f>J5-K5</f>
        <v>1109.1999999999971</v>
      </c>
      <c r="M5" s="147">
        <f>L5/J5</f>
        <v>5.7300491796503553E-2</v>
      </c>
      <c r="N5" s="2">
        <f>4+4+2+10+36+4</f>
        <v>60</v>
      </c>
      <c r="O5" s="2">
        <f>5.2+6.2+3.2+17.4+48.3+5.8</f>
        <v>86.1</v>
      </c>
    </row>
    <row r="6" spans="1:18" x14ac:dyDescent="0.35">
      <c r="A6" s="102" t="s">
        <v>3869</v>
      </c>
      <c r="B6" s="19">
        <f>SUBTOTAL(9,B3:B5)</f>
        <v>517743973.69999993</v>
      </c>
      <c r="E6" s="149" t="s">
        <v>4054</v>
      </c>
      <c r="F6" s="93"/>
      <c r="I6" s="101"/>
      <c r="J6" s="19"/>
      <c r="M6" s="147"/>
    </row>
    <row r="7" spans="1:18" x14ac:dyDescent="0.35">
      <c r="B7" s="2">
        <f>B6+F6</f>
        <v>517743973.69999993</v>
      </c>
      <c r="Q7" s="25"/>
    </row>
    <row r="8" spans="1:18" ht="4.5" customHeight="1" x14ac:dyDescent="0.35">
      <c r="A8" s="101"/>
    </row>
    <row r="9" spans="1:18" x14ac:dyDescent="0.35">
      <c r="A9" s="8"/>
      <c r="B9" s="19"/>
      <c r="C9" s="18"/>
      <c r="E9" s="18"/>
      <c r="I9" s="2">
        <f>J9+3300.2*2</f>
        <v>25958</v>
      </c>
      <c r="J9" s="2">
        <f>J5-J7</f>
        <v>19357.599999999999</v>
      </c>
      <c r="K9" s="19" t="s">
        <v>3931</v>
      </c>
      <c r="L9" s="28">
        <f>SUM(K12:K64)/M11-1</f>
        <v>-3.1035172819433909E-2</v>
      </c>
    </row>
    <row r="10" spans="1:18" ht="28.5" customHeight="1" x14ac:dyDescent="0.35">
      <c r="A10" s="112" t="s">
        <v>27</v>
      </c>
      <c r="B10" s="119" t="s">
        <v>3938</v>
      </c>
      <c r="C10" s="112" t="s">
        <v>4</v>
      </c>
      <c r="D10" s="1"/>
      <c r="E10" s="113" t="s">
        <v>28</v>
      </c>
      <c r="F10" s="110" t="s">
        <v>6</v>
      </c>
      <c r="G10" s="110" t="s">
        <v>3937</v>
      </c>
      <c r="H10" s="120" t="s">
        <v>3926</v>
      </c>
      <c r="I10" s="110" t="s">
        <v>3835</v>
      </c>
      <c r="J10" s="119" t="s">
        <v>2177</v>
      </c>
      <c r="K10" s="119" t="s">
        <v>3932</v>
      </c>
      <c r="L10" s="119" t="s">
        <v>3935</v>
      </c>
      <c r="M10" s="120" t="s">
        <v>2173</v>
      </c>
      <c r="N10" s="121" t="s">
        <v>3939</v>
      </c>
      <c r="O10" s="121" t="s">
        <v>3936</v>
      </c>
      <c r="P10" s="110" t="s">
        <v>3826</v>
      </c>
    </row>
    <row r="11" spans="1:18" x14ac:dyDescent="0.35">
      <c r="A11" s="4"/>
      <c r="B11" s="24"/>
      <c r="C11" s="4"/>
      <c r="D11" s="1"/>
      <c r="E11" s="5">
        <v>7000</v>
      </c>
      <c r="F11" s="5">
        <f>+B6</f>
        <v>517743973.69999993</v>
      </c>
      <c r="G11" s="5"/>
      <c r="H11" s="5"/>
      <c r="I11" s="5">
        <f>SUM(I12:I87)</f>
        <v>16560.400000000001</v>
      </c>
      <c r="J11" s="148">
        <f>SUM(J12:J87)</f>
        <v>0.85549861553085094</v>
      </c>
      <c r="K11" s="5">
        <f>SUM(K12:K87)</f>
        <v>506989900</v>
      </c>
      <c r="L11" s="5"/>
      <c r="M11" s="5">
        <f>SUM(M12:M87)</f>
        <v>517743973.69999993</v>
      </c>
      <c r="N11" s="5"/>
      <c r="O11" s="5">
        <f>SUM(O12:O87)</f>
        <v>-10754073.699999919</v>
      </c>
    </row>
    <row r="12" spans="1:18" x14ac:dyDescent="0.35">
      <c r="A12" t="s">
        <v>3873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>IF(F12/J$5&gt;0,F12/J$5,I12/J$5)</f>
        <v>0</v>
      </c>
      <c r="K12" s="3">
        <f t="shared" ref="K12:K73" si="0">+B12*(F12+I12)</f>
        <v>0</v>
      </c>
      <c r="L12" s="27">
        <f t="shared" ref="L12:L31" si="1">IFERROR(((K12/$K$11)*$F$11)/(F12+I12),0)</f>
        <v>0</v>
      </c>
      <c r="M12" s="3">
        <f t="shared" ref="M12:M73" si="2">+L12*(F12+I12)</f>
        <v>0</v>
      </c>
      <c r="N12" s="3">
        <f t="shared" ref="N12:N73" si="3">IF(L12=0,0,B12-L12)</f>
        <v>0</v>
      </c>
      <c r="O12" s="3">
        <f>+K12-M12</f>
        <v>0</v>
      </c>
      <c r="P12" s="3"/>
    </row>
    <row r="13" spans="1:18" x14ac:dyDescent="0.35">
      <c r="A13" t="s">
        <v>3874</v>
      </c>
      <c r="B13" s="3">
        <f>_xlfn.IFNA(_xlfn.XLOOKUP(A13,'Price list'!J:J,'Price list'!K:K),0)</f>
        <v>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ref="J13:J74" si="4">IF(F13/J$5&gt;0,F13/J$5,I13/J$5)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ref="O13:O74" si="5">+K13-M13</f>
        <v>0</v>
      </c>
      <c r="P13" s="3"/>
      <c r="R13" s="3"/>
    </row>
    <row r="14" spans="1:18" s="186" customFormat="1" x14ac:dyDescent="0.35">
      <c r="A14" s="186" t="s">
        <v>3875</v>
      </c>
      <c r="B14" s="187">
        <f>_xlfn.IFNA(_xlfn.XLOOKUP(A14,'Price list'!J:J,'Price list'!K:K),0)</f>
        <v>37000</v>
      </c>
      <c r="C14" s="186" t="s">
        <v>9</v>
      </c>
      <c r="E14" s="187"/>
      <c r="F14" s="187"/>
      <c r="G14" s="187" t="s">
        <v>2219</v>
      </c>
      <c r="H14" s="187" t="str">
        <f>IF(G14=0,"",_xlfn.XLOOKUP(G14,List_item!A:A,List_item!B:B))</f>
        <v>Karkas Uk 0.5 Karkas Uk 0.5 Frozen Premium</v>
      </c>
      <c r="I14" s="188">
        <v>4.0999999999999996</v>
      </c>
      <c r="J14" s="189">
        <f t="shared" si="4"/>
        <v>2.1180311608877135E-4</v>
      </c>
      <c r="K14" s="187">
        <f t="shared" si="0"/>
        <v>151700</v>
      </c>
      <c r="L14" s="188">
        <f t="shared" si="1"/>
        <v>37784.829691676307</v>
      </c>
      <c r="M14" s="187">
        <f t="shared" si="2"/>
        <v>154917.80173587284</v>
      </c>
      <c r="N14" s="187">
        <f t="shared" si="3"/>
        <v>-784.82969167630654</v>
      </c>
      <c r="O14" s="187">
        <f t="shared" si="5"/>
        <v>-3217.8017358728393</v>
      </c>
      <c r="P14" s="187"/>
    </row>
    <row r="15" spans="1:18" s="186" customFormat="1" x14ac:dyDescent="0.35">
      <c r="A15" s="186" t="s">
        <v>3876</v>
      </c>
      <c r="B15" s="187">
        <f>_xlfn.IFNA(_xlfn.XLOOKUP(A15,'Price list'!J:J,'Price list'!K:K),0)</f>
        <v>37000</v>
      </c>
      <c r="C15" s="186" t="s">
        <v>9</v>
      </c>
      <c r="E15" s="187"/>
      <c r="F15" s="187"/>
      <c r="G15" s="187" t="s">
        <v>2220</v>
      </c>
      <c r="H15" s="187" t="str">
        <f>IF(G15=0,"",_xlfn.XLOOKUP(G15,List_item!A:A,List_item!B:B))</f>
        <v>Karkas Uk 0.6 Karkas Uk 0.6 Frozen Premium</v>
      </c>
      <c r="I15" s="188">
        <v>41.8</v>
      </c>
      <c r="J15" s="189">
        <f t="shared" si="4"/>
        <v>2.1593585981733274E-3</v>
      </c>
      <c r="K15" s="187">
        <f t="shared" si="0"/>
        <v>1546600</v>
      </c>
      <c r="L15" s="188">
        <f t="shared" si="1"/>
        <v>37784.829691676299</v>
      </c>
      <c r="M15" s="187">
        <f t="shared" si="2"/>
        <v>1579405.8811120691</v>
      </c>
      <c r="N15" s="187">
        <f t="shared" si="3"/>
        <v>-784.82969167629926</v>
      </c>
      <c r="O15" s="187">
        <f t="shared" si="5"/>
        <v>-32805.881112069124</v>
      </c>
      <c r="P15" s="187"/>
    </row>
    <row r="16" spans="1:18" s="186" customFormat="1" x14ac:dyDescent="0.35">
      <c r="A16" s="186" t="s">
        <v>3877</v>
      </c>
      <c r="B16" s="187">
        <f>_xlfn.IFNA(_xlfn.XLOOKUP(A16,'Price list'!J:J,'Price list'!K:K),0)</f>
        <v>37000</v>
      </c>
      <c r="C16" s="186" t="s">
        <v>9</v>
      </c>
      <c r="G16" s="187" t="s">
        <v>2221</v>
      </c>
      <c r="H16" s="187" t="str">
        <f>IF(G16=0,"",_xlfn.XLOOKUP(G16,List_item!A:A,List_item!B:B))</f>
        <v>Karkas Uk 0.7 Karkas Uk 0.7 Frozen Premium</v>
      </c>
      <c r="I16" s="188">
        <v>257.2</v>
      </c>
      <c r="J16" s="189">
        <f t="shared" si="4"/>
        <v>1.3286771087324876E-2</v>
      </c>
      <c r="K16" s="187">
        <f t="shared" si="0"/>
        <v>9516400</v>
      </c>
      <c r="L16" s="188">
        <f t="shared" si="1"/>
        <v>37784.829691676292</v>
      </c>
      <c r="M16" s="187">
        <f t="shared" si="2"/>
        <v>9718258.1966991425</v>
      </c>
      <c r="N16" s="187">
        <f t="shared" si="3"/>
        <v>-784.82969167629199</v>
      </c>
      <c r="O16" s="187">
        <f t="shared" si="5"/>
        <v>-201858.19669914246</v>
      </c>
      <c r="P16" s="187"/>
    </row>
    <row r="17" spans="1:17" s="186" customFormat="1" x14ac:dyDescent="0.35">
      <c r="A17" s="186" t="s">
        <v>3878</v>
      </c>
      <c r="B17" s="187">
        <f>_xlfn.IFNA(_xlfn.XLOOKUP(A17,'Price list'!J:J,'Price list'!K:K),0)</f>
        <v>37000</v>
      </c>
      <c r="C17" s="186" t="s">
        <v>9</v>
      </c>
      <c r="E17" s="187"/>
      <c r="G17" s="187" t="s">
        <v>2222</v>
      </c>
      <c r="H17" s="187" t="str">
        <f>IF(G17=0,"",_xlfn.XLOOKUP(G17,List_item!A:A,List_item!B:B))</f>
        <v>Karkas Uk 0.8 Frozen Premium</v>
      </c>
      <c r="I17" s="188">
        <v>300.2</v>
      </c>
      <c r="J17" s="189">
        <f t="shared" si="4"/>
        <v>1.5508120841426623E-2</v>
      </c>
      <c r="K17" s="187">
        <f t="shared" si="0"/>
        <v>11107400</v>
      </c>
      <c r="L17" s="188">
        <f t="shared" si="1"/>
        <v>37784.829691676299</v>
      </c>
      <c r="M17" s="187">
        <f t="shared" si="2"/>
        <v>11343005.873441225</v>
      </c>
      <c r="N17" s="187">
        <f t="shared" si="3"/>
        <v>-784.82969167629926</v>
      </c>
      <c r="O17" s="187">
        <f t="shared" si="5"/>
        <v>-235605.87344122492</v>
      </c>
      <c r="P17" s="187"/>
    </row>
    <row r="18" spans="1:17" s="186" customFormat="1" x14ac:dyDescent="0.35">
      <c r="A18" s="186" t="s">
        <v>3879</v>
      </c>
      <c r="B18" s="187">
        <f>_xlfn.IFNA(_xlfn.XLOOKUP(A18,'Price list'!J:J,'Price list'!K:K),0)</f>
        <v>37000</v>
      </c>
      <c r="C18" s="186" t="s">
        <v>9</v>
      </c>
      <c r="E18" s="187"/>
      <c r="G18" s="187" t="s">
        <v>2223</v>
      </c>
      <c r="H18" s="187" t="str">
        <f>IF(G18=0,"",_xlfn.XLOOKUP(G18,List_item!A:A,List_item!B:B))</f>
        <v>Karkas Uk 0.9 Frozen Premium</v>
      </c>
      <c r="I18" s="188">
        <v>1575.3</v>
      </c>
      <c r="J18" s="189">
        <f t="shared" si="4"/>
        <v>8.1378889945034519E-2</v>
      </c>
      <c r="K18" s="187">
        <f t="shared" si="0"/>
        <v>58286100</v>
      </c>
      <c r="L18" s="188">
        <f t="shared" si="1"/>
        <v>37784.829691676299</v>
      </c>
      <c r="M18" s="187">
        <f t="shared" si="2"/>
        <v>59522442.213297673</v>
      </c>
      <c r="N18" s="187">
        <f t="shared" si="3"/>
        <v>-784.82969167629926</v>
      </c>
      <c r="O18" s="187">
        <f t="shared" si="5"/>
        <v>-1236342.2132976726</v>
      </c>
      <c r="P18" s="187"/>
    </row>
    <row r="19" spans="1:17" s="186" customFormat="1" x14ac:dyDescent="0.35">
      <c r="A19" s="186" t="s">
        <v>3879</v>
      </c>
      <c r="B19" s="187">
        <f>_xlfn.IFNA(_xlfn.XLOOKUP(A19,'Price list'!J:J,'Price list'!K:K),0)</f>
        <v>37000</v>
      </c>
      <c r="C19" s="186" t="s">
        <v>9</v>
      </c>
      <c r="E19" s="190"/>
      <c r="G19" s="187" t="s">
        <v>826</v>
      </c>
      <c r="H19" s="187" t="str">
        <f>IF(G19=0,"",_xlfn.XLOOKUP(G19,List_item!A:A,List_item!B:B))</f>
        <v>Karkas Uk 0.9 Karkas Uk 0.9 Fresh Premium</v>
      </c>
      <c r="I19" s="188">
        <v>570.20000000000005</v>
      </c>
      <c r="J19" s="189">
        <f t="shared" si="4"/>
        <v>2.9456130925321327E-2</v>
      </c>
      <c r="K19" s="187">
        <f t="shared" si="0"/>
        <v>21097400</v>
      </c>
      <c r="L19" s="188">
        <f t="shared" si="1"/>
        <v>37784.829691676299</v>
      </c>
      <c r="M19" s="187">
        <f t="shared" si="2"/>
        <v>21544909.890193827</v>
      </c>
      <c r="N19" s="187">
        <f t="shared" si="3"/>
        <v>-784.82969167629926</v>
      </c>
      <c r="O19" s="187">
        <f t="shared" si="5"/>
        <v>-447509.89019382745</v>
      </c>
      <c r="P19" s="187"/>
    </row>
    <row r="20" spans="1:17" s="186" customFormat="1" x14ac:dyDescent="0.35">
      <c r="A20" s="186" t="s">
        <v>3880</v>
      </c>
      <c r="B20" s="187">
        <f>_xlfn.IFNA(_xlfn.XLOOKUP(A20,'Price list'!J:J,'Price list'!K:K),0)</f>
        <v>37000</v>
      </c>
      <c r="C20" s="186" t="s">
        <v>9</v>
      </c>
      <c r="E20" s="190"/>
      <c r="G20" s="187" t="s">
        <v>923</v>
      </c>
      <c r="H20" s="187" t="str">
        <f>IF(G20=0,"",_xlfn.XLOOKUP(G20,List_item!A:A,List_item!B:B))</f>
        <v>Karkas Uk 1.0 Karkas Uk 1.0 Frozen Premium</v>
      </c>
      <c r="I20" s="188">
        <v>828</v>
      </c>
      <c r="J20" s="189">
        <f t="shared" si="4"/>
        <v>4.2773897590610406E-2</v>
      </c>
      <c r="K20" s="187">
        <f t="shared" si="0"/>
        <v>30636000</v>
      </c>
      <c r="L20" s="188">
        <f t="shared" si="1"/>
        <v>37784.829691676299</v>
      </c>
      <c r="M20" s="187">
        <f t="shared" si="2"/>
        <v>31285838.984707978</v>
      </c>
      <c r="N20" s="187">
        <f t="shared" si="3"/>
        <v>-784.82969167629926</v>
      </c>
      <c r="O20" s="187">
        <f t="shared" si="5"/>
        <v>-649838.98470797762</v>
      </c>
      <c r="P20" s="187"/>
    </row>
    <row r="21" spans="1:17" s="186" customFormat="1" x14ac:dyDescent="0.35">
      <c r="A21" s="186" t="s">
        <v>3880</v>
      </c>
      <c r="B21" s="187">
        <f>_xlfn.IFNA(_xlfn.XLOOKUP(A21,'Price list'!J:J,'Price list'!K:K),0)</f>
        <v>37000</v>
      </c>
      <c r="C21" s="186" t="s">
        <v>9</v>
      </c>
      <c r="E21" s="190"/>
      <c r="G21" s="187" t="s">
        <v>891</v>
      </c>
      <c r="H21" s="187" t="str">
        <f>IF(G21=0,"",_xlfn.XLOOKUP(G21,List_item!A:A,List_item!B:B))</f>
        <v>Karkas Uk 1.0 Karkas Uk 1.0 Fresh Premium</v>
      </c>
      <c r="I21" s="188">
        <v>1264.9000000000001</v>
      </c>
      <c r="J21" s="189">
        <f t="shared" ref="J21" si="6">IF(F21/J$5&gt;0,F21/J$5,I21/J$5)</f>
        <v>6.5343844278216323E-2</v>
      </c>
      <c r="K21" s="187">
        <f t="shared" ref="K21" si="7">+B21*(F21+I21)</f>
        <v>46801300</v>
      </c>
      <c r="L21" s="188">
        <f t="shared" ref="L21" si="8">IFERROR(((K21/$K$11)*$F$11)/(F21+I21),0)</f>
        <v>37784.829691676292</v>
      </c>
      <c r="M21" s="187">
        <f t="shared" ref="M21" si="9">+L21*(F21+I21)</f>
        <v>47794031.077001348</v>
      </c>
      <c r="N21" s="187">
        <f t="shared" ref="N21" si="10">IF(L21=0,0,B21-L21)</f>
        <v>-784.82969167629199</v>
      </c>
      <c r="O21" s="187">
        <f t="shared" ref="O21" si="11">+K21-M21</f>
        <v>-992731.07700134814</v>
      </c>
      <c r="P21" s="187"/>
    </row>
    <row r="22" spans="1:17" s="186" customFormat="1" x14ac:dyDescent="0.35">
      <c r="A22" s="186" t="s">
        <v>3881</v>
      </c>
      <c r="B22" s="187">
        <f>_xlfn.IFNA(_xlfn.XLOOKUP(A22,'Price list'!J:J,'Price list'!K:K),0)</f>
        <v>37000</v>
      </c>
      <c r="C22" s="186" t="s">
        <v>9</v>
      </c>
      <c r="E22" s="187"/>
      <c r="F22" s="187"/>
      <c r="G22" s="187" t="s">
        <v>989</v>
      </c>
      <c r="H22" s="187" t="str">
        <f>IF(G22=0,"",_xlfn.XLOOKUP(G22,List_item!A:A,List_item!B:B))</f>
        <v>Karkas Uk 1.1 Karkas Uk 1.1 Frozen Premium</v>
      </c>
      <c r="I22" s="188">
        <v>1195.7</v>
      </c>
      <c r="J22" s="189">
        <f t="shared" si="4"/>
        <v>6.1769020953010713E-2</v>
      </c>
      <c r="K22" s="187">
        <f t="shared" si="0"/>
        <v>44240900</v>
      </c>
      <c r="L22" s="188">
        <f t="shared" si="1"/>
        <v>37784.829691676299</v>
      </c>
      <c r="M22" s="187">
        <f t="shared" si="2"/>
        <v>45179320.862337351</v>
      </c>
      <c r="N22" s="187">
        <f t="shared" si="3"/>
        <v>-784.82969167629926</v>
      </c>
      <c r="O22" s="187">
        <f t="shared" si="5"/>
        <v>-938420.86233735085</v>
      </c>
      <c r="P22" s="187"/>
    </row>
    <row r="23" spans="1:17" s="186" customFormat="1" x14ac:dyDescent="0.35">
      <c r="A23" s="186" t="s">
        <v>3881</v>
      </c>
      <c r="B23" s="187">
        <f>_xlfn.IFNA(_xlfn.XLOOKUP(A23,'Price list'!J:J,'Price list'!K:K),0)</f>
        <v>37000</v>
      </c>
      <c r="C23" s="186" t="s">
        <v>9</v>
      </c>
      <c r="E23" s="187"/>
      <c r="F23" s="187"/>
      <c r="G23" s="187" t="s">
        <v>957</v>
      </c>
      <c r="H23" s="187" t="str">
        <f>IF(G23=0,"",_xlfn.XLOOKUP(G23,List_item!A:A,List_item!B:B))</f>
        <v>Karkas Uk 1.1 Karkas Uk 1.1 Fresh Premium</v>
      </c>
      <c r="I23" s="188">
        <v>1772.6</v>
      </c>
      <c r="J23" s="189">
        <f t="shared" si="4"/>
        <v>9.1571269165599045E-2</v>
      </c>
      <c r="K23" s="187">
        <f t="shared" si="0"/>
        <v>65586200</v>
      </c>
      <c r="L23" s="188">
        <f t="shared" si="1"/>
        <v>37784.829691676299</v>
      </c>
      <c r="M23" s="187">
        <f t="shared" si="2"/>
        <v>66977389.111465402</v>
      </c>
      <c r="N23" s="187">
        <f t="shared" si="3"/>
        <v>-784.82969167629926</v>
      </c>
      <c r="O23" s="187">
        <f t="shared" si="5"/>
        <v>-1391189.1114654019</v>
      </c>
      <c r="P23" s="187"/>
    </row>
    <row r="24" spans="1:17" s="186" customFormat="1" x14ac:dyDescent="0.35">
      <c r="A24" s="186" t="s">
        <v>3882</v>
      </c>
      <c r="B24" s="187">
        <f>_xlfn.IFNA(_xlfn.XLOOKUP(A24,'Price list'!J:J,'Price list'!K:K),0)</f>
        <v>37000</v>
      </c>
      <c r="C24" s="186" t="s">
        <v>9</v>
      </c>
      <c r="E24" s="187"/>
      <c r="F24" s="187"/>
      <c r="G24" s="187" t="s">
        <v>1055</v>
      </c>
      <c r="H24" s="187" t="str">
        <f>IF(G24=0,"",_xlfn.XLOOKUP(G24,List_item!A:A,List_item!B:B))</f>
        <v>Karkas Uk 1.2 Karkas Uk 1.2 Frozen Premium</v>
      </c>
      <c r="I24" s="188">
        <v>2295.6999999999998</v>
      </c>
      <c r="J24" s="189">
        <f t="shared" si="4"/>
        <v>0.11859424722072984</v>
      </c>
      <c r="K24" s="187">
        <f t="shared" si="0"/>
        <v>84940900</v>
      </c>
      <c r="L24" s="188">
        <f t="shared" si="1"/>
        <v>37784.829691676299</v>
      </c>
      <c r="M24" s="187">
        <f t="shared" si="2"/>
        <v>86742633.523181275</v>
      </c>
      <c r="N24" s="187">
        <f t="shared" si="3"/>
        <v>-784.82969167629926</v>
      </c>
      <c r="O24" s="187">
        <f t="shared" si="5"/>
        <v>-1801733.5231812745</v>
      </c>
      <c r="P24" s="187"/>
    </row>
    <row r="25" spans="1:17" s="186" customFormat="1" x14ac:dyDescent="0.35">
      <c r="A25" s="186" t="s">
        <v>3883</v>
      </c>
      <c r="B25" s="187">
        <f>_xlfn.IFNA(_xlfn.XLOOKUP(A25,'Price list'!J:J,'Price list'!K:K),0)</f>
        <v>37000</v>
      </c>
      <c r="C25" s="186" t="s">
        <v>9</v>
      </c>
      <c r="E25" s="187"/>
      <c r="F25" s="187"/>
      <c r="G25" s="187" t="s">
        <v>1121</v>
      </c>
      <c r="H25" s="187" t="str">
        <f>IF(G25=0,"",_xlfn.XLOOKUP(G25,List_item!A:A,List_item!B:B))</f>
        <v>Karkas Uk 1.3 Karkas Uk 1.3 Frozen Premium</v>
      </c>
      <c r="I25" s="188">
        <v>885.5</v>
      </c>
      <c r="J25" s="189">
        <f t="shared" si="4"/>
        <v>4.5744307145513911E-2</v>
      </c>
      <c r="K25" s="187">
        <f t="shared" si="0"/>
        <v>32763500</v>
      </c>
      <c r="L25" s="188">
        <f t="shared" si="1"/>
        <v>37784.829691676299</v>
      </c>
      <c r="M25" s="187">
        <f t="shared" si="2"/>
        <v>33458466.691979364</v>
      </c>
      <c r="N25" s="187">
        <f t="shared" si="3"/>
        <v>-784.82969167629926</v>
      </c>
      <c r="O25" s="187">
        <f t="shared" si="5"/>
        <v>-694966.69197936356</v>
      </c>
      <c r="P25" s="187"/>
    </row>
    <row r="26" spans="1:17" s="186" customFormat="1" x14ac:dyDescent="0.35">
      <c r="A26" s="186" t="s">
        <v>3884</v>
      </c>
      <c r="B26" s="187">
        <f>_xlfn.IFNA(_xlfn.XLOOKUP(A26,'Price list'!J:J,'Price list'!K:K),0)</f>
        <v>37000</v>
      </c>
      <c r="C26" s="186" t="s">
        <v>9</v>
      </c>
      <c r="E26" s="187"/>
      <c r="F26" s="187"/>
      <c r="G26" s="187" t="s">
        <v>1187</v>
      </c>
      <c r="H26" s="187" t="str">
        <f>IF(G26=0,"",_xlfn.XLOOKUP(G26,List_item!A:A,List_item!B:B))</f>
        <v>Karkas Uk 1.4 Karkas Uk 1.4 Frozen Premium</v>
      </c>
      <c r="I26" s="188">
        <v>353.2</v>
      </c>
      <c r="J26" s="189">
        <f t="shared" si="4"/>
        <v>1.8246063561598545E-2</v>
      </c>
      <c r="K26" s="187">
        <f t="shared" si="0"/>
        <v>13068400</v>
      </c>
      <c r="L26" s="188">
        <f t="shared" si="1"/>
        <v>37784.829691676299</v>
      </c>
      <c r="M26" s="187">
        <f t="shared" si="2"/>
        <v>13345601.847100068</v>
      </c>
      <c r="N26" s="187">
        <f t="shared" si="3"/>
        <v>-784.82969167629926</v>
      </c>
      <c r="O26" s="187">
        <f t="shared" si="5"/>
        <v>-277201.84710006788</v>
      </c>
      <c r="P26" s="187"/>
    </row>
    <row r="27" spans="1:17" s="186" customFormat="1" x14ac:dyDescent="0.35">
      <c r="A27" s="186" t="s">
        <v>3849</v>
      </c>
      <c r="B27" s="187">
        <f>_xlfn.IFNA(_xlfn.XLOOKUP(A27,'Price list'!J:J,'Price list'!K:K),0)</f>
        <v>37000</v>
      </c>
      <c r="C27" s="186" t="s">
        <v>9</v>
      </c>
      <c r="E27" s="187"/>
      <c r="F27" s="187"/>
      <c r="G27" s="187" t="s">
        <v>1252</v>
      </c>
      <c r="H27" s="187" t="str">
        <f>IF(G27=0,"",_xlfn.XLOOKUP(G27,List_item!A:A,List_item!B:B))</f>
        <v>Karkas Uk 1.5 Karkas Uk 1.5 Frozen Premium</v>
      </c>
      <c r="I27" s="188">
        <v>66.599999999999994</v>
      </c>
      <c r="J27" s="189">
        <f t="shared" si="4"/>
        <v>3.4405091540273586E-3</v>
      </c>
      <c r="K27" s="187">
        <f t="shared" si="0"/>
        <v>2464200</v>
      </c>
      <c r="L27" s="188">
        <f t="shared" si="1"/>
        <v>37784.829691676299</v>
      </c>
      <c r="M27" s="187">
        <f t="shared" si="2"/>
        <v>2516469.6574656414</v>
      </c>
      <c r="N27" s="187">
        <f t="shared" si="3"/>
        <v>-784.82969167629926</v>
      </c>
      <c r="O27" s="187">
        <f t="shared" si="5"/>
        <v>-52269.657465641387</v>
      </c>
      <c r="P27" s="187"/>
    </row>
    <row r="28" spans="1:17" s="186" customFormat="1" x14ac:dyDescent="0.35">
      <c r="A28" s="186" t="s">
        <v>3885</v>
      </c>
      <c r="B28" s="187">
        <f>_xlfn.IFNA(_xlfn.XLOOKUP(A28,'Price list'!J:J,'Price list'!K:K),0)</f>
        <v>37000</v>
      </c>
      <c r="C28" s="186" t="s">
        <v>9</v>
      </c>
      <c r="E28" s="187"/>
      <c r="F28" s="187"/>
      <c r="G28" s="187" t="s">
        <v>1318</v>
      </c>
      <c r="H28" s="187" t="str">
        <f>IF(G28=0,"",_xlfn.XLOOKUP(G28,List_item!A:A,List_item!B:B))</f>
        <v>Karkas Uk 1.6 Karkas Uk 1.6 Frozen Premium</v>
      </c>
      <c r="I28" s="188">
        <v>8.3000000000000007</v>
      </c>
      <c r="J28" s="189">
        <f t="shared" si="4"/>
        <v>4.2877216183824447E-4</v>
      </c>
      <c r="K28" s="187">
        <f t="shared" si="0"/>
        <v>307100</v>
      </c>
      <c r="L28" s="188">
        <f t="shared" si="1"/>
        <v>37784.829691676299</v>
      </c>
      <c r="M28" s="187">
        <f t="shared" si="2"/>
        <v>313614.08644091332</v>
      </c>
      <c r="N28" s="187">
        <f t="shared" si="3"/>
        <v>-784.82969167629926</v>
      </c>
      <c r="O28" s="187">
        <f t="shared" si="5"/>
        <v>-6514.086440913321</v>
      </c>
      <c r="P28" s="187"/>
    </row>
    <row r="29" spans="1:17" x14ac:dyDescent="0.35">
      <c r="A29" t="s">
        <v>3886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156">
        <v>0</v>
      </c>
      <c r="J29" s="26">
        <f t="shared" si="4"/>
        <v>0</v>
      </c>
      <c r="K29" s="3">
        <f t="shared" si="0"/>
        <v>0</v>
      </c>
      <c r="L29" s="156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7" x14ac:dyDescent="0.35">
      <c r="A30" t="s">
        <v>3887</v>
      </c>
      <c r="B30" s="3">
        <f>_xlfn.IFNA(_xlfn.XLOOKUP(A30,'Price list'!J:J,'Price list'!K:K),0)</f>
        <v>37000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156">
        <v>0</v>
      </c>
      <c r="J30" s="26">
        <f t="shared" si="4"/>
        <v>0</v>
      </c>
      <c r="K30" s="3">
        <f t="shared" si="0"/>
        <v>0</v>
      </c>
      <c r="L30" s="156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7" x14ac:dyDescent="0.35">
      <c r="A31" t="s">
        <v>3888</v>
      </c>
      <c r="B31" s="3">
        <f>_xlfn.IFNA(_xlfn.XLOOKUP(A31,'Price list'!J:J,'Price list'!K:K),0)</f>
        <v>37000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156">
        <v>0</v>
      </c>
      <c r="J31" s="26">
        <f t="shared" si="4"/>
        <v>0</v>
      </c>
      <c r="K31" s="3">
        <f t="shared" si="0"/>
        <v>0</v>
      </c>
      <c r="L31" s="156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7" x14ac:dyDescent="0.35">
      <c r="A32" t="s">
        <v>3889</v>
      </c>
      <c r="B32" s="3">
        <f>_xlfn.IFNA(_xlfn.XLOOKUP(A32,'Price list'!J:J,'Price list'!K:K),0)</f>
        <v>37000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156">
        <v>0</v>
      </c>
      <c r="J32" s="26">
        <f t="shared" si="4"/>
        <v>0</v>
      </c>
      <c r="K32" s="3">
        <f t="shared" si="0"/>
        <v>0</v>
      </c>
      <c r="L32" s="164">
        <f>IFERROR(((K32/$K$11)*$F$11)/(F32+I32),0)+IFERROR(((K32/SUMIF(H:H,"*Boneless*",K:K))*$F$6)/I32,0)</f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>
        <f>IFERROR(((K32/SUMIF(H:H,"*Boneless*",K:K))*$F$6),0)</f>
        <v>0</v>
      </c>
      <c r="Q32">
        <f>SUMIF(H:H,"*Boneless*",K:K)</f>
        <v>25268200</v>
      </c>
    </row>
    <row r="33" spans="1:17" x14ac:dyDescent="0.35">
      <c r="A33" t="s">
        <v>3890</v>
      </c>
      <c r="B33" s="3">
        <f>_xlfn.IFNA(_xlfn.XLOOKUP(A33,'Price list'!J:J,'Price list'!K:K),0)</f>
        <v>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156">
        <v>0</v>
      </c>
      <c r="J33" s="26">
        <f t="shared" si="4"/>
        <v>0</v>
      </c>
      <c r="K33" s="3">
        <f t="shared" si="0"/>
        <v>0</v>
      </c>
      <c r="L33" s="156">
        <f>IFERROR(((K33/$K$11)*$F$11)/(F33+I33),0)</f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7" x14ac:dyDescent="0.35">
      <c r="A34" t="s">
        <v>8</v>
      </c>
      <c r="B34" s="3">
        <f>_xlfn.IFNA(_xlfn.XLOOKUP(A34,'Price list'!J:J,'Price list'!K:K),0)</f>
        <v>50000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156">
        <v>0</v>
      </c>
      <c r="J34" s="26">
        <f t="shared" si="4"/>
        <v>0</v>
      </c>
      <c r="K34" s="3">
        <f t="shared" si="0"/>
        <v>0</v>
      </c>
      <c r="L34" s="164">
        <f t="shared" ref="L34:L39" si="12">IFERROR(((K34/$K$11)*$F$11)/(F34+I34),0)+IFERROR(((K34/SUMIF(H:H,"*Boneless*",K:K))*$F$6)/I34,0)</f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>
        <f t="shared" ref="P34:P39" si="13">IFERROR(((K34/SUMIF(H:H,"*Boneless*",K:K))*$F$6),0)</f>
        <v>0</v>
      </c>
      <c r="Q34">
        <f t="shared" ref="Q34:Q39" si="14">SUMIF(H:H,"*Boneless*",K:K)</f>
        <v>25268200</v>
      </c>
    </row>
    <row r="35" spans="1:17" x14ac:dyDescent="0.35">
      <c r="A35" t="s">
        <v>10</v>
      </c>
      <c r="B35" s="3">
        <f>_xlfn.IFNA(_xlfn.XLOOKUP(A35,'Price list'!J:J,'Price list'!K:K),0)</f>
        <v>48000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156">
        <v>0</v>
      </c>
      <c r="J35" s="26">
        <f t="shared" si="4"/>
        <v>0</v>
      </c>
      <c r="K35" s="3">
        <f t="shared" si="0"/>
        <v>0</v>
      </c>
      <c r="L35" s="164">
        <f t="shared" si="12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>
        <f t="shared" si="13"/>
        <v>0</v>
      </c>
      <c r="Q35">
        <f t="shared" si="14"/>
        <v>25268200</v>
      </c>
    </row>
    <row r="36" spans="1:17" x14ac:dyDescent="0.35">
      <c r="A36" t="s">
        <v>12</v>
      </c>
      <c r="B36" s="3">
        <f>_xlfn.IFNA(_xlfn.XLOOKUP(A36,'Price list'!J:J,'Price list'!K:K),0)</f>
        <v>49000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156">
        <v>0</v>
      </c>
      <c r="J36" s="26">
        <f t="shared" si="4"/>
        <v>0</v>
      </c>
      <c r="K36" s="3">
        <f t="shared" si="0"/>
        <v>0</v>
      </c>
      <c r="L36" s="164">
        <f t="shared" si="12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>
        <f t="shared" si="13"/>
        <v>0</v>
      </c>
      <c r="Q36">
        <f t="shared" si="14"/>
        <v>25268200</v>
      </c>
    </row>
    <row r="37" spans="1:17" x14ac:dyDescent="0.35">
      <c r="A37" t="s">
        <v>2159</v>
      </c>
      <c r="B37" s="3">
        <f>_xlfn.IFNA(_xlfn.XLOOKUP(A37,'Price list'!J:J,'Price list'!K:K),0)</f>
        <v>12500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156">
        <v>0</v>
      </c>
      <c r="J37" s="26">
        <f t="shared" si="4"/>
        <v>0</v>
      </c>
      <c r="K37" s="3">
        <f t="shared" si="0"/>
        <v>0</v>
      </c>
      <c r="L37" s="164">
        <f t="shared" si="12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>
        <f t="shared" si="13"/>
        <v>0</v>
      </c>
      <c r="Q37">
        <f t="shared" si="14"/>
        <v>25268200</v>
      </c>
    </row>
    <row r="38" spans="1:17" x14ac:dyDescent="0.35">
      <c r="A38" t="s">
        <v>3891</v>
      </c>
      <c r="B38" s="3">
        <f>_xlfn.IFNA(_xlfn.XLOOKUP(A38,'Price list'!J:J,'Price list'!K:K),0)</f>
        <v>32000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156">
        <v>0</v>
      </c>
      <c r="J38" s="26">
        <f t="shared" si="4"/>
        <v>0</v>
      </c>
      <c r="K38" s="3">
        <f t="shared" si="0"/>
        <v>0</v>
      </c>
      <c r="L38" s="164">
        <f t="shared" si="12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>
        <f t="shared" si="13"/>
        <v>0</v>
      </c>
      <c r="Q38">
        <f t="shared" si="14"/>
        <v>25268200</v>
      </c>
    </row>
    <row r="39" spans="1:17" x14ac:dyDescent="0.35">
      <c r="A39" t="s">
        <v>2179</v>
      </c>
      <c r="B39" s="3">
        <f>_xlfn.IFNA(_xlfn.XLOOKUP(A39,'Price list'!J:J,'Price list'!K:K),0)</f>
        <v>36000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156">
        <v>0</v>
      </c>
      <c r="J39" s="26">
        <f t="shared" si="4"/>
        <v>0</v>
      </c>
      <c r="K39" s="3">
        <f t="shared" si="0"/>
        <v>0</v>
      </c>
      <c r="L39" s="164">
        <f t="shared" si="12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>
        <f t="shared" si="13"/>
        <v>0</v>
      </c>
      <c r="Q39">
        <f t="shared" si="14"/>
        <v>25268200</v>
      </c>
    </row>
    <row r="40" spans="1:17" x14ac:dyDescent="0.35">
      <c r="A40" t="s">
        <v>3852</v>
      </c>
      <c r="B40" s="3">
        <f>_xlfn.IFNA(_xlfn.XLOOKUP(A40,'Price list'!J:J,'Price list'!K:K),0)</f>
        <v>32000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156">
        <v>0</v>
      </c>
      <c r="J40" s="26">
        <f t="shared" si="4"/>
        <v>0</v>
      </c>
      <c r="K40" s="3">
        <f t="shared" si="0"/>
        <v>0</v>
      </c>
      <c r="L40" s="156">
        <f t="shared" ref="L40:L45" si="15">IFERROR(((K40/$K$11)*$F$11)/(F40+I40),0)</f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7" x14ac:dyDescent="0.35">
      <c r="A41" t="s">
        <v>17</v>
      </c>
      <c r="B41" s="3">
        <f>_xlfn.IFNA(_xlfn.XLOOKUP(A41,'Price list'!J:J,'Price list'!K:K),0)</f>
        <v>5000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156">
        <v>0</v>
      </c>
      <c r="J41" s="26">
        <f t="shared" si="4"/>
        <v>0</v>
      </c>
      <c r="K41" s="3">
        <f t="shared" si="0"/>
        <v>0</v>
      </c>
      <c r="L41" s="156">
        <f t="shared" si="15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7" x14ac:dyDescent="0.35">
      <c r="A42" t="s">
        <v>2199</v>
      </c>
      <c r="B42" s="3">
        <f>_xlfn.IFNA(_xlfn.XLOOKUP(A42,'Price list'!J:J,'Price list'!K:K),0)</f>
        <v>35000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156">
        <v>0</v>
      </c>
      <c r="J42" s="26">
        <f t="shared" si="4"/>
        <v>0</v>
      </c>
      <c r="K42" s="3">
        <f t="shared" si="0"/>
        <v>0</v>
      </c>
      <c r="L42" s="156">
        <f t="shared" si="15"/>
        <v>0</v>
      </c>
      <c r="M42" s="3">
        <f t="shared" si="2"/>
        <v>0</v>
      </c>
      <c r="N42" s="3">
        <f t="shared" si="3"/>
        <v>0</v>
      </c>
      <c r="O42" s="3">
        <f t="shared" si="5"/>
        <v>0</v>
      </c>
      <c r="P42" s="3"/>
    </row>
    <row r="43" spans="1:17" s="186" customFormat="1" x14ac:dyDescent="0.35">
      <c r="A43" s="186" t="s">
        <v>2161</v>
      </c>
      <c r="B43" s="187">
        <f>_xlfn.IFNA(_xlfn.XLOOKUP(A43,'Price list'!J:J,'Price list'!K:K),0)</f>
        <v>24000</v>
      </c>
      <c r="C43" s="186" t="s">
        <v>9</v>
      </c>
      <c r="E43" s="187"/>
      <c r="F43" s="187"/>
      <c r="G43" s="187" t="s">
        <v>19</v>
      </c>
      <c r="H43" s="187" t="str">
        <f>IF(G43=0,"",_xlfn.XLOOKUP(G43,List_item!A:A,List_item!B:B))</f>
        <v>Boneless BL Frozen Lemak</v>
      </c>
      <c r="I43" s="188">
        <v>68</v>
      </c>
      <c r="J43" s="189">
        <f t="shared" si="4"/>
        <v>3.5128321692771834E-3</v>
      </c>
      <c r="K43" s="187">
        <f t="shared" si="0"/>
        <v>1632000</v>
      </c>
      <c r="L43" s="187">
        <f t="shared" si="15"/>
        <v>24509.078718925164</v>
      </c>
      <c r="M43" s="187">
        <f t="shared" si="2"/>
        <v>1666617.3528869112</v>
      </c>
      <c r="N43" s="187">
        <f t="shared" si="3"/>
        <v>-509.07871892516414</v>
      </c>
      <c r="O43" s="187">
        <f t="shared" si="5"/>
        <v>-34617.352886911249</v>
      </c>
      <c r="P43" s="187"/>
    </row>
    <row r="44" spans="1:17" s="186" customFormat="1" x14ac:dyDescent="0.35">
      <c r="A44" s="186" t="s">
        <v>2162</v>
      </c>
      <c r="B44" s="187">
        <f>_xlfn.IFNA(_xlfn.XLOOKUP(A44,'Price list'!J:J,'Price list'!K:K),0)</f>
        <v>9500</v>
      </c>
      <c r="C44" s="186" t="s">
        <v>9</v>
      </c>
      <c r="E44" s="187"/>
      <c r="F44" s="187"/>
      <c r="G44" s="187" t="s">
        <v>20</v>
      </c>
      <c r="H44" s="187" t="str">
        <f>IF(G44=0,"",_xlfn.XLOOKUP(G44,List_item!A:A,List_item!B:B))</f>
        <v>Boneless BL Fresh Kepala</v>
      </c>
      <c r="I44" s="188">
        <v>915.9</v>
      </c>
      <c r="J44" s="189">
        <f t="shared" si="4"/>
        <v>4.7314749762367235E-2</v>
      </c>
      <c r="K44" s="187">
        <f t="shared" si="0"/>
        <v>8701050</v>
      </c>
      <c r="L44" s="187">
        <f t="shared" si="15"/>
        <v>9701.5103262412122</v>
      </c>
      <c r="M44" s="187">
        <f t="shared" si="2"/>
        <v>8885613.3078043256</v>
      </c>
      <c r="N44" s="187">
        <f t="shared" si="3"/>
        <v>-201.51032624121217</v>
      </c>
      <c r="O44" s="187">
        <f t="shared" si="5"/>
        <v>-184563.3078043256</v>
      </c>
      <c r="P44" s="187"/>
    </row>
    <row r="45" spans="1:17" s="186" customFormat="1" x14ac:dyDescent="0.35">
      <c r="A45" s="186" t="s">
        <v>0</v>
      </c>
      <c r="B45" s="187">
        <f>_xlfn.IFNA(_xlfn.XLOOKUP(A45,'Price list'!J:J,'Price list'!K:K),0)</f>
        <v>16000</v>
      </c>
      <c r="C45" s="186" t="s">
        <v>9</v>
      </c>
      <c r="E45" s="187"/>
      <c r="F45" s="187"/>
      <c r="G45" s="187" t="s">
        <v>21</v>
      </c>
      <c r="H45" s="187" t="str">
        <f>IF(G45=0,"",_xlfn.XLOOKUP(G45,List_item!A:A,List_item!B:B))</f>
        <v>Boneless BL Fresh Ceker</v>
      </c>
      <c r="I45" s="188">
        <v>570.70000000000005</v>
      </c>
      <c r="J45" s="189">
        <f t="shared" si="4"/>
        <v>2.9481960573624833E-2</v>
      </c>
      <c r="K45" s="187">
        <f t="shared" si="0"/>
        <v>9131200</v>
      </c>
      <c r="L45" s="187">
        <f t="shared" si="15"/>
        <v>16339.385812616776</v>
      </c>
      <c r="M45" s="187">
        <f t="shared" si="2"/>
        <v>9324887.483260395</v>
      </c>
      <c r="N45" s="187">
        <f t="shared" si="3"/>
        <v>-339.38581261677609</v>
      </c>
      <c r="O45" s="187">
        <f t="shared" si="5"/>
        <v>-193687.48326039501</v>
      </c>
      <c r="P45" s="187" t="s">
        <v>3947</v>
      </c>
    </row>
    <row r="46" spans="1:17" x14ac:dyDescent="0.35">
      <c r="A46" t="s">
        <v>24</v>
      </c>
      <c r="B46" s="3">
        <f>_xlfn.IFNA(_xlfn.XLOOKUP(A46,'Price list'!J:J,'Price list'!K:K),0)</f>
        <v>4500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156">
        <v>0</v>
      </c>
      <c r="J46" s="26">
        <f t="shared" si="4"/>
        <v>0</v>
      </c>
      <c r="K46" s="3">
        <f t="shared" si="0"/>
        <v>0</v>
      </c>
      <c r="L46" s="93">
        <f>IFERROR(((K46/$K$11)*$F$11)/(F46+I46),0)+IFERROR(((K46/SUMIF(H:H,"*Boneless*",K:K))*$F$6)/I46,0)</f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>
        <f>IFERROR(((K46/SUMIF(H:H,"*Boneless*",K:K))*$F$6),0)</f>
        <v>0</v>
      </c>
      <c r="Q46">
        <f>SUMIF(H:H,"*Boneless*",K:K)</f>
        <v>25268200</v>
      </c>
    </row>
    <row r="47" spans="1:17" s="186" customFormat="1" x14ac:dyDescent="0.35">
      <c r="A47" s="186" t="s">
        <v>3893</v>
      </c>
      <c r="B47" s="187">
        <f>_xlfn.IFNA(_xlfn.XLOOKUP(A47,'Price list'!J:J,'Price list'!K:K),0)</f>
        <v>1500</v>
      </c>
      <c r="C47" s="186" t="s">
        <v>9</v>
      </c>
      <c r="E47" s="187"/>
      <c r="F47" s="187"/>
      <c r="G47" s="187" t="s">
        <v>25</v>
      </c>
      <c r="H47" s="187" t="str">
        <f>IF(G47=0,"",_xlfn.XLOOKUP(G47,List_item!A:A,List_item!B:B))</f>
        <v>Boneless BL Fresh Usus Kotor</v>
      </c>
      <c r="I47" s="188">
        <v>833</v>
      </c>
      <c r="J47" s="189">
        <f t="shared" si="4"/>
        <v>4.3032194073645495E-2</v>
      </c>
      <c r="K47" s="187">
        <f>+B47*(F47+I47)</f>
        <v>1249500</v>
      </c>
      <c r="L47" s="187">
        <f>IFERROR(((K47/$K$11)*$F$11)/(F47+I47),0)</f>
        <v>1531.8174199328228</v>
      </c>
      <c r="M47" s="187">
        <f>+L47*(F47+I47)</f>
        <v>1276003.9108040414</v>
      </c>
      <c r="N47" s="187">
        <f t="shared" si="3"/>
        <v>-31.817419932822759</v>
      </c>
      <c r="O47" s="187">
        <f t="shared" si="5"/>
        <v>-26503.910804041428</v>
      </c>
      <c r="P47" s="187"/>
    </row>
    <row r="48" spans="1:17" x14ac:dyDescent="0.35">
      <c r="A48" t="s">
        <v>2167</v>
      </c>
      <c r="B48" s="3">
        <f>_xlfn.IFNA(_xlfn.XLOOKUP(A48,'Price list'!J:J,'Price list'!K:K),0)</f>
        <v>22000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156">
        <v>0</v>
      </c>
      <c r="J48" s="26">
        <f t="shared" si="4"/>
        <v>0</v>
      </c>
      <c r="K48" s="3">
        <f t="shared" si="0"/>
        <v>0</v>
      </c>
      <c r="L48" s="156">
        <f t="shared" ref="L47:L68" si="16">IFERROR(((K48/$K$11)*$F$11)/(F48+I48),0)</f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2168</v>
      </c>
      <c r="B49" s="3">
        <f>_xlfn.IFNA(_xlfn.XLOOKUP(A49,'Price list'!J:J,'Price list'!K:K),0)</f>
        <v>16000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156">
        <v>0</v>
      </c>
      <c r="J49" s="26">
        <f t="shared" si="4"/>
        <v>0</v>
      </c>
      <c r="K49" s="3">
        <f t="shared" si="0"/>
        <v>0</v>
      </c>
      <c r="L49" s="156">
        <f t="shared" si="16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2169</v>
      </c>
      <c r="B50" s="3">
        <f>_xlfn.IFNA(_xlfn.XLOOKUP(A50,'Price list'!J:J,'Price list'!K:K),0)</f>
        <v>5000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156">
        <v>0</v>
      </c>
      <c r="J50" s="26">
        <f t="shared" si="4"/>
        <v>0</v>
      </c>
      <c r="K50" s="3">
        <f t="shared" si="0"/>
        <v>0</v>
      </c>
      <c r="L50" s="156">
        <f t="shared" si="16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s="186" customFormat="1" x14ac:dyDescent="0.35">
      <c r="A51" s="186" t="s">
        <v>3894</v>
      </c>
      <c r="B51" s="187">
        <f>_xlfn.IFNA(_xlfn.XLOOKUP(A51,'Price list'!J:J,'Price list'!K:K),0)</f>
        <v>4500</v>
      </c>
      <c r="C51" s="186" t="s">
        <v>9</v>
      </c>
      <c r="E51" s="187"/>
      <c r="F51" s="187"/>
      <c r="G51" s="187" t="s">
        <v>23</v>
      </c>
      <c r="H51" s="187" t="str">
        <f>IF(G51=0,"",_xlfn.XLOOKUP(G51,List_item!A:A,List_item!B:B))</f>
        <v>Boneless BL Fresh HJA</v>
      </c>
      <c r="I51" s="188">
        <v>1012.1</v>
      </c>
      <c r="J51" s="189">
        <f t="shared" si="4"/>
        <v>5.2284374095962316E-2</v>
      </c>
      <c r="K51" s="187">
        <f t="shared" si="0"/>
        <v>4554450</v>
      </c>
      <c r="L51" s="188">
        <f t="shared" si="16"/>
        <v>4595.4522597984687</v>
      </c>
      <c r="M51" s="187">
        <f t="shared" si="2"/>
        <v>4651057.2321420303</v>
      </c>
      <c r="N51" s="187">
        <f t="shared" si="3"/>
        <v>-95.452259798468731</v>
      </c>
      <c r="O51" s="187">
        <f t="shared" si="5"/>
        <v>-96607.232142030261</v>
      </c>
      <c r="P51" s="187"/>
    </row>
    <row r="52" spans="1:16" x14ac:dyDescent="0.35">
      <c r="A52" t="s">
        <v>2170</v>
      </c>
      <c r="B52" s="3">
        <f>_xlfn.IFNA(_xlfn.XLOOKUP(A52,'Price list'!J:J,'Price list'!K:K),0)</f>
        <v>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156">
        <v>0</v>
      </c>
      <c r="J52" s="26">
        <f t="shared" si="4"/>
        <v>0</v>
      </c>
      <c r="K52" s="3">
        <f t="shared" si="0"/>
        <v>0</v>
      </c>
      <c r="L52" s="156">
        <f t="shared" si="16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2171</v>
      </c>
      <c r="B53" s="3">
        <f>_xlfn.IFNA(_xlfn.XLOOKUP(A53,'Price list'!J:J,'Price list'!K:K),0)</f>
        <v>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156">
        <v>0</v>
      </c>
      <c r="J53" s="26">
        <f t="shared" si="4"/>
        <v>0</v>
      </c>
      <c r="K53" s="3">
        <f t="shared" si="0"/>
        <v>0</v>
      </c>
      <c r="L53" s="156">
        <f t="shared" si="16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3895</v>
      </c>
      <c r="B54" s="3">
        <f>_xlfn.IFNA(_xlfn.XLOOKUP(A54,'Price list'!J:J,'Price list'!K:K),0)</f>
        <v>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156">
        <v>0</v>
      </c>
      <c r="J54" s="26">
        <f t="shared" si="4"/>
        <v>0</v>
      </c>
      <c r="K54" s="3">
        <f t="shared" si="0"/>
        <v>0</v>
      </c>
      <c r="L54" s="156">
        <f t="shared" si="16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x14ac:dyDescent="0.35">
      <c r="A55" t="s">
        <v>3896</v>
      </c>
      <c r="B55" s="3">
        <f>_xlfn.IFNA(_xlfn.XLOOKUP(A55,'Price list'!J:J,'Price list'!K:K),0)</f>
        <v>34000</v>
      </c>
      <c r="C55" t="s">
        <v>9</v>
      </c>
      <c r="E55" s="3"/>
      <c r="F55" s="3"/>
      <c r="G55" s="3"/>
      <c r="H55" s="3" t="str">
        <f>IF(G55=0,"",_xlfn.XLOOKUP(G55,List_item!A:A,List_item!B:B))</f>
        <v/>
      </c>
      <c r="I55" s="156">
        <v>0</v>
      </c>
      <c r="J55" s="26">
        <f t="shared" si="4"/>
        <v>0</v>
      </c>
      <c r="K55" s="3">
        <f t="shared" si="0"/>
        <v>0</v>
      </c>
      <c r="L55" s="156">
        <f t="shared" si="16"/>
        <v>0</v>
      </c>
      <c r="M55" s="3">
        <f t="shared" si="2"/>
        <v>0</v>
      </c>
      <c r="N55" s="3">
        <f t="shared" si="3"/>
        <v>0</v>
      </c>
      <c r="O55" s="3">
        <f t="shared" si="5"/>
        <v>0</v>
      </c>
      <c r="P55" s="3"/>
    </row>
    <row r="56" spans="1:16" x14ac:dyDescent="0.35">
      <c r="A56" t="s">
        <v>3897</v>
      </c>
      <c r="B56" s="3">
        <f>_xlfn.IFNA(_xlfn.XLOOKUP(A56,'Price list'!J:J,'Price list'!K:K),0)</f>
        <v>34000</v>
      </c>
      <c r="C56" t="s">
        <v>9</v>
      </c>
      <c r="E56" s="3"/>
      <c r="F56" s="3"/>
      <c r="G56" s="3"/>
      <c r="H56" s="3" t="str">
        <f>IF(G56=0,"",_xlfn.XLOOKUP(G56,List_item!A:A,List_item!B:B))</f>
        <v/>
      </c>
      <c r="I56" s="156">
        <v>0</v>
      </c>
      <c r="J56" s="26">
        <f t="shared" si="4"/>
        <v>0</v>
      </c>
      <c r="K56" s="3">
        <f t="shared" si="0"/>
        <v>0</v>
      </c>
      <c r="L56" s="156">
        <f t="shared" si="16"/>
        <v>0</v>
      </c>
      <c r="M56" s="3">
        <f t="shared" si="2"/>
        <v>0</v>
      </c>
      <c r="N56" s="3">
        <f t="shared" si="3"/>
        <v>0</v>
      </c>
      <c r="O56" s="3">
        <f t="shared" si="5"/>
        <v>0</v>
      </c>
      <c r="P56" s="3"/>
    </row>
    <row r="57" spans="1:16" s="186" customFormat="1" x14ac:dyDescent="0.35">
      <c r="A57" s="186" t="s">
        <v>3898</v>
      </c>
      <c r="B57" s="187">
        <f>_xlfn.IFNA(_xlfn.XLOOKUP(A57,'Price list'!J:J,'Price list'!K:K),0)</f>
        <v>34000</v>
      </c>
      <c r="C57" s="186" t="s">
        <v>9</v>
      </c>
      <c r="E57" s="187"/>
      <c r="F57" s="187"/>
      <c r="G57" s="187" t="s">
        <v>636</v>
      </c>
      <c r="H57" s="187" t="str">
        <f>IF(G57=0,"",_xlfn.XLOOKUP(G57,List_item!A:A,List_item!B:B))</f>
        <v>Karkas Uk 0.6 Karkas Uk 0.6 Frozen Grade A</v>
      </c>
      <c r="I57" s="188">
        <v>11.1</v>
      </c>
      <c r="J57" s="189">
        <f t="shared" si="4"/>
        <v>5.7341819233789313E-4</v>
      </c>
      <c r="K57" s="187">
        <f t="shared" si="0"/>
        <v>377400</v>
      </c>
      <c r="L57" s="188">
        <f t="shared" si="16"/>
        <v>34721.194851810651</v>
      </c>
      <c r="M57" s="187">
        <f t="shared" si="2"/>
        <v>385405.26285509823</v>
      </c>
      <c r="N57" s="187">
        <f t="shared" si="3"/>
        <v>-721.19485181065102</v>
      </c>
      <c r="O57" s="187">
        <f t="shared" si="5"/>
        <v>-8005.2628550982336</v>
      </c>
      <c r="P57" s="187"/>
    </row>
    <row r="58" spans="1:16" s="186" customFormat="1" x14ac:dyDescent="0.35">
      <c r="A58" s="186" t="s">
        <v>3899</v>
      </c>
      <c r="B58" s="187">
        <f>_xlfn.IFNA(_xlfn.XLOOKUP(A58,'Price list'!J:J,'Price list'!K:K),0)</f>
        <v>34000</v>
      </c>
      <c r="C58" s="186" t="s">
        <v>9</v>
      </c>
      <c r="E58" s="187"/>
      <c r="F58" s="187"/>
      <c r="G58" s="187" t="s">
        <v>701</v>
      </c>
      <c r="H58" s="187" t="str">
        <f>IF(G58=0,"",_xlfn.XLOOKUP(G58,List_item!A:A,List_item!B:B))</f>
        <v>Karkas Uk 0.7 Karkas Uk 0.7 Frozen Grade A</v>
      </c>
      <c r="I58" s="188">
        <v>21.6</v>
      </c>
      <c r="J58" s="189">
        <f t="shared" si="4"/>
        <v>1.1158408067115759E-3</v>
      </c>
      <c r="K58" s="187">
        <f t="shared" si="0"/>
        <v>734400</v>
      </c>
      <c r="L58" s="188">
        <f t="shared" si="16"/>
        <v>34721.194851810651</v>
      </c>
      <c r="M58" s="187">
        <f t="shared" si="2"/>
        <v>749977.80879911012</v>
      </c>
      <c r="N58" s="187">
        <f t="shared" si="3"/>
        <v>-721.19485181065102</v>
      </c>
      <c r="O58" s="187">
        <f t="shared" si="5"/>
        <v>-15577.80879911012</v>
      </c>
      <c r="P58" s="187"/>
    </row>
    <row r="59" spans="1:16" s="186" customFormat="1" x14ac:dyDescent="0.35">
      <c r="A59" s="186" t="s">
        <v>3900</v>
      </c>
      <c r="B59" s="187">
        <f>_xlfn.IFNA(_xlfn.XLOOKUP(A59,'Price list'!J:J,'Price list'!K:K),0)</f>
        <v>34000</v>
      </c>
      <c r="C59" s="186" t="s">
        <v>9</v>
      </c>
      <c r="E59" s="187"/>
      <c r="F59" s="187"/>
      <c r="G59" s="187" t="s">
        <v>766</v>
      </c>
      <c r="H59" s="187" t="str">
        <f>IF(G59=0,"",_xlfn.XLOOKUP(G59,List_item!A:A,List_item!B:B))</f>
        <v>Karkas Uk 0.8 Karkas Uk 0.8 Frozen Grade A</v>
      </c>
      <c r="I59" s="188">
        <v>73</v>
      </c>
      <c r="J59" s="189">
        <f t="shared" si="4"/>
        <v>3.7711286523122705E-3</v>
      </c>
      <c r="K59" s="187">
        <f t="shared" si="0"/>
        <v>2482000</v>
      </c>
      <c r="L59" s="188">
        <f t="shared" si="16"/>
        <v>34721.194851810651</v>
      </c>
      <c r="M59" s="187">
        <f t="shared" si="2"/>
        <v>2534647.2241821773</v>
      </c>
      <c r="N59" s="187">
        <f t="shared" si="3"/>
        <v>-721.19485181065102</v>
      </c>
      <c r="O59" s="187">
        <f t="shared" si="5"/>
        <v>-52647.224182177335</v>
      </c>
      <c r="P59" s="187"/>
    </row>
    <row r="60" spans="1:16" s="186" customFormat="1" x14ac:dyDescent="0.35">
      <c r="A60" s="186" t="s">
        <v>3901</v>
      </c>
      <c r="B60" s="187">
        <f>_xlfn.IFNA(_xlfn.XLOOKUP(A60,'Price list'!J:J,'Price list'!K:K),0)</f>
        <v>34000</v>
      </c>
      <c r="C60" s="186" t="s">
        <v>9</v>
      </c>
      <c r="E60" s="187"/>
      <c r="F60" s="187"/>
      <c r="G60" s="187" t="s">
        <v>831</v>
      </c>
      <c r="H60" s="187" t="str">
        <f>IF(G60=0,"",_xlfn.XLOOKUP(G60,List_item!A:A,List_item!B:B))</f>
        <v>Karkas Uk 0.9 Karkas Uk 0.9 Frozen Grade A</v>
      </c>
      <c r="I60" s="188">
        <v>186</v>
      </c>
      <c r="J60" s="189">
        <f t="shared" si="4"/>
        <v>9.6086291689052375E-3</v>
      </c>
      <c r="K60" s="187">
        <f t="shared" si="0"/>
        <v>6324000</v>
      </c>
      <c r="L60" s="188">
        <f t="shared" si="16"/>
        <v>34721.194851810651</v>
      </c>
      <c r="M60" s="187">
        <f t="shared" si="2"/>
        <v>6458142.2424367815</v>
      </c>
      <c r="N60" s="187">
        <f t="shared" si="3"/>
        <v>-721.19485181065102</v>
      </c>
      <c r="O60" s="187">
        <f t="shared" si="5"/>
        <v>-134142.24243678153</v>
      </c>
      <c r="P60" s="187"/>
    </row>
    <row r="61" spans="1:16" s="186" customFormat="1" x14ac:dyDescent="0.35">
      <c r="A61" s="186" t="s">
        <v>3902</v>
      </c>
      <c r="B61" s="187">
        <f>_xlfn.IFNA(_xlfn.XLOOKUP(A61,'Price list'!J:J,'Price list'!K:K),0)</f>
        <v>34000</v>
      </c>
      <c r="C61" s="186" t="s">
        <v>9</v>
      </c>
      <c r="E61" s="187"/>
      <c r="F61" s="187"/>
      <c r="G61" s="187" t="s">
        <v>896</v>
      </c>
      <c r="H61" s="187" t="str">
        <f>IF(G61=0,"",_xlfn.XLOOKUP(G61,List_item!A:A,List_item!B:B))</f>
        <v>Karkas Uk 1.0 Karkas Uk 1.0 Frozen Grade A</v>
      </c>
      <c r="I61" s="188">
        <v>325.3</v>
      </c>
      <c r="J61" s="189">
        <f t="shared" si="4"/>
        <v>1.6804769186262763E-2</v>
      </c>
      <c r="K61" s="187">
        <f t="shared" si="0"/>
        <v>11060200</v>
      </c>
      <c r="L61" s="188">
        <f t="shared" si="16"/>
        <v>34721.194851810651</v>
      </c>
      <c r="M61" s="187">
        <f t="shared" si="2"/>
        <v>11294804.685294006</v>
      </c>
      <c r="N61" s="187">
        <f t="shared" si="3"/>
        <v>-721.19485181065102</v>
      </c>
      <c r="O61" s="187">
        <f t="shared" si="5"/>
        <v>-234604.68529400602</v>
      </c>
      <c r="P61" s="187"/>
    </row>
    <row r="62" spans="1:16" s="186" customFormat="1" x14ac:dyDescent="0.35">
      <c r="A62" s="186" t="s">
        <v>3903</v>
      </c>
      <c r="B62" s="187">
        <f>_xlfn.IFNA(_xlfn.XLOOKUP(A62,'Price list'!J:J,'Price list'!K:K),0)</f>
        <v>34000</v>
      </c>
      <c r="C62" s="186" t="s">
        <v>9</v>
      </c>
      <c r="E62" s="187"/>
      <c r="F62" s="187"/>
      <c r="G62" s="187" t="s">
        <v>962</v>
      </c>
      <c r="H62" s="187" t="str">
        <f>IF(G62=0,"",_xlfn.XLOOKUP(G62,List_item!A:A,List_item!B:B))</f>
        <v>Karkas Uk 1.1 Karkas Uk 1.1 Frozen Grade A</v>
      </c>
      <c r="I62" s="188">
        <v>362</v>
      </c>
      <c r="J62" s="189">
        <f t="shared" si="4"/>
        <v>1.87006653717403E-2</v>
      </c>
      <c r="K62" s="187">
        <f t="shared" si="0"/>
        <v>12308000</v>
      </c>
      <c r="L62" s="188">
        <f t="shared" si="16"/>
        <v>34721.194851810651</v>
      </c>
      <c r="M62" s="187">
        <f t="shared" si="2"/>
        <v>12569072.536355456</v>
      </c>
      <c r="N62" s="187">
        <f t="shared" si="3"/>
        <v>-721.19485181065102</v>
      </c>
      <c r="O62" s="187">
        <f t="shared" si="5"/>
        <v>-261072.53635545634</v>
      </c>
      <c r="P62" s="187"/>
    </row>
    <row r="63" spans="1:16" s="186" customFormat="1" x14ac:dyDescent="0.35">
      <c r="A63" s="186" t="s">
        <v>3904</v>
      </c>
      <c r="B63" s="187">
        <f>_xlfn.IFNA(_xlfn.XLOOKUP(A63,'Price list'!J:J,'Price list'!K:K),0)</f>
        <v>34000</v>
      </c>
      <c r="C63" s="186" t="s">
        <v>9</v>
      </c>
      <c r="E63" s="187"/>
      <c r="F63" s="187"/>
      <c r="G63" s="187" t="s">
        <v>1028</v>
      </c>
      <c r="H63" s="187" t="str">
        <f>IF(G63=0,"",_xlfn.XLOOKUP(G63,List_item!A:A,List_item!B:B))</f>
        <v>Karkas Uk 1.2 Karkas Uk 1.2 Frozen Grade A</v>
      </c>
      <c r="I63" s="188">
        <v>360.9</v>
      </c>
      <c r="J63" s="189">
        <f t="shared" si="4"/>
        <v>1.864384014547258E-2</v>
      </c>
      <c r="K63" s="187">
        <f t="shared" si="0"/>
        <v>12270600</v>
      </c>
      <c r="L63" s="188">
        <f t="shared" si="16"/>
        <v>34721.194851810651</v>
      </c>
      <c r="M63" s="187">
        <f t="shared" si="2"/>
        <v>12530879.222018464</v>
      </c>
      <c r="N63" s="187">
        <f t="shared" si="3"/>
        <v>-721.19485181065102</v>
      </c>
      <c r="O63" s="187">
        <f t="shared" si="5"/>
        <v>-260279.22201846354</v>
      </c>
      <c r="P63" s="187"/>
    </row>
    <row r="64" spans="1:16" s="186" customFormat="1" x14ac:dyDescent="0.35">
      <c r="A64" s="186" t="s">
        <v>3905</v>
      </c>
      <c r="B64" s="187">
        <f>_xlfn.IFNA(_xlfn.XLOOKUP(A64,'Price list'!J:J,'Price list'!K:K),0)</f>
        <v>34000</v>
      </c>
      <c r="C64" s="186" t="s">
        <v>9</v>
      </c>
      <c r="E64" s="187"/>
      <c r="F64" s="187"/>
      <c r="G64" s="187" t="s">
        <v>1094</v>
      </c>
      <c r="H64" s="187" t="str">
        <f>IF(G64=0,"",_xlfn.XLOOKUP(G64,List_item!A:A,List_item!B:B))</f>
        <v>Karkas Uk 1.3 Karkas Uk 1.3 Frozen Grade A</v>
      </c>
      <c r="I64" s="188">
        <v>245.2</v>
      </c>
      <c r="J64" s="189">
        <f t="shared" si="4"/>
        <v>1.2666859528040666E-2</v>
      </c>
      <c r="K64" s="187">
        <f t="shared" si="0"/>
        <v>8336800</v>
      </c>
      <c r="L64" s="188">
        <f t="shared" si="16"/>
        <v>34721.194851810651</v>
      </c>
      <c r="M64" s="187">
        <f t="shared" si="2"/>
        <v>8513636.9776639715</v>
      </c>
      <c r="N64" s="187">
        <f t="shared" si="3"/>
        <v>-721.19485181065102</v>
      </c>
      <c r="O64" s="187">
        <f t="shared" si="5"/>
        <v>-176836.97766397148</v>
      </c>
      <c r="P64" s="187"/>
    </row>
    <row r="65" spans="1:17" s="186" customFormat="1" x14ac:dyDescent="0.35">
      <c r="A65" s="186" t="s">
        <v>3906</v>
      </c>
      <c r="B65" s="187">
        <f>_xlfn.IFNA(_xlfn.XLOOKUP(A65,'Price list'!J:J,'Price list'!K:K),0)</f>
        <v>34000</v>
      </c>
      <c r="C65" s="186" t="s">
        <v>9</v>
      </c>
      <c r="E65" s="187"/>
      <c r="F65" s="187"/>
      <c r="G65" s="187" t="s">
        <v>1160</v>
      </c>
      <c r="H65" s="187" t="str">
        <f>IF(G65=0,"",_xlfn.XLOOKUP(G65,List_item!A:A,List_item!B:B))</f>
        <v>Karkas Uk 1.4 Karkas Uk 1.4 Frozen Grade A</v>
      </c>
      <c r="I65" s="188">
        <v>115.3</v>
      </c>
      <c r="J65" s="189">
        <f t="shared" si="4"/>
        <v>5.9563168987891062E-3</v>
      </c>
      <c r="K65" s="187">
        <f t="shared" si="0"/>
        <v>3920200</v>
      </c>
      <c r="L65" s="188">
        <f t="shared" si="16"/>
        <v>34721.194851810651</v>
      </c>
      <c r="M65" s="187">
        <f t="shared" si="2"/>
        <v>4003353.7664137678</v>
      </c>
      <c r="N65" s="187">
        <f t="shared" si="3"/>
        <v>-721.19485181065102</v>
      </c>
      <c r="O65" s="187">
        <f t="shared" si="5"/>
        <v>-83153.766413767822</v>
      </c>
      <c r="P65" s="187"/>
    </row>
    <row r="66" spans="1:17" s="186" customFormat="1" x14ac:dyDescent="0.35">
      <c r="A66" s="186" t="s">
        <v>3907</v>
      </c>
      <c r="B66" s="187">
        <f>_xlfn.IFNA(_xlfn.XLOOKUP(A66,'Price list'!J:J,'Price list'!K:K),0)</f>
        <v>34000</v>
      </c>
      <c r="C66" s="186" t="s">
        <v>9</v>
      </c>
      <c r="E66" s="187"/>
      <c r="F66" s="187"/>
      <c r="G66" s="187" t="s">
        <v>1225</v>
      </c>
      <c r="H66" s="187" t="str">
        <f>IF(G66=0,"",_xlfn.XLOOKUP(G66,List_item!A:A,List_item!B:B))</f>
        <v>Karkas Uk 1.5 Karkas Uk 1.5 Frozen Grade A</v>
      </c>
      <c r="I66" s="188">
        <v>41</v>
      </c>
      <c r="J66" s="189">
        <f t="shared" si="4"/>
        <v>2.1180311608877136E-3</v>
      </c>
      <c r="K66" s="187">
        <f t="shared" si="0"/>
        <v>1394000</v>
      </c>
      <c r="L66" s="188">
        <f t="shared" si="16"/>
        <v>34721.194851810651</v>
      </c>
      <c r="M66" s="187">
        <f t="shared" si="2"/>
        <v>1423568.9889242367</v>
      </c>
      <c r="N66" s="187">
        <f t="shared" si="3"/>
        <v>-721.19485181065102</v>
      </c>
      <c r="O66" s="187">
        <f t="shared" si="5"/>
        <v>-29568.988924236735</v>
      </c>
      <c r="P66" s="187"/>
    </row>
    <row r="67" spans="1:17" x14ac:dyDescent="0.35">
      <c r="A67" t="s">
        <v>3908</v>
      </c>
      <c r="B67" s="3">
        <f>_xlfn.IFNA(_xlfn.XLOOKUP(A67,'Price list'!J:J,'Price list'!K:K),0)</f>
        <v>34000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156">
        <v>0</v>
      </c>
      <c r="J67" s="26">
        <f t="shared" si="4"/>
        <v>0</v>
      </c>
      <c r="K67" s="3">
        <f t="shared" si="0"/>
        <v>0</v>
      </c>
      <c r="L67" s="156">
        <f t="shared" si="16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7" x14ac:dyDescent="0.35">
      <c r="A68" t="s">
        <v>3909</v>
      </c>
      <c r="B68" s="3">
        <f>_xlfn.IFNA(_xlfn.XLOOKUP(A68,'Price list'!J:J,'Price list'!K:K),0)</f>
        <v>34000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156">
        <v>0</v>
      </c>
      <c r="J68" s="26">
        <f t="shared" si="4"/>
        <v>0</v>
      </c>
      <c r="K68" s="3">
        <f t="shared" si="0"/>
        <v>0</v>
      </c>
      <c r="L68" s="156">
        <f t="shared" si="16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7" x14ac:dyDescent="0.35">
      <c r="A69" t="s">
        <v>3945</v>
      </c>
      <c r="B69" s="3">
        <f>_xlfn.IFNA(_xlfn.XLOOKUP(A69,'Price list'!J:J,'Price list'!K:K),0)</f>
        <v>34000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156">
        <v>0</v>
      </c>
      <c r="J69" s="26">
        <f t="shared" si="4"/>
        <v>0</v>
      </c>
      <c r="K69" s="3">
        <f t="shared" si="0"/>
        <v>0</v>
      </c>
      <c r="L69" s="164">
        <f>IFERROR(((K69/$K$11)*$F$11)/(F69+I69),0)+IFERROR(((K69/SUMIF(H:H,"*Boneless*",K:K))*$F$6)/I69,0)</f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>
        <f>IFERROR(((K69/SUMIF(H:H,"*Boneless*",K:K))*$F$6),0)</f>
        <v>0</v>
      </c>
      <c r="Q69">
        <f>SUMIF(H:H,"*Boneless*",K:K)</f>
        <v>25268200</v>
      </c>
    </row>
    <row r="70" spans="1:17" x14ac:dyDescent="0.35">
      <c r="A70" t="s">
        <v>3911</v>
      </c>
      <c r="B70" s="3">
        <f>_xlfn.IFNA(_xlfn.XLOOKUP(A70,'Price list'!J:J,'Price list'!K:K),0)</f>
        <v>34000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156">
        <v>0</v>
      </c>
      <c r="J70" s="26">
        <f t="shared" si="4"/>
        <v>0</v>
      </c>
      <c r="K70" s="3">
        <f t="shared" si="0"/>
        <v>0</v>
      </c>
      <c r="L70" s="156">
        <f t="shared" ref="L70:L78" si="17">IFERROR(((K70/$K$11)*$F$11)/(F70+I70),0)</f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7" x14ac:dyDescent="0.35">
      <c r="A71" t="s">
        <v>3912</v>
      </c>
      <c r="B71" s="3">
        <f>_xlfn.IFNA(_xlfn.XLOOKUP(A71,'Price list'!J:J,'Price list'!K:K),0)</f>
        <v>34000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156">
        <v>0</v>
      </c>
      <c r="J71" s="26">
        <f t="shared" si="4"/>
        <v>0</v>
      </c>
      <c r="K71" s="3">
        <f t="shared" si="0"/>
        <v>0</v>
      </c>
      <c r="L71" s="156">
        <f t="shared" si="17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7" x14ac:dyDescent="0.35">
      <c r="A72" t="s">
        <v>3913</v>
      </c>
      <c r="B72" s="3">
        <f>_xlfn.IFNA(_xlfn.XLOOKUP(A72,'Price list'!J:J,'Price list'!K:K),0)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156">
        <v>0</v>
      </c>
      <c r="J72" s="26">
        <f t="shared" si="4"/>
        <v>0</v>
      </c>
      <c r="K72" s="3">
        <f t="shared" si="0"/>
        <v>0</v>
      </c>
      <c r="L72" s="156">
        <f t="shared" si="17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7" x14ac:dyDescent="0.35">
      <c r="A73" t="s">
        <v>3914</v>
      </c>
      <c r="B73" s="3">
        <f>_xlfn.IFNA(_xlfn.XLOOKUP(A73,'Price list'!J:J,'Price list'!K:K),0)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156">
        <v>0</v>
      </c>
      <c r="J73" s="26">
        <f t="shared" si="4"/>
        <v>0</v>
      </c>
      <c r="K73" s="3">
        <f t="shared" si="0"/>
        <v>0</v>
      </c>
      <c r="L73" s="156">
        <f t="shared" si="17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7" x14ac:dyDescent="0.35">
      <c r="A74" t="s">
        <v>4055</v>
      </c>
      <c r="B74" s="3">
        <f>_xlfn.IFNA(_xlfn.XLOOKUP(A74,'Price list'!J:J,'Price list'!K:K),0)</f>
        <v>45000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156">
        <v>0</v>
      </c>
      <c r="J74" s="26">
        <f t="shared" si="4"/>
        <v>0</v>
      </c>
      <c r="K74" s="3">
        <f t="shared" ref="K74:K79" si="18">+B74*(F74+I74)</f>
        <v>0</v>
      </c>
      <c r="L74" s="156">
        <f t="shared" si="17"/>
        <v>0</v>
      </c>
      <c r="M74" s="3">
        <f t="shared" ref="M74:M79" si="19">+L74*(F74+I74)</f>
        <v>0</v>
      </c>
      <c r="N74" s="3">
        <f t="shared" ref="N74:N79" si="20">IF(L74=0,0,B74-L74)</f>
        <v>0</v>
      </c>
      <c r="O74" s="3">
        <f t="shared" si="5"/>
        <v>0</v>
      </c>
      <c r="P74" s="3"/>
    </row>
    <row r="75" spans="1:17" x14ac:dyDescent="0.35">
      <c r="A75" t="s">
        <v>3916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156">
        <v>0</v>
      </c>
      <c r="J75" s="26">
        <f t="shared" ref="J75:J79" si="21">IF(F75/J$5&gt;0,F75/J$5,I75/J$5)</f>
        <v>0</v>
      </c>
      <c r="K75" s="3">
        <f t="shared" si="18"/>
        <v>0</v>
      </c>
      <c r="L75" s="156">
        <f t="shared" si="17"/>
        <v>0</v>
      </c>
      <c r="M75" s="3">
        <f t="shared" si="19"/>
        <v>0</v>
      </c>
      <c r="N75" s="3">
        <f t="shared" si="20"/>
        <v>0</v>
      </c>
      <c r="O75" s="3">
        <f t="shared" ref="O75:O79" si="22">+K75-M75</f>
        <v>0</v>
      </c>
      <c r="P75" s="3"/>
    </row>
    <row r="76" spans="1:17" x14ac:dyDescent="0.35">
      <c r="A76" t="s">
        <v>4062</v>
      </c>
      <c r="B76" s="3">
        <f>_xlfn.IFNA(_xlfn.XLOOKUP(A76,'Price list'!J:J,'Price list'!K:K),0)</f>
        <v>44000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156">
        <v>0</v>
      </c>
      <c r="J76" s="26">
        <f t="shared" si="21"/>
        <v>0</v>
      </c>
      <c r="K76" s="3">
        <f t="shared" si="18"/>
        <v>0</v>
      </c>
      <c r="L76" s="156">
        <f t="shared" si="17"/>
        <v>0</v>
      </c>
      <c r="M76" s="3">
        <f t="shared" si="19"/>
        <v>0</v>
      </c>
      <c r="N76" s="3">
        <f t="shared" si="20"/>
        <v>0</v>
      </c>
      <c r="O76" s="3">
        <f t="shared" si="22"/>
        <v>0</v>
      </c>
      <c r="P76" s="3"/>
    </row>
    <row r="77" spans="1:17" x14ac:dyDescent="0.35">
      <c r="A77" t="s">
        <v>3918</v>
      </c>
      <c r="B77" s="3">
        <f>_xlfn.IFNA(_xlfn.XLOOKUP(A77,'Price list'!J:J,'Price list'!K:K),0)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156">
        <v>0</v>
      </c>
      <c r="J77" s="26">
        <f t="shared" si="21"/>
        <v>0</v>
      </c>
      <c r="K77" s="3">
        <f t="shared" si="18"/>
        <v>0</v>
      </c>
      <c r="L77" s="156">
        <f t="shared" si="17"/>
        <v>0</v>
      </c>
      <c r="M77" s="3">
        <f t="shared" si="19"/>
        <v>0</v>
      </c>
      <c r="N77" s="3">
        <f t="shared" si="20"/>
        <v>0</v>
      </c>
      <c r="O77" s="3">
        <f t="shared" si="22"/>
        <v>0</v>
      </c>
      <c r="P77" s="3"/>
    </row>
    <row r="78" spans="1:17" x14ac:dyDescent="0.35">
      <c r="A78" t="s">
        <v>3919</v>
      </c>
      <c r="B78" s="3">
        <f>_xlfn.IFNA(_xlfn.XLOOKUP(A78,'Price list'!J:J,'Price list'!K:K),0)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156">
        <v>0</v>
      </c>
      <c r="J78" s="26">
        <f t="shared" si="21"/>
        <v>0</v>
      </c>
      <c r="K78" s="3">
        <f t="shared" si="18"/>
        <v>0</v>
      </c>
      <c r="L78" s="156">
        <f t="shared" si="17"/>
        <v>0</v>
      </c>
      <c r="M78" s="3">
        <f t="shared" si="19"/>
        <v>0</v>
      </c>
      <c r="N78" s="3">
        <f t="shared" si="20"/>
        <v>0</v>
      </c>
      <c r="O78" s="3">
        <f t="shared" si="22"/>
        <v>0</v>
      </c>
      <c r="P78" s="3"/>
    </row>
    <row r="79" spans="1:17" x14ac:dyDescent="0.35">
      <c r="A79" t="s">
        <v>3920</v>
      </c>
      <c r="B79" s="3">
        <f>_xlfn.IFNA(_xlfn.XLOOKUP(A79,'Price list'!J:J,'Price list'!K:K),0)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156">
        <v>0</v>
      </c>
      <c r="J79" s="26">
        <f t="shared" si="21"/>
        <v>0</v>
      </c>
      <c r="K79" s="3">
        <f t="shared" si="18"/>
        <v>0</v>
      </c>
      <c r="L79" s="164">
        <f>IFERROR(((K79/$K$11)*$F$11)/(F79+I79),0)+IFERROR(((K79/SUMIF(H:H,"*Boneless*",K:K))*$F$6)/I79,0)</f>
        <v>0</v>
      </c>
      <c r="M79" s="3">
        <f t="shared" si="19"/>
        <v>0</v>
      </c>
      <c r="N79" s="3">
        <f t="shared" si="20"/>
        <v>0</v>
      </c>
      <c r="O79" s="3">
        <f t="shared" si="22"/>
        <v>0</v>
      </c>
      <c r="P79" s="3">
        <f>IFERROR(((K79/SUMIF(H:H,"*Boneless*",K:K))*$F$6),0)</f>
        <v>0</v>
      </c>
      <c r="Q79">
        <f>SUMIF(H:H,"*Boneless*",K:K)</f>
        <v>25268200</v>
      </c>
    </row>
    <row r="80" spans="1:17" x14ac:dyDescent="0.35">
      <c r="A80" t="s">
        <v>3921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/>
      <c r="I80" s="3"/>
      <c r="J80" s="26"/>
      <c r="K80" s="3"/>
      <c r="L80" s="109"/>
      <c r="M80" s="3"/>
      <c r="N80" s="3"/>
      <c r="O80" s="3"/>
      <c r="P80" s="3"/>
    </row>
    <row r="81" spans="1:18" x14ac:dyDescent="0.35">
      <c r="A81" t="s">
        <v>3922</v>
      </c>
      <c r="B81" s="3">
        <f>_xlfn.IFNA(_xlfn.XLOOKUP(A81,'Price list'!J:J,'Price list'!K:K),0)</f>
        <v>0</v>
      </c>
      <c r="C81" t="s">
        <v>9</v>
      </c>
      <c r="E81" s="3"/>
      <c r="F81" s="3"/>
      <c r="G81" s="3"/>
      <c r="H81" s="3"/>
      <c r="I81" s="3"/>
      <c r="J81" s="26"/>
      <c r="K81" s="3"/>
      <c r="L81" s="109"/>
      <c r="M81" s="3"/>
      <c r="N81" s="3"/>
      <c r="O81" s="3"/>
      <c r="P81" s="3"/>
    </row>
    <row r="82" spans="1:18" x14ac:dyDescent="0.35">
      <c r="A82" t="s">
        <v>3923</v>
      </c>
      <c r="B82" s="3">
        <f>_xlfn.IFNA(_xlfn.XLOOKUP(A82,'Price list'!J:J,'Price list'!K:K),0)</f>
        <v>0</v>
      </c>
      <c r="C82" t="s">
        <v>9</v>
      </c>
      <c r="E82" s="3"/>
      <c r="F82" s="3"/>
      <c r="G82" s="3"/>
      <c r="H82" s="3"/>
      <c r="I82" s="3"/>
      <c r="J82" s="26"/>
      <c r="K82" s="3"/>
      <c r="L82" s="109"/>
      <c r="M82" s="3"/>
      <c r="N82" s="3"/>
      <c r="O82" s="3"/>
      <c r="P82" s="3"/>
    </row>
    <row r="83" spans="1:18" x14ac:dyDescent="0.35">
      <c r="A83" t="s">
        <v>3924</v>
      </c>
      <c r="B83" s="3">
        <f>_xlfn.IFNA(_xlfn.XLOOKUP(A83,'Price list'!J:J,'Price list'!K:K),0)</f>
        <v>0</v>
      </c>
      <c r="C83" t="s">
        <v>9</v>
      </c>
      <c r="E83" s="3"/>
      <c r="F83" s="3"/>
      <c r="G83" s="3"/>
      <c r="H83" s="3"/>
      <c r="I83" s="3"/>
      <c r="J83" s="26"/>
      <c r="K83" s="3"/>
      <c r="L83" s="109"/>
      <c r="M83" s="3"/>
      <c r="N83" s="3"/>
      <c r="O83" s="3"/>
      <c r="P83" s="3"/>
    </row>
    <row r="84" spans="1:18" x14ac:dyDescent="0.35">
      <c r="A84" t="s">
        <v>4060</v>
      </c>
      <c r="B84" s="3">
        <f>_xlfn.IFNA(_xlfn.XLOOKUP(A84,'Price list'!J:J,'Price list'!K:K),0)</f>
        <v>36000</v>
      </c>
      <c r="C84" t="s">
        <v>9</v>
      </c>
      <c r="E84" s="3"/>
      <c r="F84" s="3"/>
      <c r="G84" s="3"/>
      <c r="H84" s="3"/>
      <c r="I84" s="3"/>
      <c r="J84" s="26"/>
      <c r="K84" s="3"/>
      <c r="L84" s="109"/>
      <c r="M84" s="3"/>
      <c r="N84" s="3"/>
      <c r="O84" s="3"/>
      <c r="P84" s="3"/>
    </row>
    <row r="85" spans="1:18" x14ac:dyDescent="0.35">
      <c r="B85" s="3"/>
      <c r="E85" s="3"/>
      <c r="F85" s="3"/>
      <c r="G85" s="3"/>
      <c r="H85" s="3"/>
      <c r="I85" s="3"/>
      <c r="J85" s="26"/>
      <c r="K85" s="3"/>
      <c r="L85" s="109"/>
      <c r="M85" s="3"/>
      <c r="N85" s="3"/>
      <c r="O85" s="3"/>
      <c r="P85" s="3"/>
    </row>
    <row r="87" spans="1:18" s="2" customFormat="1" x14ac:dyDescent="0.35">
      <c r="A87" t="s">
        <v>3929</v>
      </c>
      <c r="B87"/>
      <c r="C87"/>
      <c r="D87"/>
      <c r="E87"/>
      <c r="F87" s="117"/>
      <c r="G87" t="s">
        <v>3930</v>
      </c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/>
      <c r="B89"/>
      <c r="C89"/>
      <c r="D89"/>
      <c r="E89"/>
      <c r="F89" s="117"/>
      <c r="G89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  <row r="91" spans="1:18" s="2" customFormat="1" x14ac:dyDescent="0.35">
      <c r="A91"/>
      <c r="B91"/>
      <c r="C91"/>
      <c r="D91"/>
      <c r="E91"/>
      <c r="F91" s="117"/>
      <c r="G91"/>
      <c r="Q91"/>
      <c r="R91"/>
    </row>
    <row r="92" spans="1:18" s="2" customFormat="1" x14ac:dyDescent="0.35">
      <c r="A92"/>
      <c r="B92"/>
      <c r="C92"/>
      <c r="D92"/>
      <c r="E92"/>
      <c r="F92" s="117"/>
      <c r="G92"/>
      <c r="Q92"/>
      <c r="R92"/>
    </row>
    <row r="93" spans="1:18" s="2" customFormat="1" x14ac:dyDescent="0.35">
      <c r="A93" s="118"/>
      <c r="B93"/>
      <c r="C93"/>
      <c r="D93"/>
      <c r="E93"/>
      <c r="F93" s="117"/>
      <c r="G93" s="118"/>
      <c r="Q93"/>
      <c r="R93"/>
    </row>
    <row r="94" spans="1:18" s="2" customFormat="1" x14ac:dyDescent="0.35">
      <c r="A94"/>
      <c r="B94"/>
      <c r="C94"/>
      <c r="D94"/>
      <c r="E94"/>
      <c r="F94" s="117"/>
      <c r="G94"/>
      <c r="Q94"/>
      <c r="R94"/>
    </row>
  </sheetData>
  <autoFilter ref="A11:P79" xr:uid="{9E3D57EB-0D9F-40FE-B4FE-C94EEFF00F8F}"/>
  <conditionalFormatting sqref="O11">
    <cfRule type="cellIs" dxfId="21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63" max="1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0EEF-8880-4D69-AA7C-E45240653CC7}">
  <sheetPr>
    <tabColor rgb="FFFFC000"/>
    <pageSetUpPr fitToPage="1"/>
  </sheetPr>
  <dimension ref="A1:R90"/>
  <sheetViews>
    <sheetView zoomScale="80" zoomScaleNormal="80" workbookViewId="0">
      <pane xSplit="3" ySplit="10" topLeftCell="E25" activePane="bottomRight" state="frozen"/>
      <selection activeCell="G4" sqref="G4"/>
      <selection pane="topRight" activeCell="G4" sqref="G4"/>
      <selection pane="bottomLeft" activeCell="G4" sqref="G4"/>
      <selection pane="bottomRight" activeCell="H5" sqref="H5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4.6328125" style="2" bestFit="1" customWidth="1"/>
    <col min="10" max="10" width="11.26953125" style="2" bestFit="1" customWidth="1"/>
    <col min="11" max="11" width="17.81640625" style="2" bestFit="1" customWidth="1"/>
    <col min="12" max="12" width="16.36328125" style="2" bestFit="1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+I9/E11</f>
        <v>2.2229428571428573</v>
      </c>
    </row>
    <row r="2" spans="1:18" x14ac:dyDescent="0.35">
      <c r="A2" s="18" t="s">
        <v>3865</v>
      </c>
      <c r="E2" s="163"/>
      <c r="F2" s="163"/>
      <c r="G2" s="19" t="s">
        <v>3943</v>
      </c>
    </row>
    <row r="3" spans="1:18" x14ac:dyDescent="0.35">
      <c r="A3" s="101" t="s">
        <v>3866</v>
      </c>
      <c r="B3" s="2">
        <f>J5*24700</f>
        <v>221316940.00000003</v>
      </c>
      <c r="C3" s="19"/>
      <c r="E3" s="157"/>
      <c r="F3" s="157"/>
      <c r="G3" s="156" t="s">
        <v>4153</v>
      </c>
      <c r="H3" s="157"/>
      <c r="I3" s="101" t="s">
        <v>3870</v>
      </c>
      <c r="J3" s="2" t="s">
        <v>3950</v>
      </c>
      <c r="Q3" s="25"/>
      <c r="R3" s="2"/>
    </row>
    <row r="4" spans="1:18" x14ac:dyDescent="0.35">
      <c r="A4" s="101" t="s">
        <v>3867</v>
      </c>
      <c r="B4" s="2">
        <f>2*2000000</f>
        <v>4000000</v>
      </c>
      <c r="E4"/>
      <c r="F4" s="157"/>
      <c r="G4" s="157" t="s">
        <v>4149</v>
      </c>
      <c r="H4" s="157" t="s">
        <v>4150</v>
      </c>
      <c r="I4" s="101" t="s">
        <v>3872</v>
      </c>
      <c r="J4" s="115">
        <v>46295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13029090</v>
      </c>
      <c r="E5" s="157"/>
      <c r="F5" s="157"/>
      <c r="G5" s="157" t="s">
        <v>4151</v>
      </c>
      <c r="H5" s="157" t="s">
        <v>4152</v>
      </c>
      <c r="I5" s="101" t="s">
        <v>3944</v>
      </c>
      <c r="J5" s="19">
        <f>4251.9+4708.3</f>
        <v>8960.2000000000007</v>
      </c>
      <c r="K5" s="2">
        <v>8686.06</v>
      </c>
      <c r="L5" s="2">
        <f>J5-K5</f>
        <v>274.14000000000124</v>
      </c>
      <c r="M5" s="147">
        <f>L5/J5</f>
        <v>3.0595299212071294E-2</v>
      </c>
    </row>
    <row r="6" spans="1:18" x14ac:dyDescent="0.35">
      <c r="A6" s="102" t="s">
        <v>3869</v>
      </c>
      <c r="B6" s="19">
        <f>SUBTOTAL(9,B3:B5)</f>
        <v>238346030.00000003</v>
      </c>
      <c r="E6" s="149" t="s">
        <v>4054</v>
      </c>
      <c r="F6" s="93">
        <v>4566065</v>
      </c>
      <c r="I6" s="101"/>
      <c r="J6" s="19"/>
      <c r="M6" s="147"/>
    </row>
    <row r="7" spans="1:18" x14ac:dyDescent="0.35">
      <c r="B7" s="2">
        <f>B6+F6</f>
        <v>242912095.00000003</v>
      </c>
      <c r="Q7" s="25"/>
    </row>
    <row r="8" spans="1:18" ht="4.5" customHeight="1" x14ac:dyDescent="0.35">
      <c r="A8" s="101"/>
    </row>
    <row r="9" spans="1:18" x14ac:dyDescent="0.35">
      <c r="A9" s="8"/>
      <c r="B9" s="19"/>
      <c r="C9" s="18"/>
      <c r="E9" s="18"/>
      <c r="I9" s="2">
        <f>J9+3300.2*2</f>
        <v>15560.6</v>
      </c>
      <c r="J9" s="2">
        <f>J5-J7</f>
        <v>8960.2000000000007</v>
      </c>
      <c r="K9" s="19" t="s">
        <v>3931</v>
      </c>
      <c r="L9" s="28" t="e">
        <f>SUM(K12:K66)/M11-1</f>
        <v>#DIV/0!</v>
      </c>
    </row>
    <row r="10" spans="1:18" ht="28.5" customHeight="1" x14ac:dyDescent="0.35">
      <c r="A10" s="112" t="s">
        <v>27</v>
      </c>
      <c r="B10" s="119" t="s">
        <v>3938</v>
      </c>
      <c r="C10" s="112" t="s">
        <v>4</v>
      </c>
      <c r="D10" s="1"/>
      <c r="E10" s="113" t="s">
        <v>28</v>
      </c>
      <c r="F10" s="110" t="s">
        <v>6</v>
      </c>
      <c r="G10" s="110" t="s">
        <v>3937</v>
      </c>
      <c r="H10" s="120" t="s">
        <v>3926</v>
      </c>
      <c r="I10" s="110" t="s">
        <v>3835</v>
      </c>
      <c r="J10" s="119" t="s">
        <v>2177</v>
      </c>
      <c r="K10" s="119" t="s">
        <v>3932</v>
      </c>
      <c r="L10" s="119" t="s">
        <v>3935</v>
      </c>
      <c r="M10" s="120" t="s">
        <v>2173</v>
      </c>
      <c r="N10" s="121" t="s">
        <v>3939</v>
      </c>
      <c r="O10" s="121" t="s">
        <v>3936</v>
      </c>
      <c r="P10" s="110" t="s">
        <v>3826</v>
      </c>
    </row>
    <row r="11" spans="1:18" x14ac:dyDescent="0.35">
      <c r="A11" s="4"/>
      <c r="B11" s="24"/>
      <c r="C11" s="4"/>
      <c r="D11" s="1"/>
      <c r="E11" s="5">
        <v>7000</v>
      </c>
      <c r="F11" s="5">
        <f>+B6</f>
        <v>238346030.00000003</v>
      </c>
      <c r="G11" s="5"/>
      <c r="H11" s="5"/>
      <c r="I11" s="5">
        <f>SUM(I12:I83)</f>
        <v>0</v>
      </c>
      <c r="J11" s="148">
        <f>SUM(J12:J83)</f>
        <v>0</v>
      </c>
      <c r="K11" s="5">
        <f>SUM(K12:K83)</f>
        <v>0</v>
      </c>
      <c r="L11" s="5"/>
      <c r="M11" s="5">
        <f>SUM(M12:M83)</f>
        <v>0</v>
      </c>
      <c r="N11" s="5"/>
      <c r="O11" s="5">
        <f>SUM(O12:O83)</f>
        <v>0</v>
      </c>
    </row>
    <row r="12" spans="1:18" x14ac:dyDescent="0.35">
      <c r="A12" t="s">
        <v>3873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>IF(F12/J$5&gt;0,F12/J$5,I12/J$5)</f>
        <v>0</v>
      </c>
      <c r="K12" s="3">
        <f t="shared" ref="K12:K75" si="0">+B12*(F12+I12)</f>
        <v>0</v>
      </c>
      <c r="L12" s="27">
        <f t="shared" ref="L12:L30" si="1">IFERROR(((K12/$K$11)*$F$11)/(F12+I12),0)</f>
        <v>0</v>
      </c>
      <c r="M12" s="3">
        <f t="shared" ref="M12:M75" si="2">+L12*(F12+I12)</f>
        <v>0</v>
      </c>
      <c r="N12" s="3">
        <f t="shared" ref="N12:N75" si="3">IF(L12=0,0,B12-L12)</f>
        <v>0</v>
      </c>
      <c r="O12" s="3">
        <f>+K12-M12</f>
        <v>0</v>
      </c>
      <c r="P12" s="3"/>
    </row>
    <row r="13" spans="1:18" x14ac:dyDescent="0.35">
      <c r="A13" t="s">
        <v>3874</v>
      </c>
      <c r="B13" s="3">
        <f>_xlfn.IFNA(_xlfn.XLOOKUP(A13,'Price list'!J:J,'Price list'!K:K),0)</f>
        <v>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ref="J13:J76" si="4">IF(F13/J$5&gt;0,F13/J$5,I13/J$5)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ref="O13:O76" si="5">+K13-M13</f>
        <v>0</v>
      </c>
      <c r="P13" s="3"/>
      <c r="R13" s="3"/>
    </row>
    <row r="14" spans="1:18" x14ac:dyDescent="0.35">
      <c r="A14" t="s">
        <v>3875</v>
      </c>
      <c r="B14" s="3">
        <f>_xlfn.IFNA(_xlfn.XLOOKUP(A14,'Price list'!J:J,'Price list'!K:K),0)</f>
        <v>37000</v>
      </c>
      <c r="C14" t="s">
        <v>9</v>
      </c>
      <c r="E14" s="3"/>
      <c r="F14" s="3"/>
      <c r="G14" s="3"/>
      <c r="H14" s="3" t="str">
        <f>IF(G14=0,"",_xlfn.XLOOKUP(G14,List_item!A:A,List_item!B:B))</f>
        <v/>
      </c>
      <c r="I14" s="3">
        <v>0</v>
      </c>
      <c r="J14" s="26">
        <f t="shared" si="4"/>
        <v>0</v>
      </c>
      <c r="K14" s="3">
        <f t="shared" si="0"/>
        <v>0</v>
      </c>
      <c r="L14" s="27">
        <f t="shared" si="1"/>
        <v>0</v>
      </c>
      <c r="M14" s="3">
        <f t="shared" si="2"/>
        <v>0</v>
      </c>
      <c r="N14" s="3">
        <f t="shared" si="3"/>
        <v>0</v>
      </c>
      <c r="O14" s="3">
        <f t="shared" si="5"/>
        <v>0</v>
      </c>
      <c r="P14" s="3"/>
    </row>
    <row r="15" spans="1:18" x14ac:dyDescent="0.35">
      <c r="A15" t="s">
        <v>3876</v>
      </c>
      <c r="B15" s="3">
        <f>_xlfn.IFNA(_xlfn.XLOOKUP(A15,'Price list'!J:J,'Price list'!K:K),0)</f>
        <v>37000</v>
      </c>
      <c r="C15" t="s">
        <v>9</v>
      </c>
      <c r="E15" s="3"/>
      <c r="F15" s="3"/>
      <c r="G15" s="3"/>
      <c r="H15" s="3" t="str">
        <f>IF(G15=0,"",_xlfn.XLOOKUP(G15,List_item!A:A,List_item!B:B))</f>
        <v/>
      </c>
      <c r="I15" s="3">
        <v>0</v>
      </c>
      <c r="J15" s="26">
        <f t="shared" si="4"/>
        <v>0</v>
      </c>
      <c r="K15" s="3">
        <f t="shared" si="0"/>
        <v>0</v>
      </c>
      <c r="L15" s="27">
        <f t="shared" si="1"/>
        <v>0</v>
      </c>
      <c r="M15" s="3">
        <f t="shared" si="2"/>
        <v>0</v>
      </c>
      <c r="N15" s="3">
        <f t="shared" si="3"/>
        <v>0</v>
      </c>
      <c r="O15" s="3">
        <f t="shared" si="5"/>
        <v>0</v>
      </c>
      <c r="P15" s="3"/>
    </row>
    <row r="16" spans="1:18" x14ac:dyDescent="0.35">
      <c r="A16" t="s">
        <v>3877</v>
      </c>
      <c r="B16" s="3">
        <f>_xlfn.IFNA(_xlfn.XLOOKUP(A16,'Price list'!J:J,'Price list'!K:K),0)</f>
        <v>37000</v>
      </c>
      <c r="C16" t="s">
        <v>9</v>
      </c>
      <c r="E16"/>
      <c r="F16"/>
      <c r="G16" s="3"/>
      <c r="H16" s="3" t="str">
        <f>IF(G16=0,"",_xlfn.XLOOKUP(G16,List_item!A:A,List_item!B:B))</f>
        <v/>
      </c>
      <c r="I16" s="3">
        <v>0</v>
      </c>
      <c r="J16" s="26">
        <f t="shared" si="4"/>
        <v>0</v>
      </c>
      <c r="K16" s="3">
        <f t="shared" si="0"/>
        <v>0</v>
      </c>
      <c r="L16" s="27">
        <f t="shared" si="1"/>
        <v>0</v>
      </c>
      <c r="M16" s="3">
        <f t="shared" si="2"/>
        <v>0</v>
      </c>
      <c r="N16" s="3">
        <f t="shared" si="3"/>
        <v>0</v>
      </c>
      <c r="O16" s="3">
        <f t="shared" si="5"/>
        <v>0</v>
      </c>
      <c r="P16" s="3"/>
    </row>
    <row r="17" spans="1:17" x14ac:dyDescent="0.35">
      <c r="A17" t="s">
        <v>3878</v>
      </c>
      <c r="B17" s="3">
        <f>_xlfn.IFNA(_xlfn.XLOOKUP(A17,'Price list'!J:J,'Price list'!K:K),0)</f>
        <v>37000</v>
      </c>
      <c r="C17" t="s">
        <v>9</v>
      </c>
      <c r="E17" s="3"/>
      <c r="F17"/>
      <c r="G17" s="3"/>
      <c r="H17" s="3" t="str">
        <f>IF(G17=0,"",_xlfn.XLOOKUP(G17,List_item!A:A,List_item!B:B))</f>
        <v/>
      </c>
      <c r="I17" s="3">
        <v>0</v>
      </c>
      <c r="J17" s="26">
        <f t="shared" si="4"/>
        <v>0</v>
      </c>
      <c r="K17" s="3">
        <f t="shared" si="0"/>
        <v>0</v>
      </c>
      <c r="L17" s="27">
        <f t="shared" si="1"/>
        <v>0</v>
      </c>
      <c r="M17" s="3">
        <f t="shared" si="2"/>
        <v>0</v>
      </c>
      <c r="N17" s="3">
        <f t="shared" si="3"/>
        <v>0</v>
      </c>
      <c r="O17" s="3">
        <f t="shared" si="5"/>
        <v>0</v>
      </c>
      <c r="P17" s="3"/>
    </row>
    <row r="18" spans="1:17" x14ac:dyDescent="0.35">
      <c r="A18" t="s">
        <v>3879</v>
      </c>
      <c r="B18" s="3">
        <f>_xlfn.IFNA(_xlfn.XLOOKUP(A18,'Price list'!J:J,'Price list'!K:K),0)</f>
        <v>37000</v>
      </c>
      <c r="C18" t="s">
        <v>9</v>
      </c>
      <c r="E18" s="6"/>
      <c r="F18"/>
      <c r="G18" s="3"/>
      <c r="H18" s="3" t="str">
        <f>IF(G18=0,"",_xlfn.XLOOKUP(G18,List_item!A:A,List_item!B:B))</f>
        <v/>
      </c>
      <c r="I18" s="3">
        <v>0</v>
      </c>
      <c r="J18" s="26">
        <f t="shared" si="4"/>
        <v>0</v>
      </c>
      <c r="K18" s="3">
        <f t="shared" si="0"/>
        <v>0</v>
      </c>
      <c r="L18" s="27">
        <f t="shared" si="1"/>
        <v>0</v>
      </c>
      <c r="M18" s="3">
        <f t="shared" si="2"/>
        <v>0</v>
      </c>
      <c r="N18" s="3">
        <f t="shared" si="3"/>
        <v>0</v>
      </c>
      <c r="O18" s="3">
        <f t="shared" si="5"/>
        <v>0</v>
      </c>
      <c r="P18" s="3"/>
    </row>
    <row r="19" spans="1:17" x14ac:dyDescent="0.35">
      <c r="A19" t="s">
        <v>3880</v>
      </c>
      <c r="B19" s="3">
        <f>_xlfn.IFNA(_xlfn.XLOOKUP(A19,'Price list'!J:J,'Price list'!K:K),0)</f>
        <v>37000</v>
      </c>
      <c r="C19" t="s">
        <v>9</v>
      </c>
      <c r="E19" s="3"/>
      <c r="F19" s="3"/>
      <c r="G19" s="3"/>
      <c r="H19" s="3" t="str">
        <f>IF(G19=0,"",_xlfn.XLOOKUP(G19,List_item!A:A,List_item!B:B))</f>
        <v/>
      </c>
      <c r="I19" s="3">
        <v>0</v>
      </c>
      <c r="J19" s="26">
        <f t="shared" si="4"/>
        <v>0</v>
      </c>
      <c r="K19" s="3">
        <f t="shared" si="0"/>
        <v>0</v>
      </c>
      <c r="L19" s="27">
        <f t="shared" si="1"/>
        <v>0</v>
      </c>
      <c r="M19" s="3">
        <f t="shared" si="2"/>
        <v>0</v>
      </c>
      <c r="N19" s="3">
        <f t="shared" si="3"/>
        <v>0</v>
      </c>
      <c r="O19" s="3">
        <f t="shared" si="5"/>
        <v>0</v>
      </c>
      <c r="P19" s="3"/>
    </row>
    <row r="20" spans="1:17" x14ac:dyDescent="0.35">
      <c r="A20" t="s">
        <v>3881</v>
      </c>
      <c r="B20" s="3">
        <f>_xlfn.IFNA(_xlfn.XLOOKUP(A20,'Price list'!J:J,'Price list'!K:K),0)</f>
        <v>37000</v>
      </c>
      <c r="C20" t="s">
        <v>9</v>
      </c>
      <c r="E20" s="3"/>
      <c r="F20" s="3"/>
      <c r="G20" s="3"/>
      <c r="H20" s="3" t="str">
        <f>IF(G20=0,"",_xlfn.XLOOKUP(G20,List_item!A:A,List_item!B:B))</f>
        <v/>
      </c>
      <c r="I20" s="3">
        <v>0</v>
      </c>
      <c r="J20" s="26">
        <f t="shared" si="4"/>
        <v>0</v>
      </c>
      <c r="K20" s="3">
        <f t="shared" si="0"/>
        <v>0</v>
      </c>
      <c r="L20" s="27">
        <f t="shared" si="1"/>
        <v>0</v>
      </c>
      <c r="M20" s="3">
        <f t="shared" si="2"/>
        <v>0</v>
      </c>
      <c r="N20" s="3">
        <f t="shared" si="3"/>
        <v>0</v>
      </c>
      <c r="O20" s="3">
        <f t="shared" si="5"/>
        <v>0</v>
      </c>
      <c r="P20" s="3"/>
    </row>
    <row r="21" spans="1:17" x14ac:dyDescent="0.35">
      <c r="A21" t="s">
        <v>3882</v>
      </c>
      <c r="B21" s="3">
        <f>_xlfn.IFNA(_xlfn.XLOOKUP(A21,'Price list'!J:J,'Price list'!K:K),0)</f>
        <v>37000</v>
      </c>
      <c r="C21" t="s">
        <v>9</v>
      </c>
      <c r="E21" s="3"/>
      <c r="F21" s="3"/>
      <c r="G21" s="3"/>
      <c r="H21" s="3" t="str">
        <f>IF(G21=0,"",_xlfn.XLOOKUP(G21,List_item!A:A,List_item!B:B))</f>
        <v/>
      </c>
      <c r="I21" s="3">
        <v>0</v>
      </c>
      <c r="J21" s="26">
        <f t="shared" si="4"/>
        <v>0</v>
      </c>
      <c r="K21" s="3">
        <f t="shared" si="0"/>
        <v>0</v>
      </c>
      <c r="L21" s="27">
        <f t="shared" si="1"/>
        <v>0</v>
      </c>
      <c r="M21" s="3">
        <f t="shared" si="2"/>
        <v>0</v>
      </c>
      <c r="N21" s="3">
        <f t="shared" si="3"/>
        <v>0</v>
      </c>
      <c r="O21" s="3">
        <f t="shared" si="5"/>
        <v>0</v>
      </c>
      <c r="P21" s="3"/>
    </row>
    <row r="22" spans="1:17" x14ac:dyDescent="0.35">
      <c r="A22" t="s">
        <v>3883</v>
      </c>
      <c r="B22" s="3">
        <f>_xlfn.IFNA(_xlfn.XLOOKUP(A22,'Price list'!J:J,'Price list'!K:K),0)</f>
        <v>37000</v>
      </c>
      <c r="C22" t="s">
        <v>9</v>
      </c>
      <c r="E22" s="3"/>
      <c r="F22" s="3"/>
      <c r="G22" s="3"/>
      <c r="H22" s="3" t="str">
        <f>IF(G22=0,"",_xlfn.XLOOKUP(G22,List_item!A:A,List_item!B:B))</f>
        <v/>
      </c>
      <c r="I22" s="3">
        <v>0</v>
      </c>
      <c r="J22" s="26">
        <f t="shared" si="4"/>
        <v>0</v>
      </c>
      <c r="K22" s="3">
        <f t="shared" si="0"/>
        <v>0</v>
      </c>
      <c r="L22" s="27">
        <f t="shared" si="1"/>
        <v>0</v>
      </c>
      <c r="M22" s="3">
        <f t="shared" si="2"/>
        <v>0</v>
      </c>
      <c r="N22" s="3">
        <f t="shared" si="3"/>
        <v>0</v>
      </c>
      <c r="O22" s="3">
        <f t="shared" si="5"/>
        <v>0</v>
      </c>
      <c r="P22" s="3"/>
    </row>
    <row r="23" spans="1:17" x14ac:dyDescent="0.35">
      <c r="A23" t="s">
        <v>3884</v>
      </c>
      <c r="B23" s="3">
        <f>_xlfn.IFNA(_xlfn.XLOOKUP(A23,'Price list'!J:J,'Price list'!K:K),0)</f>
        <v>37000</v>
      </c>
      <c r="C23" t="s">
        <v>9</v>
      </c>
      <c r="E23" s="3"/>
      <c r="F23" s="3"/>
      <c r="G23" s="3"/>
      <c r="H23" s="3" t="str">
        <f>IF(G23=0,"",_xlfn.XLOOKUP(G23,List_item!A:A,List_item!B:B))</f>
        <v/>
      </c>
      <c r="I23" s="3">
        <v>0</v>
      </c>
      <c r="J23" s="26">
        <f t="shared" si="4"/>
        <v>0</v>
      </c>
      <c r="K23" s="3">
        <f t="shared" si="0"/>
        <v>0</v>
      </c>
      <c r="L23" s="27">
        <f t="shared" si="1"/>
        <v>0</v>
      </c>
      <c r="M23" s="3">
        <f t="shared" si="2"/>
        <v>0</v>
      </c>
      <c r="N23" s="3">
        <f t="shared" si="3"/>
        <v>0</v>
      </c>
      <c r="O23" s="3">
        <f t="shared" si="5"/>
        <v>0</v>
      </c>
      <c r="P23" s="3"/>
    </row>
    <row r="24" spans="1:17" x14ac:dyDescent="0.35">
      <c r="A24" t="s">
        <v>3849</v>
      </c>
      <c r="B24" s="3">
        <f>_xlfn.IFNA(_xlfn.XLOOKUP(A24,'Price list'!J:J,'Price list'!K:K),0)</f>
        <v>37000</v>
      </c>
      <c r="C24" t="s">
        <v>9</v>
      </c>
      <c r="E24" s="3"/>
      <c r="F24" s="3"/>
      <c r="G24" s="3"/>
      <c r="H24" s="3" t="str">
        <f>IF(G24=0,"",_xlfn.XLOOKUP(G24,List_item!A:A,List_item!B:B))</f>
        <v/>
      </c>
      <c r="I24" s="3">
        <v>0</v>
      </c>
      <c r="J24" s="26">
        <f t="shared" si="4"/>
        <v>0</v>
      </c>
      <c r="K24" s="3">
        <f t="shared" si="0"/>
        <v>0</v>
      </c>
      <c r="L24" s="27">
        <f t="shared" si="1"/>
        <v>0</v>
      </c>
      <c r="M24" s="3">
        <f t="shared" si="2"/>
        <v>0</v>
      </c>
      <c r="N24" s="3">
        <f t="shared" si="3"/>
        <v>0</v>
      </c>
      <c r="O24" s="3">
        <f t="shared" si="5"/>
        <v>0</v>
      </c>
      <c r="P24" s="3"/>
    </row>
    <row r="25" spans="1:17" x14ac:dyDescent="0.35">
      <c r="A25" t="s">
        <v>3885</v>
      </c>
      <c r="B25" s="3">
        <f>_xlfn.IFNA(_xlfn.XLOOKUP(A25,'Price list'!J:J,'Price list'!K:K),0)</f>
        <v>37000</v>
      </c>
      <c r="C25" t="s">
        <v>9</v>
      </c>
      <c r="E25" s="3"/>
      <c r="F25" s="3"/>
      <c r="G25" s="3"/>
      <c r="H25" s="3" t="str">
        <f>IF(G25=0,"",_xlfn.XLOOKUP(G25,List_item!A:A,List_item!B:B))</f>
        <v/>
      </c>
      <c r="I25" s="3">
        <v>0</v>
      </c>
      <c r="J25" s="26">
        <f t="shared" si="4"/>
        <v>0</v>
      </c>
      <c r="K25" s="3">
        <f t="shared" si="0"/>
        <v>0</v>
      </c>
      <c r="L25" s="27">
        <f t="shared" si="1"/>
        <v>0</v>
      </c>
      <c r="M25" s="3">
        <f t="shared" si="2"/>
        <v>0</v>
      </c>
      <c r="N25" s="3">
        <f t="shared" si="3"/>
        <v>0</v>
      </c>
      <c r="O25" s="3">
        <f t="shared" si="5"/>
        <v>0</v>
      </c>
      <c r="P25" s="3"/>
    </row>
    <row r="26" spans="1:17" x14ac:dyDescent="0.35">
      <c r="A26" t="s">
        <v>3886</v>
      </c>
      <c r="B26" s="3">
        <f>_xlfn.IFNA(_xlfn.XLOOKUP(A26,'Price list'!J:J,'Price list'!K:K),0)</f>
        <v>37000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3">
        <v>0</v>
      </c>
      <c r="J26" s="26">
        <f t="shared" si="4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7" x14ac:dyDescent="0.35">
      <c r="A27" t="s">
        <v>3887</v>
      </c>
      <c r="B27" s="3">
        <f>_xlfn.IFNA(_xlfn.XLOOKUP(A27,'Price list'!J:J,'Price list'!K:K),0)</f>
        <v>37000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7" x14ac:dyDescent="0.35">
      <c r="A28" t="s">
        <v>3888</v>
      </c>
      <c r="B28" s="3">
        <f>_xlfn.IFNA(_xlfn.XLOOKUP(A28,'Price list'!J:J,'Price list'!K:K),0)</f>
        <v>37000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7" x14ac:dyDescent="0.35">
      <c r="A29" t="s">
        <v>3889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7" x14ac:dyDescent="0.35">
      <c r="A30" t="s">
        <v>3890</v>
      </c>
      <c r="B30" s="3">
        <f>_xlfn.IFNA(_xlfn.XLOOKUP(A30,'Price list'!J:J,'Price list'!K:K),0)</f>
        <v>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7" x14ac:dyDescent="0.35">
      <c r="A31" t="s">
        <v>8</v>
      </c>
      <c r="B31" s="3">
        <f>_xlfn.IFNA(_xlfn.XLOOKUP(A31,'Price list'!J:J,'Price list'!K:K),0)</f>
        <v>50000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109">
        <f>IFERROR(((K31/$K$11)*$F$11)/(F31+I31),0)+IFERROR(((K31/SUMIF(H:H,"*Boneless*",K:K))*$F$6)/I31,0)</f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>
        <f>IFERROR(((K31/SUMIF(H:H,"*Boneless*",K:K))*$F$6),0)</f>
        <v>0</v>
      </c>
      <c r="Q31">
        <f>SUMIF(H:H,"*Boneless*",K:K)</f>
        <v>0</v>
      </c>
    </row>
    <row r="32" spans="1:17" x14ac:dyDescent="0.35">
      <c r="A32" t="s">
        <v>10</v>
      </c>
      <c r="B32" s="3">
        <f>_xlfn.IFNA(_xlfn.XLOOKUP(A32,'Price list'!J:J,'Price list'!K:K),0)</f>
        <v>48000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>IFERROR(((K32/$K$11)*$F$11)/(F32+I32),0)</f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7" x14ac:dyDescent="0.35">
      <c r="A33" t="s">
        <v>12</v>
      </c>
      <c r="B33" s="3">
        <f>_xlfn.IFNA(_xlfn.XLOOKUP(A33,'Price list'!J:J,'Price list'!K:K),0)</f>
        <v>49000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109">
        <f t="shared" ref="L33:L38" si="6">IFERROR(((K33/$K$11)*$F$11)/(F33+I33),0)+IFERROR(((K33/SUMIF(H:H,"*Boneless*",K:K))*$F$6)/I33,0)</f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>
        <f t="shared" ref="P33:P38" si="7">IFERROR(((K33/SUMIF(H:H,"*Boneless*",K:K))*$F$6),0)</f>
        <v>0</v>
      </c>
      <c r="Q33">
        <f t="shared" ref="Q33:Q38" si="8">SUMIF(H:H,"*Boneless*",K:K)</f>
        <v>0</v>
      </c>
    </row>
    <row r="34" spans="1:17" x14ac:dyDescent="0.35">
      <c r="A34" t="s">
        <v>2159</v>
      </c>
      <c r="B34" s="3">
        <f>_xlfn.IFNA(_xlfn.XLOOKUP(A34,'Price list'!J:J,'Price list'!K:K),0)</f>
        <v>12500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109">
        <f t="shared" si="6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>
        <f t="shared" si="7"/>
        <v>0</v>
      </c>
      <c r="Q34">
        <f t="shared" si="8"/>
        <v>0</v>
      </c>
    </row>
    <row r="35" spans="1:17" x14ac:dyDescent="0.35">
      <c r="A35" t="s">
        <v>3891</v>
      </c>
      <c r="B35" s="3">
        <f>_xlfn.IFNA(_xlfn.XLOOKUP(A35,'Price list'!J:J,'Price list'!K:K),0)</f>
        <v>32000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109">
        <f t="shared" si="6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>
        <f t="shared" si="7"/>
        <v>0</v>
      </c>
      <c r="Q35">
        <f t="shared" si="8"/>
        <v>0</v>
      </c>
    </row>
    <row r="36" spans="1:17" x14ac:dyDescent="0.35">
      <c r="A36" t="s">
        <v>2179</v>
      </c>
      <c r="B36" s="3">
        <f>_xlfn.IFNA(_xlfn.XLOOKUP(A36,'Price list'!J:J,'Price list'!K:K),0)</f>
        <v>36000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109">
        <f t="shared" si="6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>
        <f t="shared" si="7"/>
        <v>0</v>
      </c>
      <c r="Q36">
        <f t="shared" si="8"/>
        <v>0</v>
      </c>
    </row>
    <row r="37" spans="1:17" x14ac:dyDescent="0.35">
      <c r="A37" t="s">
        <v>3852</v>
      </c>
      <c r="B37" s="3">
        <f>_xlfn.IFNA(_xlfn.XLOOKUP(A37,'Price list'!J:J,'Price list'!K:K),0)</f>
        <v>32000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109">
        <f t="shared" si="6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>
        <f t="shared" si="7"/>
        <v>0</v>
      </c>
      <c r="Q37">
        <f t="shared" si="8"/>
        <v>0</v>
      </c>
    </row>
    <row r="38" spans="1:17" x14ac:dyDescent="0.35">
      <c r="A38" t="s">
        <v>17</v>
      </c>
      <c r="B38" s="3">
        <f>_xlfn.IFNA(_xlfn.XLOOKUP(A38,'Price list'!J:J,'Price list'!K:K),0)</f>
        <v>5000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109">
        <f t="shared" si="6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>
        <f t="shared" si="7"/>
        <v>0</v>
      </c>
      <c r="Q38">
        <f t="shared" si="8"/>
        <v>0</v>
      </c>
    </row>
    <row r="39" spans="1:17" x14ac:dyDescent="0.35">
      <c r="A39" t="s">
        <v>2199</v>
      </c>
      <c r="B39" s="3">
        <f>_xlfn.IFNA(_xlfn.XLOOKUP(A39,'Price list'!J:J,'Price list'!K:K),0)</f>
        <v>35000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ref="L39:L44" si="9">IFERROR(((K39/$K$11)*$F$11)/(F39+I39),0)</f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7" x14ac:dyDescent="0.35">
      <c r="A40" t="s">
        <v>2161</v>
      </c>
      <c r="B40" s="3">
        <f>_xlfn.IFNA(_xlfn.XLOOKUP(A40,'Price list'!J:J,'Price list'!K:K),0)</f>
        <v>24000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9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7" x14ac:dyDescent="0.35">
      <c r="A41" t="s">
        <v>2162</v>
      </c>
      <c r="B41" s="3">
        <f>_xlfn.IFNA(_xlfn.XLOOKUP(A41,'Price list'!J:J,'Price list'!K:K),0)</f>
        <v>9500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3">
        <v>0</v>
      </c>
      <c r="J41" s="26">
        <f t="shared" si="4"/>
        <v>0</v>
      </c>
      <c r="K41" s="3">
        <f t="shared" si="0"/>
        <v>0</v>
      </c>
      <c r="L41" s="27">
        <f t="shared" si="9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7" x14ac:dyDescent="0.35">
      <c r="A42" t="s">
        <v>0</v>
      </c>
      <c r="B42" s="3">
        <f>_xlfn.IFNA(_xlfn.XLOOKUP(A42,'Price list'!J:J,'Price list'!K:K),0)</f>
        <v>16000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3">
        <v>0</v>
      </c>
      <c r="J42" s="26">
        <f t="shared" si="4"/>
        <v>0</v>
      </c>
      <c r="K42" s="3">
        <f t="shared" si="0"/>
        <v>0</v>
      </c>
      <c r="L42" s="27">
        <f t="shared" si="9"/>
        <v>0</v>
      </c>
      <c r="M42" s="3">
        <f t="shared" si="2"/>
        <v>0</v>
      </c>
      <c r="N42" s="3">
        <f t="shared" si="3"/>
        <v>0</v>
      </c>
      <c r="O42" s="3">
        <f t="shared" si="5"/>
        <v>0</v>
      </c>
      <c r="P42" s="3"/>
    </row>
    <row r="43" spans="1:17" x14ac:dyDescent="0.35">
      <c r="A43" t="s">
        <v>24</v>
      </c>
      <c r="B43" s="3">
        <f>_xlfn.IFNA(_xlfn.XLOOKUP(A43,'Price list'!J:J,'Price list'!K:K),0)</f>
        <v>4500</v>
      </c>
      <c r="C43" t="s">
        <v>9</v>
      </c>
      <c r="E43" s="3"/>
      <c r="F43" s="3"/>
      <c r="G43" s="3"/>
      <c r="H43" s="3" t="str">
        <f>IF(G43=0,"",_xlfn.XLOOKUP(G43,List_item!A:A,List_item!B:B))</f>
        <v/>
      </c>
      <c r="I43" s="3">
        <v>0</v>
      </c>
      <c r="J43" s="26">
        <f t="shared" si="4"/>
        <v>0</v>
      </c>
      <c r="K43" s="3">
        <f t="shared" si="0"/>
        <v>0</v>
      </c>
      <c r="L43" s="27">
        <f t="shared" si="9"/>
        <v>0</v>
      </c>
      <c r="M43" s="3">
        <f t="shared" si="2"/>
        <v>0</v>
      </c>
      <c r="N43" s="3">
        <f t="shared" si="3"/>
        <v>0</v>
      </c>
      <c r="O43" s="3">
        <f t="shared" si="5"/>
        <v>0</v>
      </c>
      <c r="P43" s="3"/>
    </row>
    <row r="44" spans="1:17" x14ac:dyDescent="0.35">
      <c r="A44" t="s">
        <v>3893</v>
      </c>
      <c r="B44" s="3">
        <f>_xlfn.IFNA(_xlfn.XLOOKUP(A44,'Price list'!J:J,'Price list'!K:K),0)</f>
        <v>1500</v>
      </c>
      <c r="C44" t="s">
        <v>9</v>
      </c>
      <c r="E44" s="3"/>
      <c r="F44" s="3"/>
      <c r="G44" s="3"/>
      <c r="H44" s="3" t="str">
        <f>IF(G44=0,"",_xlfn.XLOOKUP(G44,List_item!A:A,List_item!B:B))</f>
        <v/>
      </c>
      <c r="I44" s="3">
        <v>0</v>
      </c>
      <c r="J44" s="26">
        <f t="shared" si="4"/>
        <v>0</v>
      </c>
      <c r="K44" s="3">
        <f t="shared" si="0"/>
        <v>0</v>
      </c>
      <c r="L44" s="27">
        <f t="shared" si="9"/>
        <v>0</v>
      </c>
      <c r="M44" s="3">
        <f t="shared" si="2"/>
        <v>0</v>
      </c>
      <c r="N44" s="3">
        <f t="shared" si="3"/>
        <v>0</v>
      </c>
      <c r="O44" s="3">
        <f t="shared" si="5"/>
        <v>0</v>
      </c>
      <c r="P44" s="3" t="s">
        <v>3947</v>
      </c>
    </row>
    <row r="45" spans="1:17" x14ac:dyDescent="0.35">
      <c r="A45" t="s">
        <v>2167</v>
      </c>
      <c r="B45" s="3">
        <f>_xlfn.IFNA(_xlfn.XLOOKUP(A45,'Price list'!J:J,'Price list'!K:K),0)</f>
        <v>22000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109">
        <f>IFERROR(((K45/$K$11)*$F$11)/(F45+I45),0)+IFERROR(((K45/SUMIF(H:H,"*Boneless*",K:K))*$F$6)/I45,0)</f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>
        <f>IFERROR(((K45/SUMIF(H:H,"*Boneless*",K:K))*$F$6),0)</f>
        <v>0</v>
      </c>
      <c r="Q45">
        <f>SUMIF(H:H,"*Boneless*",K:K)</f>
        <v>0</v>
      </c>
    </row>
    <row r="46" spans="1:17" x14ac:dyDescent="0.35">
      <c r="A46" t="s">
        <v>2168</v>
      </c>
      <c r="B46" s="3">
        <f>_xlfn.IFNA(_xlfn.XLOOKUP(A46,'Price list'!J:J,'Price list'!K:K),0)</f>
        <v>16000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ref="L46:L70" si="10">IFERROR(((K46/$K$11)*$F$11)/(F46+I46),0)</f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7" x14ac:dyDescent="0.35">
      <c r="A47" t="s">
        <v>2169</v>
      </c>
      <c r="B47" s="3">
        <f>_xlfn.IFNA(_xlfn.XLOOKUP(A47,'Price list'!J:J,'Price list'!K:K),0)</f>
        <v>5000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10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7" x14ac:dyDescent="0.35">
      <c r="A48" t="s">
        <v>3894</v>
      </c>
      <c r="B48" s="3">
        <f>_xlfn.IFNA(_xlfn.XLOOKUP(A48,'Price list'!J:J,'Price list'!K:K),0)</f>
        <v>4500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0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2170</v>
      </c>
      <c r="B49" s="3">
        <f>_xlfn.IFNA(_xlfn.XLOOKUP(A49,'Price list'!J:J,'Price list'!K:K),0)</f>
        <v>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0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2171</v>
      </c>
      <c r="B50" s="3">
        <f>_xlfn.IFNA(_xlfn.XLOOKUP(A50,'Price list'!J:J,'Price list'!K:K),0)</f>
        <v>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0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3895</v>
      </c>
      <c r="B51" s="3">
        <f>_xlfn.IFNA(_xlfn.XLOOKUP(A51,'Price list'!J:J,'Price list'!K:K),0)</f>
        <v>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10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3896</v>
      </c>
      <c r="B52" s="3">
        <f>_xlfn.IFNA(_xlfn.XLOOKUP(A52,'Price list'!J:J,'Price list'!K:K),0)</f>
        <v>34000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0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3897</v>
      </c>
      <c r="B53" s="3">
        <f>_xlfn.IFNA(_xlfn.XLOOKUP(A53,'Price list'!J:J,'Price list'!K:K),0)</f>
        <v>34000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10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3898</v>
      </c>
      <c r="B54" s="3">
        <f>_xlfn.IFNA(_xlfn.XLOOKUP(A54,'Price list'!J:J,'Price list'!K:K),0)</f>
        <v>34000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0"/>
        <v>0</v>
      </c>
      <c r="L54" s="27">
        <f t="shared" si="10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x14ac:dyDescent="0.35">
      <c r="A55" t="s">
        <v>3899</v>
      </c>
      <c r="B55" s="3">
        <f>_xlfn.IFNA(_xlfn.XLOOKUP(A55,'Price list'!J:J,'Price list'!K:K),0)</f>
        <v>34000</v>
      </c>
      <c r="C55" t="s">
        <v>9</v>
      </c>
      <c r="E55" s="3"/>
      <c r="F55" s="3"/>
      <c r="G55" s="3"/>
      <c r="H55" s="3" t="str">
        <f>IF(G55=0,"",_xlfn.XLOOKUP(G55,List_item!A:A,List_item!B:B))</f>
        <v/>
      </c>
      <c r="I55" s="3">
        <v>0</v>
      </c>
      <c r="J55" s="26">
        <f t="shared" si="4"/>
        <v>0</v>
      </c>
      <c r="K55" s="3">
        <f t="shared" si="0"/>
        <v>0</v>
      </c>
      <c r="L55" s="27">
        <f t="shared" si="10"/>
        <v>0</v>
      </c>
      <c r="M55" s="3">
        <f t="shared" si="2"/>
        <v>0</v>
      </c>
      <c r="N55" s="3">
        <f t="shared" si="3"/>
        <v>0</v>
      </c>
      <c r="O55" s="3">
        <f t="shared" si="5"/>
        <v>0</v>
      </c>
      <c r="P55" s="3"/>
    </row>
    <row r="56" spans="1:16" x14ac:dyDescent="0.35">
      <c r="A56" t="s">
        <v>3900</v>
      </c>
      <c r="B56" s="3">
        <f>_xlfn.IFNA(_xlfn.XLOOKUP(A56,'Price list'!J:J,'Price list'!K:K),0)</f>
        <v>34000</v>
      </c>
      <c r="C56" t="s">
        <v>9</v>
      </c>
      <c r="E56" s="3"/>
      <c r="F56" s="3"/>
      <c r="G56" s="3"/>
      <c r="H56" s="3" t="str">
        <f>IF(G56=0,"",_xlfn.XLOOKUP(G56,List_item!A:A,List_item!B:B))</f>
        <v/>
      </c>
      <c r="I56" s="3">
        <v>0</v>
      </c>
      <c r="J56" s="26">
        <f t="shared" si="4"/>
        <v>0</v>
      </c>
      <c r="K56" s="3">
        <f t="shared" si="0"/>
        <v>0</v>
      </c>
      <c r="L56" s="27">
        <f t="shared" si="10"/>
        <v>0</v>
      </c>
      <c r="M56" s="3">
        <f t="shared" si="2"/>
        <v>0</v>
      </c>
      <c r="N56" s="3">
        <f t="shared" si="3"/>
        <v>0</v>
      </c>
      <c r="O56" s="3">
        <f t="shared" si="5"/>
        <v>0</v>
      </c>
      <c r="P56" s="3"/>
    </row>
    <row r="57" spans="1:16" x14ac:dyDescent="0.35">
      <c r="A57" t="s">
        <v>3901</v>
      </c>
      <c r="B57" s="3">
        <f>_xlfn.IFNA(_xlfn.XLOOKUP(A57,'Price list'!J:J,'Price list'!K:K),0)</f>
        <v>34000</v>
      </c>
      <c r="C57" t="s">
        <v>9</v>
      </c>
      <c r="E57" s="3"/>
      <c r="F57" s="3"/>
      <c r="G57" s="3"/>
      <c r="H57" s="3" t="str">
        <f>IF(G57=0,"",_xlfn.XLOOKUP(G57,List_item!A:A,List_item!B:B))</f>
        <v/>
      </c>
      <c r="I57" s="3">
        <v>0</v>
      </c>
      <c r="J57" s="26">
        <f t="shared" si="4"/>
        <v>0</v>
      </c>
      <c r="K57" s="3">
        <f t="shared" si="0"/>
        <v>0</v>
      </c>
      <c r="L57" s="27">
        <f t="shared" si="10"/>
        <v>0</v>
      </c>
      <c r="M57" s="3">
        <f t="shared" si="2"/>
        <v>0</v>
      </c>
      <c r="N57" s="3">
        <f t="shared" si="3"/>
        <v>0</v>
      </c>
      <c r="O57" s="3">
        <f t="shared" si="5"/>
        <v>0</v>
      </c>
      <c r="P57" s="3"/>
    </row>
    <row r="58" spans="1:16" x14ac:dyDescent="0.35">
      <c r="A58" t="s">
        <v>3902</v>
      </c>
      <c r="B58" s="3">
        <f>_xlfn.IFNA(_xlfn.XLOOKUP(A58,'Price list'!J:J,'Price list'!K:K),0)</f>
        <v>34000</v>
      </c>
      <c r="C58" t="s">
        <v>9</v>
      </c>
      <c r="E58" s="3"/>
      <c r="F58" s="3"/>
      <c r="G58" s="3"/>
      <c r="H58" s="3" t="str">
        <f>IF(G58=0,"",_xlfn.XLOOKUP(G58,List_item!A:A,List_item!B:B))</f>
        <v/>
      </c>
      <c r="I58" s="3">
        <v>0</v>
      </c>
      <c r="J58" s="26">
        <f t="shared" si="4"/>
        <v>0</v>
      </c>
      <c r="K58" s="3">
        <f t="shared" si="0"/>
        <v>0</v>
      </c>
      <c r="L58" s="27">
        <f t="shared" si="10"/>
        <v>0</v>
      </c>
      <c r="M58" s="3">
        <f t="shared" si="2"/>
        <v>0</v>
      </c>
      <c r="N58" s="3">
        <f t="shared" si="3"/>
        <v>0</v>
      </c>
      <c r="O58" s="3">
        <f t="shared" si="5"/>
        <v>0</v>
      </c>
      <c r="P58" s="3"/>
    </row>
    <row r="59" spans="1:16" x14ac:dyDescent="0.35">
      <c r="A59" t="s">
        <v>3903</v>
      </c>
      <c r="B59" s="3">
        <f>_xlfn.IFNA(_xlfn.XLOOKUP(A59,'Price list'!J:J,'Price list'!K:K),0)</f>
        <v>34000</v>
      </c>
      <c r="C59" t="s">
        <v>9</v>
      </c>
      <c r="E59" s="3"/>
      <c r="F59" s="3"/>
      <c r="G59" s="3"/>
      <c r="H59" s="3" t="str">
        <f>IF(G59=0,"",_xlfn.XLOOKUP(G59,List_item!A:A,List_item!B:B))</f>
        <v/>
      </c>
      <c r="I59" s="3">
        <v>0</v>
      </c>
      <c r="J59" s="26">
        <f t="shared" si="4"/>
        <v>0</v>
      </c>
      <c r="K59" s="3">
        <f t="shared" si="0"/>
        <v>0</v>
      </c>
      <c r="L59" s="27">
        <f t="shared" si="10"/>
        <v>0</v>
      </c>
      <c r="M59" s="3">
        <f t="shared" si="2"/>
        <v>0</v>
      </c>
      <c r="N59" s="3">
        <f t="shared" si="3"/>
        <v>0</v>
      </c>
      <c r="O59" s="3">
        <f t="shared" si="5"/>
        <v>0</v>
      </c>
      <c r="P59" s="3"/>
    </row>
    <row r="60" spans="1:16" x14ac:dyDescent="0.35">
      <c r="A60" t="s">
        <v>3904</v>
      </c>
      <c r="B60" s="3">
        <f>_xlfn.IFNA(_xlfn.XLOOKUP(A60,'Price list'!J:J,'Price list'!K:K),0)</f>
        <v>34000</v>
      </c>
      <c r="C60" t="s">
        <v>9</v>
      </c>
      <c r="E60" s="3"/>
      <c r="F60" s="3"/>
      <c r="G60" s="3"/>
      <c r="H60" s="3" t="str">
        <f>IF(G60=0,"",_xlfn.XLOOKUP(G60,List_item!A:A,List_item!B:B))</f>
        <v/>
      </c>
      <c r="I60" s="3">
        <v>0</v>
      </c>
      <c r="J60" s="26">
        <f t="shared" si="4"/>
        <v>0</v>
      </c>
      <c r="K60" s="3">
        <f t="shared" si="0"/>
        <v>0</v>
      </c>
      <c r="L60" s="27">
        <f t="shared" si="10"/>
        <v>0</v>
      </c>
      <c r="M60" s="3">
        <f t="shared" si="2"/>
        <v>0</v>
      </c>
      <c r="N60" s="3">
        <f t="shared" si="3"/>
        <v>0</v>
      </c>
      <c r="O60" s="3">
        <f t="shared" si="5"/>
        <v>0</v>
      </c>
      <c r="P60" s="3"/>
    </row>
    <row r="61" spans="1:16" x14ac:dyDescent="0.35">
      <c r="A61" t="s">
        <v>3905</v>
      </c>
      <c r="B61" s="3">
        <f>_xlfn.IFNA(_xlfn.XLOOKUP(A61,'Price list'!J:J,'Price list'!K:K),0)</f>
        <v>34000</v>
      </c>
      <c r="C61" t="s">
        <v>9</v>
      </c>
      <c r="E61" s="3"/>
      <c r="F61" s="3"/>
      <c r="G61" s="3"/>
      <c r="H61" s="3" t="str">
        <f>IF(G61=0,"",_xlfn.XLOOKUP(G61,List_item!A:A,List_item!B:B))</f>
        <v/>
      </c>
      <c r="I61" s="3">
        <v>0</v>
      </c>
      <c r="J61" s="26">
        <f t="shared" si="4"/>
        <v>0</v>
      </c>
      <c r="K61" s="3">
        <f t="shared" si="0"/>
        <v>0</v>
      </c>
      <c r="L61" s="27">
        <f t="shared" si="10"/>
        <v>0</v>
      </c>
      <c r="M61" s="3">
        <f t="shared" si="2"/>
        <v>0</v>
      </c>
      <c r="N61" s="3">
        <f t="shared" si="3"/>
        <v>0</v>
      </c>
      <c r="O61" s="3">
        <f t="shared" si="5"/>
        <v>0</v>
      </c>
      <c r="P61" s="3"/>
    </row>
    <row r="62" spans="1:16" x14ac:dyDescent="0.35">
      <c r="A62" t="s">
        <v>3906</v>
      </c>
      <c r="B62" s="3">
        <f>_xlfn.IFNA(_xlfn.XLOOKUP(A62,'Price list'!J:J,'Price list'!K:K),0)</f>
        <v>34000</v>
      </c>
      <c r="C62" t="s">
        <v>9</v>
      </c>
      <c r="E62" s="3"/>
      <c r="F62" s="3"/>
      <c r="G62" s="3"/>
      <c r="H62" s="3" t="str">
        <f>IF(G62=0,"",_xlfn.XLOOKUP(G62,List_item!A:A,List_item!B:B))</f>
        <v/>
      </c>
      <c r="I62" s="3">
        <v>0</v>
      </c>
      <c r="J62" s="26">
        <f t="shared" si="4"/>
        <v>0</v>
      </c>
      <c r="K62" s="3">
        <f t="shared" si="0"/>
        <v>0</v>
      </c>
      <c r="L62" s="27">
        <f t="shared" si="10"/>
        <v>0</v>
      </c>
      <c r="M62" s="3">
        <f t="shared" si="2"/>
        <v>0</v>
      </c>
      <c r="N62" s="3">
        <f t="shared" si="3"/>
        <v>0</v>
      </c>
      <c r="O62" s="3">
        <f t="shared" si="5"/>
        <v>0</v>
      </c>
      <c r="P62" s="3"/>
    </row>
    <row r="63" spans="1:16" x14ac:dyDescent="0.35">
      <c r="A63" t="s">
        <v>3907</v>
      </c>
      <c r="B63" s="3">
        <f>_xlfn.IFNA(_xlfn.XLOOKUP(A63,'Price list'!J:J,'Price list'!K:K),0)</f>
        <v>34000</v>
      </c>
      <c r="C63" t="s">
        <v>9</v>
      </c>
      <c r="E63" s="3"/>
      <c r="F63" s="3"/>
      <c r="G63" s="3"/>
      <c r="H63" s="3" t="str">
        <f>IF(G63=0,"",_xlfn.XLOOKUP(G63,List_item!A:A,List_item!B:B))</f>
        <v/>
      </c>
      <c r="I63" s="3">
        <v>0</v>
      </c>
      <c r="J63" s="26">
        <f t="shared" si="4"/>
        <v>0</v>
      </c>
      <c r="K63" s="3">
        <f t="shared" si="0"/>
        <v>0</v>
      </c>
      <c r="L63" s="27">
        <f t="shared" si="10"/>
        <v>0</v>
      </c>
      <c r="M63" s="3">
        <f t="shared" si="2"/>
        <v>0</v>
      </c>
      <c r="N63" s="3">
        <f t="shared" si="3"/>
        <v>0</v>
      </c>
      <c r="O63" s="3">
        <f t="shared" si="5"/>
        <v>0</v>
      </c>
      <c r="P63" s="3"/>
    </row>
    <row r="64" spans="1:16" x14ac:dyDescent="0.35">
      <c r="A64" t="s">
        <v>3908</v>
      </c>
      <c r="B64" s="3">
        <f>_xlfn.IFNA(_xlfn.XLOOKUP(A64,'Price list'!J:J,'Price list'!K:K),0)</f>
        <v>34000</v>
      </c>
      <c r="C64" t="s">
        <v>9</v>
      </c>
      <c r="E64" s="3"/>
      <c r="F64" s="3"/>
      <c r="G64" s="3"/>
      <c r="H64" s="3" t="str">
        <f>IF(G64=0,"",_xlfn.XLOOKUP(G64,List_item!A:A,List_item!B:B))</f>
        <v/>
      </c>
      <c r="I64" s="3">
        <v>0</v>
      </c>
      <c r="J64" s="26">
        <f t="shared" si="4"/>
        <v>0</v>
      </c>
      <c r="K64" s="3">
        <f t="shared" si="0"/>
        <v>0</v>
      </c>
      <c r="L64" s="27">
        <f t="shared" si="10"/>
        <v>0</v>
      </c>
      <c r="M64" s="3">
        <f t="shared" si="2"/>
        <v>0</v>
      </c>
      <c r="N64" s="3">
        <f t="shared" si="3"/>
        <v>0</v>
      </c>
      <c r="O64" s="3">
        <f t="shared" si="5"/>
        <v>0</v>
      </c>
      <c r="P64" s="3"/>
    </row>
    <row r="65" spans="1:17" x14ac:dyDescent="0.35">
      <c r="A65" t="s">
        <v>3909</v>
      </c>
      <c r="B65" s="3">
        <f>_xlfn.IFNA(_xlfn.XLOOKUP(A65,'Price list'!J:J,'Price list'!K:K),0)</f>
        <v>34000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0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7" x14ac:dyDescent="0.35">
      <c r="A66" t="s">
        <v>3945</v>
      </c>
      <c r="B66" s="3">
        <f>_xlfn.IFNA(_xlfn.XLOOKUP(A66,'Price list'!J:J,'Price list'!K:K),0)</f>
        <v>34000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0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7" x14ac:dyDescent="0.35">
      <c r="A67" t="s">
        <v>3911</v>
      </c>
      <c r="B67" s="3">
        <f>_xlfn.IFNA(_xlfn.XLOOKUP(A67,'Price list'!J:J,'Price list'!K:K),0)</f>
        <v>34000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0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7" x14ac:dyDescent="0.35">
      <c r="A68" t="s">
        <v>3912</v>
      </c>
      <c r="B68" s="3">
        <f>_xlfn.IFNA(_xlfn.XLOOKUP(A68,'Price list'!J:J,'Price list'!K:K),0)</f>
        <v>34000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0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7" x14ac:dyDescent="0.35">
      <c r="A69" t="s">
        <v>3913</v>
      </c>
      <c r="B69" s="3">
        <f>_xlfn.IFNA(_xlfn.XLOOKUP(A69,'Price list'!J:J,'Price list'!K:K),0)</f>
        <v>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0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7" x14ac:dyDescent="0.35">
      <c r="A70" t="s">
        <v>3914</v>
      </c>
      <c r="B70" s="3">
        <f>_xlfn.IFNA(_xlfn.XLOOKUP(A70,'Price list'!J:J,'Price list'!K:K),0)</f>
        <v>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0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7" x14ac:dyDescent="0.35">
      <c r="A71" t="s">
        <v>4055</v>
      </c>
      <c r="B71" s="3">
        <f>_xlfn.IFNA(_xlfn.XLOOKUP(A71,'Price list'!J:J,'Price list'!K:K),0)</f>
        <v>45000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109">
        <f>IFERROR(((K71/$K$11)*$F$11)/(F71+I71),0)+IFERROR(((K71/SUMIF(H:H,"*Boneless*",K:K))*$F$6)/I71,0)</f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>
        <f>IFERROR(((K71/SUMIF(H:H,"*Boneless*",K:K))*$F$6),0)</f>
        <v>0</v>
      </c>
      <c r="Q71">
        <f>SUMIF(H:H,"*Boneless*",K:K)</f>
        <v>0</v>
      </c>
    </row>
    <row r="72" spans="1:17" x14ac:dyDescent="0.35">
      <c r="A72" t="s">
        <v>3916</v>
      </c>
      <c r="B72" s="3">
        <f>_xlfn.IFNA(_xlfn.XLOOKUP(A72,'Price list'!J:J,'Price list'!K:K),0)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ref="L72:L80" si="11">IFERROR(((K72/$K$11)*$F$11)/(F72+I72),0)</f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7" x14ac:dyDescent="0.35">
      <c r="A73" t="s">
        <v>4062</v>
      </c>
      <c r="B73" s="3">
        <f>_xlfn.IFNA(_xlfn.XLOOKUP(A73,'Price list'!J:J,'Price list'!K:K),0)</f>
        <v>44000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1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7" x14ac:dyDescent="0.35">
      <c r="A74" t="s">
        <v>3918</v>
      </c>
      <c r="B74" s="3">
        <f>_xlfn.IFNA(_xlfn.XLOOKUP(A74,'Price list'!J:J,'Price list'!K:K),0)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1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7" x14ac:dyDescent="0.35">
      <c r="A75" t="s">
        <v>3919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si="11"/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7" x14ac:dyDescent="0.35">
      <c r="A76" t="s">
        <v>3920</v>
      </c>
      <c r="B76" s="3">
        <f>_xlfn.IFNA(_xlfn.XLOOKUP(A76,'Price list'!J:J,'Price list'!K:K),0)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ref="K76:K81" si="12">+B76*(F76+I76)</f>
        <v>0</v>
      </c>
      <c r="L76" s="27">
        <f t="shared" si="11"/>
        <v>0</v>
      </c>
      <c r="M76" s="3">
        <f t="shared" ref="M76:M81" si="13">+L76*(F76+I76)</f>
        <v>0</v>
      </c>
      <c r="N76" s="3">
        <f t="shared" ref="N76:N81" si="14">IF(L76=0,0,B76-L76)</f>
        <v>0</v>
      </c>
      <c r="O76" s="3">
        <f t="shared" si="5"/>
        <v>0</v>
      </c>
      <c r="P76" s="3"/>
    </row>
    <row r="77" spans="1:17" x14ac:dyDescent="0.35">
      <c r="A77" t="s">
        <v>3921</v>
      </c>
      <c r="B77" s="3">
        <f>_xlfn.IFNA(_xlfn.XLOOKUP(A77,'Price list'!J:J,'Price list'!K:K),0)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ref="J77:J81" si="15">IF(F77/J$5&gt;0,F77/J$5,I77/J$5)</f>
        <v>0</v>
      </c>
      <c r="K77" s="3">
        <f t="shared" si="12"/>
        <v>0</v>
      </c>
      <c r="L77" s="27">
        <f t="shared" si="11"/>
        <v>0</v>
      </c>
      <c r="M77" s="3">
        <f t="shared" si="13"/>
        <v>0</v>
      </c>
      <c r="N77" s="3">
        <f t="shared" si="14"/>
        <v>0</v>
      </c>
      <c r="O77" s="3">
        <f t="shared" ref="O77:O81" si="16">+K77-M77</f>
        <v>0</v>
      </c>
      <c r="P77" s="3"/>
    </row>
    <row r="78" spans="1:17" x14ac:dyDescent="0.35">
      <c r="A78" t="s">
        <v>3922</v>
      </c>
      <c r="B78" s="3">
        <f>_xlfn.IFNA(_xlfn.XLOOKUP(A78,'Price list'!J:J,'Price list'!K:K),0)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15"/>
        <v>0</v>
      </c>
      <c r="K78" s="3">
        <f t="shared" si="12"/>
        <v>0</v>
      </c>
      <c r="L78" s="27">
        <f t="shared" si="11"/>
        <v>0</v>
      </c>
      <c r="M78" s="3">
        <f t="shared" si="13"/>
        <v>0</v>
      </c>
      <c r="N78" s="3">
        <f t="shared" si="14"/>
        <v>0</v>
      </c>
      <c r="O78" s="3">
        <f t="shared" si="16"/>
        <v>0</v>
      </c>
      <c r="P78" s="3"/>
    </row>
    <row r="79" spans="1:17" x14ac:dyDescent="0.35">
      <c r="A79" t="s">
        <v>3923</v>
      </c>
      <c r="B79" s="3">
        <f>_xlfn.IFNA(_xlfn.XLOOKUP(A79,'Price list'!J:J,'Price list'!K:K),0)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15"/>
        <v>0</v>
      </c>
      <c r="K79" s="3">
        <f t="shared" si="12"/>
        <v>0</v>
      </c>
      <c r="L79" s="27">
        <f t="shared" si="11"/>
        <v>0</v>
      </c>
      <c r="M79" s="3">
        <f t="shared" si="13"/>
        <v>0</v>
      </c>
      <c r="N79" s="3">
        <f t="shared" si="14"/>
        <v>0</v>
      </c>
      <c r="O79" s="3">
        <f t="shared" si="16"/>
        <v>0</v>
      </c>
      <c r="P79" s="3"/>
    </row>
    <row r="80" spans="1:17" x14ac:dyDescent="0.35">
      <c r="A80" t="s">
        <v>3924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15"/>
        <v>0</v>
      </c>
      <c r="K80" s="3">
        <f t="shared" si="12"/>
        <v>0</v>
      </c>
      <c r="L80" s="27">
        <f t="shared" si="11"/>
        <v>0</v>
      </c>
      <c r="M80" s="3">
        <f t="shared" si="13"/>
        <v>0</v>
      </c>
      <c r="N80" s="3">
        <f t="shared" si="14"/>
        <v>0</v>
      </c>
      <c r="O80" s="3">
        <f t="shared" si="16"/>
        <v>0</v>
      </c>
      <c r="P80" s="3"/>
    </row>
    <row r="81" spans="1:18" x14ac:dyDescent="0.35">
      <c r="A81" t="s">
        <v>4060</v>
      </c>
      <c r="B81" s="3">
        <f>_xlfn.IFNA(_xlfn.XLOOKUP(A81,'Price list'!J:J,'Price list'!K:K),0)</f>
        <v>36000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15"/>
        <v>0</v>
      </c>
      <c r="K81" s="3">
        <f t="shared" si="12"/>
        <v>0</v>
      </c>
      <c r="L81" s="109">
        <f>IFERROR(((K81/$K$11)*$F$11)/(F81+I81),0)+IFERROR(((K81/SUMIF(H:H,"*Boneless*",K:K))*$F$6)/I81,0)</f>
        <v>0</v>
      </c>
      <c r="M81" s="3">
        <f t="shared" si="13"/>
        <v>0</v>
      </c>
      <c r="N81" s="3">
        <f t="shared" si="14"/>
        <v>0</v>
      </c>
      <c r="O81" s="3">
        <f t="shared" si="16"/>
        <v>0</v>
      </c>
      <c r="P81" s="3">
        <f>IFERROR(((K81/SUMIF(H:H,"*Boneless*",K:K))*$F$6),0)</f>
        <v>0</v>
      </c>
      <c r="Q81">
        <f>SUMIF(H:H,"*Boneless*",K:K)</f>
        <v>0</v>
      </c>
    </row>
    <row r="83" spans="1:18" s="2" customFormat="1" x14ac:dyDescent="0.35">
      <c r="A83" t="s">
        <v>3929</v>
      </c>
      <c r="B83"/>
      <c r="C83"/>
      <c r="D83"/>
      <c r="E83"/>
      <c r="F83" s="117"/>
      <c r="G83" t="s">
        <v>3930</v>
      </c>
      <c r="Q83"/>
      <c r="R83"/>
    </row>
    <row r="84" spans="1:18" s="2" customFormat="1" x14ac:dyDescent="0.35">
      <c r="A84"/>
      <c r="B84"/>
      <c r="C84"/>
      <c r="D84"/>
      <c r="E84"/>
      <c r="F84" s="117"/>
      <c r="G84"/>
      <c r="Q84"/>
      <c r="R84"/>
    </row>
    <row r="85" spans="1:18" s="2" customFormat="1" x14ac:dyDescent="0.35">
      <c r="A85"/>
      <c r="B85"/>
      <c r="C85"/>
      <c r="D85"/>
      <c r="E85"/>
      <c r="F85" s="117"/>
      <c r="G85"/>
      <c r="Q85"/>
      <c r="R85"/>
    </row>
    <row r="86" spans="1:18" s="2" customFormat="1" x14ac:dyDescent="0.35">
      <c r="A86"/>
      <c r="B86"/>
      <c r="C86"/>
      <c r="D86"/>
      <c r="E86"/>
      <c r="F86" s="117"/>
      <c r="G86"/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 s="118"/>
      <c r="B89"/>
      <c r="C89"/>
      <c r="D89"/>
      <c r="E89"/>
      <c r="F89" s="117"/>
      <c r="G89" s="118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</sheetData>
  <autoFilter ref="A11:P81" xr:uid="{9E3D57EB-0D9F-40FE-B4FE-C94EEFF00F8F}"/>
  <conditionalFormatting sqref="O11">
    <cfRule type="cellIs" dxfId="22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65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084E-6580-4A05-BD73-40F287096FD9}">
  <sheetPr>
    <tabColor rgb="FFFFC000"/>
    <pageSetUpPr fitToPage="1"/>
  </sheetPr>
  <dimension ref="A1:R90"/>
  <sheetViews>
    <sheetView zoomScale="80" zoomScaleNormal="80" workbookViewId="0">
      <pane xSplit="3" ySplit="10" topLeftCell="E11" activePane="bottomRight" state="frozen"/>
      <selection activeCell="G4" sqref="G4"/>
      <selection pane="topRight" activeCell="G4" sqref="G4"/>
      <selection pane="bottomLeft" activeCell="G4" sqref="G4"/>
      <selection pane="bottomRight" activeCell="B4" sqref="B4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4.6328125" style="2" bestFit="1" customWidth="1"/>
    <col min="10" max="10" width="11.26953125" style="2" bestFit="1" customWidth="1"/>
    <col min="11" max="11" width="17.81640625" style="2" bestFit="1" customWidth="1"/>
    <col min="12" max="12" width="16.36328125" style="2" bestFit="1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+I9/E11</f>
        <v>2.2374714285714283</v>
      </c>
    </row>
    <row r="2" spans="1:18" x14ac:dyDescent="0.35">
      <c r="A2" s="18" t="s">
        <v>3865</v>
      </c>
      <c r="E2" s="163"/>
      <c r="F2" s="163"/>
      <c r="G2" s="19" t="s">
        <v>3943</v>
      </c>
    </row>
    <row r="3" spans="1:18" x14ac:dyDescent="0.35">
      <c r="A3" s="101" t="s">
        <v>3866</v>
      </c>
      <c r="B3" s="2">
        <f>(4537.2+4524.7)*25000</f>
        <v>226547500</v>
      </c>
      <c r="C3" s="19"/>
      <c r="E3" s="157"/>
      <c r="F3" s="157"/>
      <c r="G3" s="156" t="s">
        <v>4080</v>
      </c>
      <c r="H3" s="157"/>
      <c r="I3" s="101" t="s">
        <v>3870</v>
      </c>
      <c r="J3" s="2" t="s">
        <v>3950</v>
      </c>
      <c r="Q3" s="25"/>
      <c r="R3" s="2"/>
    </row>
    <row r="4" spans="1:18" x14ac:dyDescent="0.35">
      <c r="A4" s="101" t="s">
        <v>3867</v>
      </c>
      <c r="B4" s="2">
        <f>2*2000000</f>
        <v>4000000</v>
      </c>
      <c r="E4"/>
      <c r="F4" s="157"/>
      <c r="G4" s="157" t="s">
        <v>4159</v>
      </c>
      <c r="H4" s="157" t="s">
        <v>4081</v>
      </c>
      <c r="I4" s="101" t="s">
        <v>3872</v>
      </c>
      <c r="J4" s="115">
        <v>46294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13133175</v>
      </c>
      <c r="E5" s="157"/>
      <c r="F5" s="157"/>
      <c r="G5" s="157" t="s">
        <v>4148</v>
      </c>
      <c r="H5" s="157" t="s">
        <v>4152</v>
      </c>
      <c r="I5" s="101" t="s">
        <v>3944</v>
      </c>
      <c r="J5" s="19">
        <f>(4537.2+4524.7)</f>
        <v>9061.9</v>
      </c>
      <c r="K5" s="2">
        <v>8755.4500000000007</v>
      </c>
      <c r="L5" s="2">
        <f>J5-K5</f>
        <v>306.44999999999891</v>
      </c>
      <c r="M5" s="147">
        <f>L5/J5</f>
        <v>3.3817411359648518E-2</v>
      </c>
    </row>
    <row r="6" spans="1:18" x14ac:dyDescent="0.35">
      <c r="A6" s="102" t="s">
        <v>3869</v>
      </c>
      <c r="B6" s="19">
        <f>SUBTOTAL(9,B3:B5)</f>
        <v>243680675</v>
      </c>
      <c r="E6" s="149" t="s">
        <v>4054</v>
      </c>
      <c r="F6" s="93">
        <v>4663246</v>
      </c>
      <c r="I6" s="101"/>
      <c r="J6" s="19"/>
      <c r="M6" s="147"/>
    </row>
    <row r="7" spans="1:18" x14ac:dyDescent="0.35">
      <c r="B7" s="2">
        <f>B6+F6</f>
        <v>248343921</v>
      </c>
      <c r="Q7" s="25"/>
    </row>
    <row r="8" spans="1:18" ht="4.5" customHeight="1" x14ac:dyDescent="0.35">
      <c r="A8" s="101"/>
    </row>
    <row r="9" spans="1:18" x14ac:dyDescent="0.35">
      <c r="A9" s="8"/>
      <c r="B9" s="19"/>
      <c r="C9" s="18"/>
      <c r="E9" s="18"/>
      <c r="I9" s="2">
        <f>J9+3300.2*2</f>
        <v>15662.3</v>
      </c>
      <c r="J9" s="2">
        <f>J5-J7</f>
        <v>9061.9</v>
      </c>
      <c r="K9" s="19" t="s">
        <v>3931</v>
      </c>
      <c r="L9" s="28" t="e">
        <f>SUM(K12:K66)/M11-1</f>
        <v>#DIV/0!</v>
      </c>
    </row>
    <row r="10" spans="1:18" ht="28.5" customHeight="1" x14ac:dyDescent="0.35">
      <c r="A10" s="112" t="s">
        <v>27</v>
      </c>
      <c r="B10" s="119" t="s">
        <v>3938</v>
      </c>
      <c r="C10" s="112" t="s">
        <v>4</v>
      </c>
      <c r="D10" s="1"/>
      <c r="E10" s="113" t="s">
        <v>28</v>
      </c>
      <c r="F10" s="110" t="s">
        <v>6</v>
      </c>
      <c r="G10" s="110" t="s">
        <v>3937</v>
      </c>
      <c r="H10" s="120" t="s">
        <v>3926</v>
      </c>
      <c r="I10" s="110" t="s">
        <v>3835</v>
      </c>
      <c r="J10" s="119" t="s">
        <v>2177</v>
      </c>
      <c r="K10" s="119" t="s">
        <v>3932</v>
      </c>
      <c r="L10" s="119" t="s">
        <v>3935</v>
      </c>
      <c r="M10" s="120" t="s">
        <v>2173</v>
      </c>
      <c r="N10" s="121" t="s">
        <v>3939</v>
      </c>
      <c r="O10" s="121" t="s">
        <v>3936</v>
      </c>
      <c r="P10" s="110" t="s">
        <v>3826</v>
      </c>
    </row>
    <row r="11" spans="1:18" x14ac:dyDescent="0.35">
      <c r="A11" s="4"/>
      <c r="B11" s="24"/>
      <c r="C11" s="4"/>
      <c r="D11" s="1"/>
      <c r="E11" s="5">
        <v>7000</v>
      </c>
      <c r="F11" s="5">
        <f>+B6</f>
        <v>243680675</v>
      </c>
      <c r="G11" s="5"/>
      <c r="H11" s="5"/>
      <c r="I11" s="5">
        <f>SUM(I12:I83)</f>
        <v>0</v>
      </c>
      <c r="J11" s="148">
        <f>SUM(J12:J83)</f>
        <v>0</v>
      </c>
      <c r="K11" s="5">
        <f>SUM(K12:K83)</f>
        <v>0</v>
      </c>
      <c r="L11" s="5"/>
      <c r="M11" s="5">
        <f>SUM(M12:M83)</f>
        <v>0</v>
      </c>
      <c r="N11" s="5"/>
      <c r="O11" s="5">
        <f>SUM(O12:O83)</f>
        <v>0</v>
      </c>
    </row>
    <row r="12" spans="1:18" x14ac:dyDescent="0.35">
      <c r="A12" t="s">
        <v>3873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>IF(F12/J$5&gt;0,F12/J$5,I12/J$5)</f>
        <v>0</v>
      </c>
      <c r="K12" s="3">
        <f t="shared" ref="K12:K75" si="0">+B12*(F12+I12)</f>
        <v>0</v>
      </c>
      <c r="L12" s="27">
        <f t="shared" ref="L12:L30" si="1">IFERROR(((K12/$K$11)*$F$11)/(F12+I12),0)</f>
        <v>0</v>
      </c>
      <c r="M12" s="3">
        <f t="shared" ref="M12:M75" si="2">+L12*(F12+I12)</f>
        <v>0</v>
      </c>
      <c r="N12" s="3">
        <f t="shared" ref="N12:N75" si="3">IF(L12=0,0,B12-L12)</f>
        <v>0</v>
      </c>
      <c r="O12" s="3">
        <f>+K12-M12</f>
        <v>0</v>
      </c>
      <c r="P12" s="3"/>
    </row>
    <row r="13" spans="1:18" x14ac:dyDescent="0.35">
      <c r="A13" t="s">
        <v>3874</v>
      </c>
      <c r="B13" s="3">
        <f>_xlfn.IFNA(_xlfn.XLOOKUP(A13,'Price list'!J:J,'Price list'!K:K),0)</f>
        <v>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ref="J13:J76" si="4">IF(F13/J$5&gt;0,F13/J$5,I13/J$5)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ref="O13:O76" si="5">+K13-M13</f>
        <v>0</v>
      </c>
      <c r="P13" s="3"/>
      <c r="R13" s="3"/>
    </row>
    <row r="14" spans="1:18" x14ac:dyDescent="0.35">
      <c r="A14" t="s">
        <v>3875</v>
      </c>
      <c r="B14" s="3">
        <f>_xlfn.IFNA(_xlfn.XLOOKUP(A14,'Price list'!J:J,'Price list'!K:K),0)</f>
        <v>37000</v>
      </c>
      <c r="C14" t="s">
        <v>9</v>
      </c>
      <c r="E14" s="3"/>
      <c r="F14" s="3"/>
      <c r="G14" s="3"/>
      <c r="H14" s="3" t="str">
        <f>IF(G14=0,"",_xlfn.XLOOKUP(G14,List_item!A:A,List_item!B:B))</f>
        <v/>
      </c>
      <c r="I14" s="3">
        <v>0</v>
      </c>
      <c r="J14" s="26">
        <f t="shared" si="4"/>
        <v>0</v>
      </c>
      <c r="K14" s="3">
        <f t="shared" si="0"/>
        <v>0</v>
      </c>
      <c r="L14" s="27">
        <f t="shared" si="1"/>
        <v>0</v>
      </c>
      <c r="M14" s="3">
        <f t="shared" si="2"/>
        <v>0</v>
      </c>
      <c r="N14" s="3">
        <f t="shared" si="3"/>
        <v>0</v>
      </c>
      <c r="O14" s="3">
        <f t="shared" si="5"/>
        <v>0</v>
      </c>
      <c r="P14" s="3"/>
    </row>
    <row r="15" spans="1:18" x14ac:dyDescent="0.35">
      <c r="A15" t="s">
        <v>3876</v>
      </c>
      <c r="B15" s="3">
        <f>_xlfn.IFNA(_xlfn.XLOOKUP(A15,'Price list'!J:J,'Price list'!K:K),0)</f>
        <v>37000</v>
      </c>
      <c r="C15" t="s">
        <v>9</v>
      </c>
      <c r="E15" s="3"/>
      <c r="F15" s="3"/>
      <c r="G15" s="3"/>
      <c r="H15" s="3" t="str">
        <f>IF(G15=0,"",_xlfn.XLOOKUP(G15,List_item!A:A,List_item!B:B))</f>
        <v/>
      </c>
      <c r="I15" s="3">
        <v>0</v>
      </c>
      <c r="J15" s="26">
        <f t="shared" si="4"/>
        <v>0</v>
      </c>
      <c r="K15" s="3">
        <f t="shared" si="0"/>
        <v>0</v>
      </c>
      <c r="L15" s="27">
        <f t="shared" si="1"/>
        <v>0</v>
      </c>
      <c r="M15" s="3">
        <f t="shared" si="2"/>
        <v>0</v>
      </c>
      <c r="N15" s="3">
        <f t="shared" si="3"/>
        <v>0</v>
      </c>
      <c r="O15" s="3">
        <f t="shared" si="5"/>
        <v>0</v>
      </c>
      <c r="P15" s="3"/>
    </row>
    <row r="16" spans="1:18" x14ac:dyDescent="0.35">
      <c r="A16" t="s">
        <v>3877</v>
      </c>
      <c r="B16" s="3">
        <f>_xlfn.IFNA(_xlfn.XLOOKUP(A16,'Price list'!J:J,'Price list'!K:K),0)</f>
        <v>37000</v>
      </c>
      <c r="C16" t="s">
        <v>9</v>
      </c>
      <c r="E16"/>
      <c r="F16"/>
      <c r="G16" s="3"/>
      <c r="H16" s="3" t="str">
        <f>IF(G16=0,"",_xlfn.XLOOKUP(G16,List_item!A:A,List_item!B:B))</f>
        <v/>
      </c>
      <c r="I16" s="3">
        <v>0</v>
      </c>
      <c r="J16" s="26">
        <f t="shared" si="4"/>
        <v>0</v>
      </c>
      <c r="K16" s="3">
        <f t="shared" si="0"/>
        <v>0</v>
      </c>
      <c r="L16" s="27">
        <f t="shared" si="1"/>
        <v>0</v>
      </c>
      <c r="M16" s="3">
        <f t="shared" si="2"/>
        <v>0</v>
      </c>
      <c r="N16" s="3">
        <f t="shared" si="3"/>
        <v>0</v>
      </c>
      <c r="O16" s="3">
        <f t="shared" si="5"/>
        <v>0</v>
      </c>
      <c r="P16" s="3"/>
    </row>
    <row r="17" spans="1:17" x14ac:dyDescent="0.35">
      <c r="A17" t="s">
        <v>3878</v>
      </c>
      <c r="B17" s="3">
        <f>_xlfn.IFNA(_xlfn.XLOOKUP(A17,'Price list'!J:J,'Price list'!K:K),0)</f>
        <v>37000</v>
      </c>
      <c r="C17" t="s">
        <v>9</v>
      </c>
      <c r="E17" s="3"/>
      <c r="F17"/>
      <c r="G17" s="3"/>
      <c r="H17" s="3" t="str">
        <f>IF(G17=0,"",_xlfn.XLOOKUP(G17,List_item!A:A,List_item!B:B))</f>
        <v/>
      </c>
      <c r="I17" s="3">
        <v>0</v>
      </c>
      <c r="J17" s="26">
        <f t="shared" si="4"/>
        <v>0</v>
      </c>
      <c r="K17" s="3">
        <f t="shared" si="0"/>
        <v>0</v>
      </c>
      <c r="L17" s="27">
        <f t="shared" si="1"/>
        <v>0</v>
      </c>
      <c r="M17" s="3">
        <f t="shared" si="2"/>
        <v>0</v>
      </c>
      <c r="N17" s="3">
        <f t="shared" si="3"/>
        <v>0</v>
      </c>
      <c r="O17" s="3">
        <f t="shared" si="5"/>
        <v>0</v>
      </c>
      <c r="P17" s="3"/>
    </row>
    <row r="18" spans="1:17" x14ac:dyDescent="0.35">
      <c r="A18" t="s">
        <v>3879</v>
      </c>
      <c r="B18" s="3">
        <f>_xlfn.IFNA(_xlfn.XLOOKUP(A18,'Price list'!J:J,'Price list'!K:K),0)</f>
        <v>37000</v>
      </c>
      <c r="C18" t="s">
        <v>9</v>
      </c>
      <c r="E18" s="6"/>
      <c r="F18"/>
      <c r="G18" s="3"/>
      <c r="H18" s="3" t="str">
        <f>IF(G18=0,"",_xlfn.XLOOKUP(G18,List_item!A:A,List_item!B:B))</f>
        <v/>
      </c>
      <c r="I18" s="3">
        <v>0</v>
      </c>
      <c r="J18" s="26">
        <f t="shared" si="4"/>
        <v>0</v>
      </c>
      <c r="K18" s="3">
        <f t="shared" si="0"/>
        <v>0</v>
      </c>
      <c r="L18" s="27">
        <f t="shared" si="1"/>
        <v>0</v>
      </c>
      <c r="M18" s="3">
        <f t="shared" si="2"/>
        <v>0</v>
      </c>
      <c r="N18" s="3">
        <f t="shared" si="3"/>
        <v>0</v>
      </c>
      <c r="O18" s="3">
        <f t="shared" si="5"/>
        <v>0</v>
      </c>
      <c r="P18" s="3"/>
    </row>
    <row r="19" spans="1:17" x14ac:dyDescent="0.35">
      <c r="A19" t="s">
        <v>3880</v>
      </c>
      <c r="B19" s="3">
        <f>_xlfn.IFNA(_xlfn.XLOOKUP(A19,'Price list'!J:J,'Price list'!K:K),0)</f>
        <v>37000</v>
      </c>
      <c r="C19" t="s">
        <v>9</v>
      </c>
      <c r="E19" s="3"/>
      <c r="F19" s="3"/>
      <c r="G19" s="3"/>
      <c r="H19" s="3" t="str">
        <f>IF(G19=0,"",_xlfn.XLOOKUP(G19,List_item!A:A,List_item!B:B))</f>
        <v/>
      </c>
      <c r="I19" s="3">
        <v>0</v>
      </c>
      <c r="J19" s="26">
        <f t="shared" si="4"/>
        <v>0</v>
      </c>
      <c r="K19" s="3">
        <f t="shared" si="0"/>
        <v>0</v>
      </c>
      <c r="L19" s="27">
        <f t="shared" si="1"/>
        <v>0</v>
      </c>
      <c r="M19" s="3">
        <f t="shared" si="2"/>
        <v>0</v>
      </c>
      <c r="N19" s="3">
        <f t="shared" si="3"/>
        <v>0</v>
      </c>
      <c r="O19" s="3">
        <f t="shared" si="5"/>
        <v>0</v>
      </c>
      <c r="P19" s="3"/>
    </row>
    <row r="20" spans="1:17" x14ac:dyDescent="0.35">
      <c r="A20" t="s">
        <v>3881</v>
      </c>
      <c r="B20" s="3">
        <f>_xlfn.IFNA(_xlfn.XLOOKUP(A20,'Price list'!J:J,'Price list'!K:K),0)</f>
        <v>37000</v>
      </c>
      <c r="C20" t="s">
        <v>9</v>
      </c>
      <c r="E20" s="3"/>
      <c r="F20" s="3"/>
      <c r="G20" s="3"/>
      <c r="H20" s="3" t="str">
        <f>IF(G20=0,"",_xlfn.XLOOKUP(G20,List_item!A:A,List_item!B:B))</f>
        <v/>
      </c>
      <c r="I20" s="3">
        <v>0</v>
      </c>
      <c r="J20" s="26">
        <f t="shared" si="4"/>
        <v>0</v>
      </c>
      <c r="K20" s="3">
        <f t="shared" si="0"/>
        <v>0</v>
      </c>
      <c r="L20" s="27">
        <f t="shared" si="1"/>
        <v>0</v>
      </c>
      <c r="M20" s="3">
        <f t="shared" si="2"/>
        <v>0</v>
      </c>
      <c r="N20" s="3">
        <f t="shared" si="3"/>
        <v>0</v>
      </c>
      <c r="O20" s="3">
        <f t="shared" si="5"/>
        <v>0</v>
      </c>
      <c r="P20" s="3"/>
    </row>
    <row r="21" spans="1:17" x14ac:dyDescent="0.35">
      <c r="A21" t="s">
        <v>3882</v>
      </c>
      <c r="B21" s="3">
        <f>_xlfn.IFNA(_xlfn.XLOOKUP(A21,'Price list'!J:J,'Price list'!K:K),0)</f>
        <v>37000</v>
      </c>
      <c r="C21" t="s">
        <v>9</v>
      </c>
      <c r="E21" s="3"/>
      <c r="F21" s="3"/>
      <c r="G21" s="3"/>
      <c r="H21" s="3" t="str">
        <f>IF(G21=0,"",_xlfn.XLOOKUP(G21,List_item!A:A,List_item!B:B))</f>
        <v/>
      </c>
      <c r="I21" s="3">
        <v>0</v>
      </c>
      <c r="J21" s="26">
        <f t="shared" si="4"/>
        <v>0</v>
      </c>
      <c r="K21" s="3">
        <f t="shared" si="0"/>
        <v>0</v>
      </c>
      <c r="L21" s="27">
        <f t="shared" si="1"/>
        <v>0</v>
      </c>
      <c r="M21" s="3">
        <f t="shared" si="2"/>
        <v>0</v>
      </c>
      <c r="N21" s="3">
        <f t="shared" si="3"/>
        <v>0</v>
      </c>
      <c r="O21" s="3">
        <f t="shared" si="5"/>
        <v>0</v>
      </c>
      <c r="P21" s="3"/>
    </row>
    <row r="22" spans="1:17" x14ac:dyDescent="0.35">
      <c r="A22" t="s">
        <v>3883</v>
      </c>
      <c r="B22" s="3">
        <f>_xlfn.IFNA(_xlfn.XLOOKUP(A22,'Price list'!J:J,'Price list'!K:K),0)</f>
        <v>37000</v>
      </c>
      <c r="C22" t="s">
        <v>9</v>
      </c>
      <c r="E22" s="3"/>
      <c r="F22" s="3"/>
      <c r="G22" s="3"/>
      <c r="H22" s="3" t="str">
        <f>IF(G22=0,"",_xlfn.XLOOKUP(G22,List_item!A:A,List_item!B:B))</f>
        <v/>
      </c>
      <c r="I22" s="3">
        <v>0</v>
      </c>
      <c r="J22" s="26">
        <f t="shared" si="4"/>
        <v>0</v>
      </c>
      <c r="K22" s="3">
        <f t="shared" si="0"/>
        <v>0</v>
      </c>
      <c r="L22" s="27">
        <f t="shared" si="1"/>
        <v>0</v>
      </c>
      <c r="M22" s="3">
        <f t="shared" si="2"/>
        <v>0</v>
      </c>
      <c r="N22" s="3">
        <f t="shared" si="3"/>
        <v>0</v>
      </c>
      <c r="O22" s="3">
        <f t="shared" si="5"/>
        <v>0</v>
      </c>
      <c r="P22" s="3"/>
    </row>
    <row r="23" spans="1:17" x14ac:dyDescent="0.35">
      <c r="A23" t="s">
        <v>3884</v>
      </c>
      <c r="B23" s="3">
        <f>_xlfn.IFNA(_xlfn.XLOOKUP(A23,'Price list'!J:J,'Price list'!K:K),0)</f>
        <v>37000</v>
      </c>
      <c r="C23" t="s">
        <v>9</v>
      </c>
      <c r="E23" s="3"/>
      <c r="F23" s="3"/>
      <c r="G23" s="3"/>
      <c r="H23" s="3" t="str">
        <f>IF(G23=0,"",_xlfn.XLOOKUP(G23,List_item!A:A,List_item!B:B))</f>
        <v/>
      </c>
      <c r="I23" s="3">
        <v>0</v>
      </c>
      <c r="J23" s="26">
        <f t="shared" si="4"/>
        <v>0</v>
      </c>
      <c r="K23" s="3">
        <f t="shared" si="0"/>
        <v>0</v>
      </c>
      <c r="L23" s="27">
        <f t="shared" si="1"/>
        <v>0</v>
      </c>
      <c r="M23" s="3">
        <f t="shared" si="2"/>
        <v>0</v>
      </c>
      <c r="N23" s="3">
        <f t="shared" si="3"/>
        <v>0</v>
      </c>
      <c r="O23" s="3">
        <f t="shared" si="5"/>
        <v>0</v>
      </c>
      <c r="P23" s="3"/>
    </row>
    <row r="24" spans="1:17" x14ac:dyDescent="0.35">
      <c r="A24" t="s">
        <v>3849</v>
      </c>
      <c r="B24" s="3">
        <f>_xlfn.IFNA(_xlfn.XLOOKUP(A24,'Price list'!J:J,'Price list'!K:K),0)</f>
        <v>37000</v>
      </c>
      <c r="C24" t="s">
        <v>9</v>
      </c>
      <c r="E24" s="3"/>
      <c r="F24" s="3"/>
      <c r="G24" s="3"/>
      <c r="H24" s="3" t="str">
        <f>IF(G24=0,"",_xlfn.XLOOKUP(G24,List_item!A:A,List_item!B:B))</f>
        <v/>
      </c>
      <c r="I24" s="3">
        <v>0</v>
      </c>
      <c r="J24" s="26">
        <f t="shared" si="4"/>
        <v>0</v>
      </c>
      <c r="K24" s="3">
        <f t="shared" si="0"/>
        <v>0</v>
      </c>
      <c r="L24" s="27">
        <f t="shared" si="1"/>
        <v>0</v>
      </c>
      <c r="M24" s="3">
        <f t="shared" si="2"/>
        <v>0</v>
      </c>
      <c r="N24" s="3">
        <f t="shared" si="3"/>
        <v>0</v>
      </c>
      <c r="O24" s="3">
        <f t="shared" si="5"/>
        <v>0</v>
      </c>
      <c r="P24" s="3"/>
    </row>
    <row r="25" spans="1:17" x14ac:dyDescent="0.35">
      <c r="A25" t="s">
        <v>3885</v>
      </c>
      <c r="B25" s="3">
        <f>_xlfn.IFNA(_xlfn.XLOOKUP(A25,'Price list'!J:J,'Price list'!K:K),0)</f>
        <v>37000</v>
      </c>
      <c r="C25" t="s">
        <v>9</v>
      </c>
      <c r="E25" s="3"/>
      <c r="F25" s="3"/>
      <c r="G25" s="3"/>
      <c r="H25" s="3" t="str">
        <f>IF(G25=0,"",_xlfn.XLOOKUP(G25,List_item!A:A,List_item!B:B))</f>
        <v/>
      </c>
      <c r="I25" s="3">
        <v>0</v>
      </c>
      <c r="J25" s="26">
        <f t="shared" si="4"/>
        <v>0</v>
      </c>
      <c r="K25" s="3">
        <f t="shared" si="0"/>
        <v>0</v>
      </c>
      <c r="L25" s="27">
        <f t="shared" si="1"/>
        <v>0</v>
      </c>
      <c r="M25" s="3">
        <f t="shared" si="2"/>
        <v>0</v>
      </c>
      <c r="N25" s="3">
        <f t="shared" si="3"/>
        <v>0</v>
      </c>
      <c r="O25" s="3">
        <f t="shared" si="5"/>
        <v>0</v>
      </c>
      <c r="P25" s="3"/>
    </row>
    <row r="26" spans="1:17" x14ac:dyDescent="0.35">
      <c r="A26" t="s">
        <v>3886</v>
      </c>
      <c r="B26" s="3">
        <f>_xlfn.IFNA(_xlfn.XLOOKUP(A26,'Price list'!J:J,'Price list'!K:K),0)</f>
        <v>37000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3">
        <v>0</v>
      </c>
      <c r="J26" s="26">
        <f t="shared" si="4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7" x14ac:dyDescent="0.35">
      <c r="A27" t="s">
        <v>3887</v>
      </c>
      <c r="B27" s="3">
        <f>_xlfn.IFNA(_xlfn.XLOOKUP(A27,'Price list'!J:J,'Price list'!K:K),0)</f>
        <v>37000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7" x14ac:dyDescent="0.35">
      <c r="A28" t="s">
        <v>3888</v>
      </c>
      <c r="B28" s="3">
        <f>_xlfn.IFNA(_xlfn.XLOOKUP(A28,'Price list'!J:J,'Price list'!K:K),0)</f>
        <v>37000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7" x14ac:dyDescent="0.35">
      <c r="A29" t="s">
        <v>3889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7" x14ac:dyDescent="0.35">
      <c r="A30" t="s">
        <v>3890</v>
      </c>
      <c r="B30" s="3">
        <f>_xlfn.IFNA(_xlfn.XLOOKUP(A30,'Price list'!J:J,'Price list'!K:K),0)</f>
        <v>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7" x14ac:dyDescent="0.35">
      <c r="A31" t="s">
        <v>8</v>
      </c>
      <c r="B31" s="3">
        <f>_xlfn.IFNA(_xlfn.XLOOKUP(A31,'Price list'!J:J,'Price list'!K:K),0)</f>
        <v>50000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109">
        <f>IFERROR(((K31/$K$11)*$F$11)/(F31+I31),0)+IFERROR(((K31/SUMIF(H:H,"*Boneless*",K:K))*$F$6)/I31,0)</f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>
        <f>IFERROR(((K31/SUMIF(H:H,"*Boneless*",K:K))*$F$6),0)</f>
        <v>0</v>
      </c>
      <c r="Q31">
        <f>SUMIF(H:H,"*Boneless*",K:K)</f>
        <v>0</v>
      </c>
    </row>
    <row r="32" spans="1:17" x14ac:dyDescent="0.35">
      <c r="A32" t="s">
        <v>10</v>
      </c>
      <c r="B32" s="3">
        <f>_xlfn.IFNA(_xlfn.XLOOKUP(A32,'Price list'!J:J,'Price list'!K:K),0)</f>
        <v>48000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>IFERROR(((K32/$K$11)*$F$11)/(F32+I32),0)</f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7" x14ac:dyDescent="0.35">
      <c r="A33" t="s">
        <v>12</v>
      </c>
      <c r="B33" s="3">
        <f>_xlfn.IFNA(_xlfn.XLOOKUP(A33,'Price list'!J:J,'Price list'!K:K),0)</f>
        <v>49000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109">
        <f t="shared" ref="L33:L38" si="6">IFERROR(((K33/$K$11)*$F$11)/(F33+I33),0)+IFERROR(((K33/SUMIF(H:H,"*Boneless*",K:K))*$F$6)/I33,0)</f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>
        <f t="shared" ref="P33:P38" si="7">IFERROR(((K33/SUMIF(H:H,"*Boneless*",K:K))*$F$6),0)</f>
        <v>0</v>
      </c>
      <c r="Q33">
        <f t="shared" ref="Q33:Q38" si="8">SUMIF(H:H,"*Boneless*",K:K)</f>
        <v>0</v>
      </c>
    </row>
    <row r="34" spans="1:17" x14ac:dyDescent="0.35">
      <c r="A34" t="s">
        <v>2159</v>
      </c>
      <c r="B34" s="3">
        <f>_xlfn.IFNA(_xlfn.XLOOKUP(A34,'Price list'!J:J,'Price list'!K:K),0)</f>
        <v>12500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109">
        <f t="shared" si="6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>
        <f t="shared" si="7"/>
        <v>0</v>
      </c>
      <c r="Q34">
        <f t="shared" si="8"/>
        <v>0</v>
      </c>
    </row>
    <row r="35" spans="1:17" x14ac:dyDescent="0.35">
      <c r="A35" t="s">
        <v>3891</v>
      </c>
      <c r="B35" s="3">
        <f>_xlfn.IFNA(_xlfn.XLOOKUP(A35,'Price list'!J:J,'Price list'!K:K),0)</f>
        <v>32000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109">
        <f t="shared" si="6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>
        <f t="shared" si="7"/>
        <v>0</v>
      </c>
      <c r="Q35">
        <f t="shared" si="8"/>
        <v>0</v>
      </c>
    </row>
    <row r="36" spans="1:17" x14ac:dyDescent="0.35">
      <c r="A36" t="s">
        <v>2179</v>
      </c>
      <c r="B36" s="3">
        <f>_xlfn.IFNA(_xlfn.XLOOKUP(A36,'Price list'!J:J,'Price list'!K:K),0)</f>
        <v>36000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109">
        <f t="shared" si="6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>
        <f t="shared" si="7"/>
        <v>0</v>
      </c>
      <c r="Q36">
        <f t="shared" si="8"/>
        <v>0</v>
      </c>
    </row>
    <row r="37" spans="1:17" x14ac:dyDescent="0.35">
      <c r="A37" t="s">
        <v>3852</v>
      </c>
      <c r="B37" s="3">
        <f>_xlfn.IFNA(_xlfn.XLOOKUP(A37,'Price list'!J:J,'Price list'!K:K),0)</f>
        <v>32000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109">
        <f t="shared" si="6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>
        <f t="shared" si="7"/>
        <v>0</v>
      </c>
      <c r="Q37">
        <f t="shared" si="8"/>
        <v>0</v>
      </c>
    </row>
    <row r="38" spans="1:17" x14ac:dyDescent="0.35">
      <c r="A38" t="s">
        <v>17</v>
      </c>
      <c r="B38" s="3">
        <f>_xlfn.IFNA(_xlfn.XLOOKUP(A38,'Price list'!J:J,'Price list'!K:K),0)</f>
        <v>5000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109">
        <f t="shared" si="6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>
        <f t="shared" si="7"/>
        <v>0</v>
      </c>
      <c r="Q38">
        <f t="shared" si="8"/>
        <v>0</v>
      </c>
    </row>
    <row r="39" spans="1:17" x14ac:dyDescent="0.35">
      <c r="A39" t="s">
        <v>2199</v>
      </c>
      <c r="B39" s="3">
        <f>_xlfn.IFNA(_xlfn.XLOOKUP(A39,'Price list'!J:J,'Price list'!K:K),0)</f>
        <v>35000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ref="L39:L44" si="9">IFERROR(((K39/$K$11)*$F$11)/(F39+I39),0)</f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7" x14ac:dyDescent="0.35">
      <c r="A40" t="s">
        <v>2161</v>
      </c>
      <c r="B40" s="3">
        <f>_xlfn.IFNA(_xlfn.XLOOKUP(A40,'Price list'!J:J,'Price list'!K:K),0)</f>
        <v>24000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9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7" x14ac:dyDescent="0.35">
      <c r="A41" t="s">
        <v>2162</v>
      </c>
      <c r="B41" s="3">
        <f>_xlfn.IFNA(_xlfn.XLOOKUP(A41,'Price list'!J:J,'Price list'!K:K),0)</f>
        <v>9500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3">
        <v>0</v>
      </c>
      <c r="J41" s="26">
        <f t="shared" si="4"/>
        <v>0</v>
      </c>
      <c r="K41" s="3">
        <f t="shared" si="0"/>
        <v>0</v>
      </c>
      <c r="L41" s="27">
        <f t="shared" si="9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7" x14ac:dyDescent="0.35">
      <c r="A42" t="s">
        <v>0</v>
      </c>
      <c r="B42" s="3">
        <f>_xlfn.IFNA(_xlfn.XLOOKUP(A42,'Price list'!J:J,'Price list'!K:K),0)</f>
        <v>16000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3">
        <v>0</v>
      </c>
      <c r="J42" s="26">
        <f t="shared" si="4"/>
        <v>0</v>
      </c>
      <c r="K42" s="3">
        <f t="shared" si="0"/>
        <v>0</v>
      </c>
      <c r="L42" s="27">
        <f t="shared" si="9"/>
        <v>0</v>
      </c>
      <c r="M42" s="3">
        <f t="shared" si="2"/>
        <v>0</v>
      </c>
      <c r="N42" s="3">
        <f t="shared" si="3"/>
        <v>0</v>
      </c>
      <c r="O42" s="3">
        <f t="shared" si="5"/>
        <v>0</v>
      </c>
      <c r="P42" s="3"/>
    </row>
    <row r="43" spans="1:17" x14ac:dyDescent="0.35">
      <c r="A43" t="s">
        <v>24</v>
      </c>
      <c r="B43" s="3">
        <f>_xlfn.IFNA(_xlfn.XLOOKUP(A43,'Price list'!J:J,'Price list'!K:K),0)</f>
        <v>4500</v>
      </c>
      <c r="C43" t="s">
        <v>9</v>
      </c>
      <c r="E43" s="3"/>
      <c r="F43" s="3"/>
      <c r="G43" s="3"/>
      <c r="H43" s="3" t="str">
        <f>IF(G43=0,"",_xlfn.XLOOKUP(G43,List_item!A:A,List_item!B:B))</f>
        <v/>
      </c>
      <c r="I43" s="3">
        <v>0</v>
      </c>
      <c r="J43" s="26">
        <f t="shared" si="4"/>
        <v>0</v>
      </c>
      <c r="K43" s="3">
        <f t="shared" si="0"/>
        <v>0</v>
      </c>
      <c r="L43" s="27">
        <f t="shared" si="9"/>
        <v>0</v>
      </c>
      <c r="M43" s="3">
        <f t="shared" si="2"/>
        <v>0</v>
      </c>
      <c r="N43" s="3">
        <f t="shared" si="3"/>
        <v>0</v>
      </c>
      <c r="O43" s="3">
        <f t="shared" si="5"/>
        <v>0</v>
      </c>
      <c r="P43" s="3"/>
    </row>
    <row r="44" spans="1:17" x14ac:dyDescent="0.35">
      <c r="A44" t="s">
        <v>3893</v>
      </c>
      <c r="B44" s="3">
        <f>_xlfn.IFNA(_xlfn.XLOOKUP(A44,'Price list'!J:J,'Price list'!K:K),0)</f>
        <v>1500</v>
      </c>
      <c r="C44" t="s">
        <v>9</v>
      </c>
      <c r="E44" s="3"/>
      <c r="F44" s="3"/>
      <c r="G44" s="3"/>
      <c r="H44" s="3" t="str">
        <f>IF(G44=0,"",_xlfn.XLOOKUP(G44,List_item!A:A,List_item!B:B))</f>
        <v/>
      </c>
      <c r="I44" s="3">
        <v>0</v>
      </c>
      <c r="J44" s="26">
        <f t="shared" si="4"/>
        <v>0</v>
      </c>
      <c r="K44" s="3">
        <f t="shared" si="0"/>
        <v>0</v>
      </c>
      <c r="L44" s="27">
        <f t="shared" si="9"/>
        <v>0</v>
      </c>
      <c r="M44" s="3">
        <f t="shared" si="2"/>
        <v>0</v>
      </c>
      <c r="N44" s="3">
        <f t="shared" si="3"/>
        <v>0</v>
      </c>
      <c r="O44" s="3">
        <f t="shared" si="5"/>
        <v>0</v>
      </c>
      <c r="P44" s="3" t="s">
        <v>3947</v>
      </c>
    </row>
    <row r="45" spans="1:17" x14ac:dyDescent="0.35">
      <c r="A45" t="s">
        <v>2167</v>
      </c>
      <c r="B45" s="3">
        <f>_xlfn.IFNA(_xlfn.XLOOKUP(A45,'Price list'!J:J,'Price list'!K:K),0)</f>
        <v>22000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109">
        <f>IFERROR(((K45/$K$11)*$F$11)/(F45+I45),0)+IFERROR(((K45/SUMIF(H:H,"*Boneless*",K:K))*$F$6)/I45,0)</f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>
        <f>IFERROR(((K45/SUMIF(H:H,"*Boneless*",K:K))*$F$6),0)</f>
        <v>0</v>
      </c>
      <c r="Q45">
        <f>SUMIF(H:H,"*Boneless*",K:K)</f>
        <v>0</v>
      </c>
    </row>
    <row r="46" spans="1:17" x14ac:dyDescent="0.35">
      <c r="A46" t="s">
        <v>2168</v>
      </c>
      <c r="B46" s="3">
        <f>_xlfn.IFNA(_xlfn.XLOOKUP(A46,'Price list'!J:J,'Price list'!K:K),0)</f>
        <v>16000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ref="L46:L70" si="10">IFERROR(((K46/$K$11)*$F$11)/(F46+I46),0)</f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7" x14ac:dyDescent="0.35">
      <c r="A47" t="s">
        <v>2169</v>
      </c>
      <c r="B47" s="3">
        <f>_xlfn.IFNA(_xlfn.XLOOKUP(A47,'Price list'!J:J,'Price list'!K:K),0)</f>
        <v>5000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10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7" x14ac:dyDescent="0.35">
      <c r="A48" t="s">
        <v>3894</v>
      </c>
      <c r="B48" s="3">
        <f>_xlfn.IFNA(_xlfn.XLOOKUP(A48,'Price list'!J:J,'Price list'!K:K),0)</f>
        <v>4500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0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2170</v>
      </c>
      <c r="B49" s="3">
        <f>_xlfn.IFNA(_xlfn.XLOOKUP(A49,'Price list'!J:J,'Price list'!K:K),0)</f>
        <v>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0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2171</v>
      </c>
      <c r="B50" s="3">
        <f>_xlfn.IFNA(_xlfn.XLOOKUP(A50,'Price list'!J:J,'Price list'!K:K),0)</f>
        <v>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0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3895</v>
      </c>
      <c r="B51" s="3">
        <f>_xlfn.IFNA(_xlfn.XLOOKUP(A51,'Price list'!J:J,'Price list'!K:K),0)</f>
        <v>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10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3896</v>
      </c>
      <c r="B52" s="3">
        <f>_xlfn.IFNA(_xlfn.XLOOKUP(A52,'Price list'!J:J,'Price list'!K:K),0)</f>
        <v>34000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0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3897</v>
      </c>
      <c r="B53" s="3">
        <f>_xlfn.IFNA(_xlfn.XLOOKUP(A53,'Price list'!J:J,'Price list'!K:K),0)</f>
        <v>34000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10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3898</v>
      </c>
      <c r="B54" s="3">
        <f>_xlfn.IFNA(_xlfn.XLOOKUP(A54,'Price list'!J:J,'Price list'!K:K),0)</f>
        <v>34000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0"/>
        <v>0</v>
      </c>
      <c r="L54" s="27">
        <f t="shared" si="10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x14ac:dyDescent="0.35">
      <c r="A55" t="s">
        <v>3899</v>
      </c>
      <c r="B55" s="3">
        <f>_xlfn.IFNA(_xlfn.XLOOKUP(A55,'Price list'!J:J,'Price list'!K:K),0)</f>
        <v>34000</v>
      </c>
      <c r="C55" t="s">
        <v>9</v>
      </c>
      <c r="E55" s="3"/>
      <c r="F55" s="3"/>
      <c r="G55" s="3"/>
      <c r="H55" s="3" t="str">
        <f>IF(G55=0,"",_xlfn.XLOOKUP(G55,List_item!A:A,List_item!B:B))</f>
        <v/>
      </c>
      <c r="I55" s="3">
        <v>0</v>
      </c>
      <c r="J55" s="26">
        <f t="shared" si="4"/>
        <v>0</v>
      </c>
      <c r="K55" s="3">
        <f t="shared" si="0"/>
        <v>0</v>
      </c>
      <c r="L55" s="27">
        <f t="shared" si="10"/>
        <v>0</v>
      </c>
      <c r="M55" s="3">
        <f t="shared" si="2"/>
        <v>0</v>
      </c>
      <c r="N55" s="3">
        <f t="shared" si="3"/>
        <v>0</v>
      </c>
      <c r="O55" s="3">
        <f t="shared" si="5"/>
        <v>0</v>
      </c>
      <c r="P55" s="3"/>
    </row>
    <row r="56" spans="1:16" x14ac:dyDescent="0.35">
      <c r="A56" t="s">
        <v>3900</v>
      </c>
      <c r="B56" s="3">
        <f>_xlfn.IFNA(_xlfn.XLOOKUP(A56,'Price list'!J:J,'Price list'!K:K),0)</f>
        <v>34000</v>
      </c>
      <c r="C56" t="s">
        <v>9</v>
      </c>
      <c r="E56" s="3"/>
      <c r="F56" s="3"/>
      <c r="G56" s="3"/>
      <c r="H56" s="3" t="str">
        <f>IF(G56=0,"",_xlfn.XLOOKUP(G56,List_item!A:A,List_item!B:B))</f>
        <v/>
      </c>
      <c r="I56" s="3">
        <v>0</v>
      </c>
      <c r="J56" s="26">
        <f t="shared" si="4"/>
        <v>0</v>
      </c>
      <c r="K56" s="3">
        <f t="shared" si="0"/>
        <v>0</v>
      </c>
      <c r="L56" s="27">
        <f t="shared" si="10"/>
        <v>0</v>
      </c>
      <c r="M56" s="3">
        <f t="shared" si="2"/>
        <v>0</v>
      </c>
      <c r="N56" s="3">
        <f t="shared" si="3"/>
        <v>0</v>
      </c>
      <c r="O56" s="3">
        <f t="shared" si="5"/>
        <v>0</v>
      </c>
      <c r="P56" s="3"/>
    </row>
    <row r="57" spans="1:16" x14ac:dyDescent="0.35">
      <c r="A57" t="s">
        <v>3901</v>
      </c>
      <c r="B57" s="3">
        <f>_xlfn.IFNA(_xlfn.XLOOKUP(A57,'Price list'!J:J,'Price list'!K:K),0)</f>
        <v>34000</v>
      </c>
      <c r="C57" t="s">
        <v>9</v>
      </c>
      <c r="E57" s="3"/>
      <c r="F57" s="3"/>
      <c r="G57" s="3"/>
      <c r="H57" s="3" t="str">
        <f>IF(G57=0,"",_xlfn.XLOOKUP(G57,List_item!A:A,List_item!B:B))</f>
        <v/>
      </c>
      <c r="I57" s="3">
        <v>0</v>
      </c>
      <c r="J57" s="26">
        <f t="shared" si="4"/>
        <v>0</v>
      </c>
      <c r="K57" s="3">
        <f t="shared" si="0"/>
        <v>0</v>
      </c>
      <c r="L57" s="27">
        <f t="shared" si="10"/>
        <v>0</v>
      </c>
      <c r="M57" s="3">
        <f t="shared" si="2"/>
        <v>0</v>
      </c>
      <c r="N57" s="3">
        <f t="shared" si="3"/>
        <v>0</v>
      </c>
      <c r="O57" s="3">
        <f t="shared" si="5"/>
        <v>0</v>
      </c>
      <c r="P57" s="3"/>
    </row>
    <row r="58" spans="1:16" x14ac:dyDescent="0.35">
      <c r="A58" t="s">
        <v>3902</v>
      </c>
      <c r="B58" s="3">
        <f>_xlfn.IFNA(_xlfn.XLOOKUP(A58,'Price list'!J:J,'Price list'!K:K),0)</f>
        <v>34000</v>
      </c>
      <c r="C58" t="s">
        <v>9</v>
      </c>
      <c r="E58" s="3"/>
      <c r="F58" s="3"/>
      <c r="G58" s="3"/>
      <c r="H58" s="3" t="str">
        <f>IF(G58=0,"",_xlfn.XLOOKUP(G58,List_item!A:A,List_item!B:B))</f>
        <v/>
      </c>
      <c r="I58" s="3">
        <v>0</v>
      </c>
      <c r="J58" s="26">
        <f t="shared" si="4"/>
        <v>0</v>
      </c>
      <c r="K58" s="3">
        <f t="shared" si="0"/>
        <v>0</v>
      </c>
      <c r="L58" s="27">
        <f t="shared" si="10"/>
        <v>0</v>
      </c>
      <c r="M58" s="3">
        <f t="shared" si="2"/>
        <v>0</v>
      </c>
      <c r="N58" s="3">
        <f t="shared" si="3"/>
        <v>0</v>
      </c>
      <c r="O58" s="3">
        <f t="shared" si="5"/>
        <v>0</v>
      </c>
      <c r="P58" s="3"/>
    </row>
    <row r="59" spans="1:16" x14ac:dyDescent="0.35">
      <c r="A59" t="s">
        <v>3903</v>
      </c>
      <c r="B59" s="3">
        <f>_xlfn.IFNA(_xlfn.XLOOKUP(A59,'Price list'!J:J,'Price list'!K:K),0)</f>
        <v>34000</v>
      </c>
      <c r="C59" t="s">
        <v>9</v>
      </c>
      <c r="E59" s="3"/>
      <c r="F59" s="3"/>
      <c r="G59" s="3"/>
      <c r="H59" s="3" t="str">
        <f>IF(G59=0,"",_xlfn.XLOOKUP(G59,List_item!A:A,List_item!B:B))</f>
        <v/>
      </c>
      <c r="I59" s="3">
        <v>0</v>
      </c>
      <c r="J59" s="26">
        <f t="shared" si="4"/>
        <v>0</v>
      </c>
      <c r="K59" s="3">
        <f t="shared" si="0"/>
        <v>0</v>
      </c>
      <c r="L59" s="27">
        <f t="shared" si="10"/>
        <v>0</v>
      </c>
      <c r="M59" s="3">
        <f t="shared" si="2"/>
        <v>0</v>
      </c>
      <c r="N59" s="3">
        <f t="shared" si="3"/>
        <v>0</v>
      </c>
      <c r="O59" s="3">
        <f t="shared" si="5"/>
        <v>0</v>
      </c>
      <c r="P59" s="3"/>
    </row>
    <row r="60" spans="1:16" x14ac:dyDescent="0.35">
      <c r="A60" t="s">
        <v>3904</v>
      </c>
      <c r="B60" s="3">
        <f>_xlfn.IFNA(_xlfn.XLOOKUP(A60,'Price list'!J:J,'Price list'!K:K),0)</f>
        <v>34000</v>
      </c>
      <c r="C60" t="s">
        <v>9</v>
      </c>
      <c r="E60" s="3"/>
      <c r="F60" s="3"/>
      <c r="G60" s="3"/>
      <c r="H60" s="3" t="str">
        <f>IF(G60=0,"",_xlfn.XLOOKUP(G60,List_item!A:A,List_item!B:B))</f>
        <v/>
      </c>
      <c r="I60" s="3">
        <v>0</v>
      </c>
      <c r="J60" s="26">
        <f t="shared" si="4"/>
        <v>0</v>
      </c>
      <c r="K60" s="3">
        <f t="shared" si="0"/>
        <v>0</v>
      </c>
      <c r="L60" s="27">
        <f t="shared" si="10"/>
        <v>0</v>
      </c>
      <c r="M60" s="3">
        <f t="shared" si="2"/>
        <v>0</v>
      </c>
      <c r="N60" s="3">
        <f t="shared" si="3"/>
        <v>0</v>
      </c>
      <c r="O60" s="3">
        <f t="shared" si="5"/>
        <v>0</v>
      </c>
      <c r="P60" s="3"/>
    </row>
    <row r="61" spans="1:16" x14ac:dyDescent="0.35">
      <c r="A61" t="s">
        <v>3905</v>
      </c>
      <c r="B61" s="3">
        <f>_xlfn.IFNA(_xlfn.XLOOKUP(A61,'Price list'!J:J,'Price list'!K:K),0)</f>
        <v>34000</v>
      </c>
      <c r="C61" t="s">
        <v>9</v>
      </c>
      <c r="E61" s="3"/>
      <c r="F61" s="3"/>
      <c r="G61" s="3"/>
      <c r="H61" s="3" t="str">
        <f>IF(G61=0,"",_xlfn.XLOOKUP(G61,List_item!A:A,List_item!B:B))</f>
        <v/>
      </c>
      <c r="I61" s="3">
        <v>0</v>
      </c>
      <c r="J61" s="26">
        <f t="shared" si="4"/>
        <v>0</v>
      </c>
      <c r="K61" s="3">
        <f t="shared" si="0"/>
        <v>0</v>
      </c>
      <c r="L61" s="27">
        <f t="shared" si="10"/>
        <v>0</v>
      </c>
      <c r="M61" s="3">
        <f t="shared" si="2"/>
        <v>0</v>
      </c>
      <c r="N61" s="3">
        <f t="shared" si="3"/>
        <v>0</v>
      </c>
      <c r="O61" s="3">
        <f t="shared" si="5"/>
        <v>0</v>
      </c>
      <c r="P61" s="3"/>
    </row>
    <row r="62" spans="1:16" x14ac:dyDescent="0.35">
      <c r="A62" t="s">
        <v>3906</v>
      </c>
      <c r="B62" s="3">
        <f>_xlfn.IFNA(_xlfn.XLOOKUP(A62,'Price list'!J:J,'Price list'!K:K),0)</f>
        <v>34000</v>
      </c>
      <c r="C62" t="s">
        <v>9</v>
      </c>
      <c r="E62" s="3"/>
      <c r="F62" s="3"/>
      <c r="G62" s="3"/>
      <c r="H62" s="3" t="str">
        <f>IF(G62=0,"",_xlfn.XLOOKUP(G62,List_item!A:A,List_item!B:B))</f>
        <v/>
      </c>
      <c r="I62" s="3">
        <v>0</v>
      </c>
      <c r="J62" s="26">
        <f t="shared" si="4"/>
        <v>0</v>
      </c>
      <c r="K62" s="3">
        <f t="shared" si="0"/>
        <v>0</v>
      </c>
      <c r="L62" s="27">
        <f t="shared" si="10"/>
        <v>0</v>
      </c>
      <c r="M62" s="3">
        <f t="shared" si="2"/>
        <v>0</v>
      </c>
      <c r="N62" s="3">
        <f t="shared" si="3"/>
        <v>0</v>
      </c>
      <c r="O62" s="3">
        <f t="shared" si="5"/>
        <v>0</v>
      </c>
      <c r="P62" s="3"/>
    </row>
    <row r="63" spans="1:16" x14ac:dyDescent="0.35">
      <c r="A63" t="s">
        <v>3907</v>
      </c>
      <c r="B63" s="3">
        <f>_xlfn.IFNA(_xlfn.XLOOKUP(A63,'Price list'!J:J,'Price list'!K:K),0)</f>
        <v>34000</v>
      </c>
      <c r="C63" t="s">
        <v>9</v>
      </c>
      <c r="E63" s="3"/>
      <c r="F63" s="3"/>
      <c r="G63" s="3"/>
      <c r="H63" s="3" t="str">
        <f>IF(G63=0,"",_xlfn.XLOOKUP(G63,List_item!A:A,List_item!B:B))</f>
        <v/>
      </c>
      <c r="I63" s="3">
        <v>0</v>
      </c>
      <c r="J63" s="26">
        <f t="shared" si="4"/>
        <v>0</v>
      </c>
      <c r="K63" s="3">
        <f t="shared" si="0"/>
        <v>0</v>
      </c>
      <c r="L63" s="27">
        <f t="shared" si="10"/>
        <v>0</v>
      </c>
      <c r="M63" s="3">
        <f t="shared" si="2"/>
        <v>0</v>
      </c>
      <c r="N63" s="3">
        <f t="shared" si="3"/>
        <v>0</v>
      </c>
      <c r="O63" s="3">
        <f t="shared" si="5"/>
        <v>0</v>
      </c>
      <c r="P63" s="3"/>
    </row>
    <row r="64" spans="1:16" x14ac:dyDescent="0.35">
      <c r="A64" t="s">
        <v>3908</v>
      </c>
      <c r="B64" s="3">
        <f>_xlfn.IFNA(_xlfn.XLOOKUP(A64,'Price list'!J:J,'Price list'!K:K),0)</f>
        <v>34000</v>
      </c>
      <c r="C64" t="s">
        <v>9</v>
      </c>
      <c r="E64" s="3"/>
      <c r="F64" s="3"/>
      <c r="G64" s="3"/>
      <c r="H64" s="3" t="str">
        <f>IF(G64=0,"",_xlfn.XLOOKUP(G64,List_item!A:A,List_item!B:B))</f>
        <v/>
      </c>
      <c r="I64" s="3">
        <v>0</v>
      </c>
      <c r="J64" s="26">
        <f t="shared" si="4"/>
        <v>0</v>
      </c>
      <c r="K64" s="3">
        <f t="shared" si="0"/>
        <v>0</v>
      </c>
      <c r="L64" s="27">
        <f t="shared" si="10"/>
        <v>0</v>
      </c>
      <c r="M64" s="3">
        <f t="shared" si="2"/>
        <v>0</v>
      </c>
      <c r="N64" s="3">
        <f t="shared" si="3"/>
        <v>0</v>
      </c>
      <c r="O64" s="3">
        <f t="shared" si="5"/>
        <v>0</v>
      </c>
      <c r="P64" s="3"/>
    </row>
    <row r="65" spans="1:17" x14ac:dyDescent="0.35">
      <c r="A65" t="s">
        <v>3909</v>
      </c>
      <c r="B65" s="3">
        <f>_xlfn.IFNA(_xlfn.XLOOKUP(A65,'Price list'!J:J,'Price list'!K:K),0)</f>
        <v>34000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0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7" x14ac:dyDescent="0.35">
      <c r="A66" t="s">
        <v>3945</v>
      </c>
      <c r="B66" s="3">
        <f>_xlfn.IFNA(_xlfn.XLOOKUP(A66,'Price list'!J:J,'Price list'!K:K),0)</f>
        <v>34000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0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7" x14ac:dyDescent="0.35">
      <c r="A67" t="s">
        <v>3911</v>
      </c>
      <c r="B67" s="3">
        <f>_xlfn.IFNA(_xlfn.XLOOKUP(A67,'Price list'!J:J,'Price list'!K:K),0)</f>
        <v>34000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0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7" x14ac:dyDescent="0.35">
      <c r="A68" t="s">
        <v>3912</v>
      </c>
      <c r="B68" s="3">
        <f>_xlfn.IFNA(_xlfn.XLOOKUP(A68,'Price list'!J:J,'Price list'!K:K),0)</f>
        <v>34000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0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7" x14ac:dyDescent="0.35">
      <c r="A69" t="s">
        <v>3913</v>
      </c>
      <c r="B69" s="3">
        <f>_xlfn.IFNA(_xlfn.XLOOKUP(A69,'Price list'!J:J,'Price list'!K:K),0)</f>
        <v>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0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7" x14ac:dyDescent="0.35">
      <c r="A70" t="s">
        <v>3914</v>
      </c>
      <c r="B70" s="3">
        <f>_xlfn.IFNA(_xlfn.XLOOKUP(A70,'Price list'!J:J,'Price list'!K:K),0)</f>
        <v>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0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7" x14ac:dyDescent="0.35">
      <c r="A71" t="s">
        <v>4055</v>
      </c>
      <c r="B71" s="3">
        <f>_xlfn.IFNA(_xlfn.XLOOKUP(A71,'Price list'!J:J,'Price list'!K:K),0)</f>
        <v>45000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109">
        <f>IFERROR(((K71/$K$11)*$F$11)/(F71+I71),0)+IFERROR(((K71/SUMIF(H:H,"*Boneless*",K:K))*$F$6)/I71,0)</f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>
        <f>IFERROR(((K71/SUMIF(H:H,"*Boneless*",K:K))*$F$6),0)</f>
        <v>0</v>
      </c>
      <c r="Q71">
        <f>SUMIF(H:H,"*Boneless*",K:K)</f>
        <v>0</v>
      </c>
    </row>
    <row r="72" spans="1:17" x14ac:dyDescent="0.35">
      <c r="A72" t="s">
        <v>3916</v>
      </c>
      <c r="B72" s="3">
        <f>_xlfn.IFNA(_xlfn.XLOOKUP(A72,'Price list'!J:J,'Price list'!K:K),0)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ref="L72:L80" si="11">IFERROR(((K72/$K$11)*$F$11)/(F72+I72),0)</f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7" x14ac:dyDescent="0.35">
      <c r="A73" t="s">
        <v>4062</v>
      </c>
      <c r="B73" s="3">
        <f>_xlfn.IFNA(_xlfn.XLOOKUP(A73,'Price list'!J:J,'Price list'!K:K),0)</f>
        <v>44000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1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7" x14ac:dyDescent="0.35">
      <c r="A74" t="s">
        <v>3918</v>
      </c>
      <c r="B74" s="3">
        <f>_xlfn.IFNA(_xlfn.XLOOKUP(A74,'Price list'!J:J,'Price list'!K:K),0)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1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7" x14ac:dyDescent="0.35">
      <c r="A75" t="s">
        <v>3919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si="11"/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7" x14ac:dyDescent="0.35">
      <c r="A76" t="s">
        <v>3920</v>
      </c>
      <c r="B76" s="3">
        <f>_xlfn.IFNA(_xlfn.XLOOKUP(A76,'Price list'!J:J,'Price list'!K:K),0)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ref="K76:K81" si="12">+B76*(F76+I76)</f>
        <v>0</v>
      </c>
      <c r="L76" s="27">
        <f t="shared" si="11"/>
        <v>0</v>
      </c>
      <c r="M76" s="3">
        <f t="shared" ref="M76:M81" si="13">+L76*(F76+I76)</f>
        <v>0</v>
      </c>
      <c r="N76" s="3">
        <f t="shared" ref="N76:N81" si="14">IF(L76=0,0,B76-L76)</f>
        <v>0</v>
      </c>
      <c r="O76" s="3">
        <f t="shared" si="5"/>
        <v>0</v>
      </c>
      <c r="P76" s="3"/>
    </row>
    <row r="77" spans="1:17" x14ac:dyDescent="0.35">
      <c r="A77" t="s">
        <v>3921</v>
      </c>
      <c r="B77" s="3">
        <f>_xlfn.IFNA(_xlfn.XLOOKUP(A77,'Price list'!J:J,'Price list'!K:K),0)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ref="J77:J81" si="15">IF(F77/J$5&gt;0,F77/J$5,I77/J$5)</f>
        <v>0</v>
      </c>
      <c r="K77" s="3">
        <f t="shared" si="12"/>
        <v>0</v>
      </c>
      <c r="L77" s="27">
        <f t="shared" si="11"/>
        <v>0</v>
      </c>
      <c r="M77" s="3">
        <f t="shared" si="13"/>
        <v>0</v>
      </c>
      <c r="N77" s="3">
        <f t="shared" si="14"/>
        <v>0</v>
      </c>
      <c r="O77" s="3">
        <f t="shared" ref="O77:O81" si="16">+K77-M77</f>
        <v>0</v>
      </c>
      <c r="P77" s="3"/>
    </row>
    <row r="78" spans="1:17" x14ac:dyDescent="0.35">
      <c r="A78" t="s">
        <v>3922</v>
      </c>
      <c r="B78" s="3">
        <f>_xlfn.IFNA(_xlfn.XLOOKUP(A78,'Price list'!J:J,'Price list'!K:K),0)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15"/>
        <v>0</v>
      </c>
      <c r="K78" s="3">
        <f t="shared" si="12"/>
        <v>0</v>
      </c>
      <c r="L78" s="27">
        <f t="shared" si="11"/>
        <v>0</v>
      </c>
      <c r="M78" s="3">
        <f t="shared" si="13"/>
        <v>0</v>
      </c>
      <c r="N78" s="3">
        <f t="shared" si="14"/>
        <v>0</v>
      </c>
      <c r="O78" s="3">
        <f t="shared" si="16"/>
        <v>0</v>
      </c>
      <c r="P78" s="3"/>
    </row>
    <row r="79" spans="1:17" x14ac:dyDescent="0.35">
      <c r="A79" t="s">
        <v>3923</v>
      </c>
      <c r="B79" s="3">
        <f>_xlfn.IFNA(_xlfn.XLOOKUP(A79,'Price list'!J:J,'Price list'!K:K),0)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15"/>
        <v>0</v>
      </c>
      <c r="K79" s="3">
        <f t="shared" si="12"/>
        <v>0</v>
      </c>
      <c r="L79" s="27">
        <f t="shared" si="11"/>
        <v>0</v>
      </c>
      <c r="M79" s="3">
        <f t="shared" si="13"/>
        <v>0</v>
      </c>
      <c r="N79" s="3">
        <f t="shared" si="14"/>
        <v>0</v>
      </c>
      <c r="O79" s="3">
        <f t="shared" si="16"/>
        <v>0</v>
      </c>
      <c r="P79" s="3"/>
    </row>
    <row r="80" spans="1:17" x14ac:dyDescent="0.35">
      <c r="A80" t="s">
        <v>3924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15"/>
        <v>0</v>
      </c>
      <c r="K80" s="3">
        <f t="shared" si="12"/>
        <v>0</v>
      </c>
      <c r="L80" s="27">
        <f t="shared" si="11"/>
        <v>0</v>
      </c>
      <c r="M80" s="3">
        <f t="shared" si="13"/>
        <v>0</v>
      </c>
      <c r="N80" s="3">
        <f t="shared" si="14"/>
        <v>0</v>
      </c>
      <c r="O80" s="3">
        <f t="shared" si="16"/>
        <v>0</v>
      </c>
      <c r="P80" s="3"/>
    </row>
    <row r="81" spans="1:18" x14ac:dyDescent="0.35">
      <c r="A81" t="s">
        <v>4060</v>
      </c>
      <c r="B81" s="3">
        <f>_xlfn.IFNA(_xlfn.XLOOKUP(A81,'Price list'!J:J,'Price list'!K:K),0)</f>
        <v>36000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15"/>
        <v>0</v>
      </c>
      <c r="K81" s="3">
        <f t="shared" si="12"/>
        <v>0</v>
      </c>
      <c r="L81" s="109">
        <f>IFERROR(((K81/$K$11)*$F$11)/(F81+I81),0)+IFERROR(((K81/SUMIF(H:H,"*Boneless*",K:K))*$F$6)/I81,0)</f>
        <v>0</v>
      </c>
      <c r="M81" s="3">
        <f t="shared" si="13"/>
        <v>0</v>
      </c>
      <c r="N81" s="3">
        <f t="shared" si="14"/>
        <v>0</v>
      </c>
      <c r="O81" s="3">
        <f t="shared" si="16"/>
        <v>0</v>
      </c>
      <c r="P81" s="3">
        <f>IFERROR(((K81/SUMIF(H:H,"*Boneless*",K:K))*$F$6),0)</f>
        <v>0</v>
      </c>
      <c r="Q81">
        <f>SUMIF(H:H,"*Boneless*",K:K)</f>
        <v>0</v>
      </c>
    </row>
    <row r="83" spans="1:18" s="2" customFormat="1" x14ac:dyDescent="0.35">
      <c r="A83" t="s">
        <v>3929</v>
      </c>
      <c r="B83"/>
      <c r="C83"/>
      <c r="D83"/>
      <c r="E83"/>
      <c r="F83" s="117"/>
      <c r="G83" t="s">
        <v>3930</v>
      </c>
      <c r="Q83"/>
      <c r="R83"/>
    </row>
    <row r="84" spans="1:18" s="2" customFormat="1" x14ac:dyDescent="0.35">
      <c r="A84"/>
      <c r="B84"/>
      <c r="C84"/>
      <c r="D84"/>
      <c r="E84"/>
      <c r="F84" s="117"/>
      <c r="G84"/>
      <c r="Q84"/>
      <c r="R84"/>
    </row>
    <row r="85" spans="1:18" s="2" customFormat="1" x14ac:dyDescent="0.35">
      <c r="A85"/>
      <c r="B85"/>
      <c r="C85"/>
      <c r="D85"/>
      <c r="E85"/>
      <c r="F85" s="117"/>
      <c r="G85"/>
      <c r="Q85"/>
      <c r="R85"/>
    </row>
    <row r="86" spans="1:18" s="2" customFormat="1" x14ac:dyDescent="0.35">
      <c r="A86"/>
      <c r="B86"/>
      <c r="C86"/>
      <c r="D86"/>
      <c r="E86"/>
      <c r="F86" s="117"/>
      <c r="G86"/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 s="118"/>
      <c r="B89"/>
      <c r="C89"/>
      <c r="D89"/>
      <c r="E89"/>
      <c r="F89" s="117"/>
      <c r="G89" s="118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</sheetData>
  <autoFilter ref="A11:P81" xr:uid="{9E3D57EB-0D9F-40FE-B4FE-C94EEFF00F8F}"/>
  <conditionalFormatting sqref="O11">
    <cfRule type="cellIs" dxfId="2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65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1AC1-B1ED-4104-BDE4-E7F6DACEFA3A}">
  <sheetPr>
    <tabColor rgb="FFFFC000"/>
    <pageSetUpPr fitToPage="1"/>
  </sheetPr>
  <dimension ref="A1:R97"/>
  <sheetViews>
    <sheetView zoomScale="80" zoomScaleNormal="80" workbookViewId="0">
      <pane xSplit="3" ySplit="10" topLeftCell="H34" activePane="bottomRight" state="frozen"/>
      <selection activeCell="B23" sqref="B23"/>
      <selection pane="topRight" activeCell="B23" sqref="B23"/>
      <selection pane="bottomLeft" activeCell="B23" sqref="B23"/>
      <selection pane="bottomRight" activeCell="J10" sqref="J10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30.54296875" style="2" bestFit="1" customWidth="1"/>
    <col min="8" max="8" width="42.453125" style="2" bestFit="1" customWidth="1"/>
    <col min="9" max="9" width="14.6328125" style="2" bestFit="1" customWidth="1"/>
    <col min="10" max="10" width="11.26953125" style="2" bestFit="1" customWidth="1"/>
    <col min="11" max="11" width="17.81640625" style="2" bestFit="1" customWidth="1"/>
    <col min="12" max="12" width="16.36328125" style="2" bestFit="1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+I9/E11</f>
        <v>3.7793857142857137</v>
      </c>
    </row>
    <row r="2" spans="1:18" x14ac:dyDescent="0.35">
      <c r="A2" s="18" t="s">
        <v>3865</v>
      </c>
      <c r="E2" s="159"/>
      <c r="F2" s="159"/>
      <c r="G2" s="19" t="s">
        <v>3943</v>
      </c>
    </row>
    <row r="3" spans="1:18" x14ac:dyDescent="0.35">
      <c r="A3" s="101" t="s">
        <v>3866</v>
      </c>
      <c r="B3" s="2">
        <f>((3100+3300+3351.3+3304)+(3300+3500))*25000</f>
        <v>496382500</v>
      </c>
      <c r="C3" s="19"/>
      <c r="E3" s="157"/>
      <c r="F3" s="157"/>
      <c r="G3" s="156" t="s">
        <v>4155</v>
      </c>
      <c r="H3" s="157" t="s">
        <v>4156</v>
      </c>
      <c r="I3" s="101" t="s">
        <v>3870</v>
      </c>
      <c r="J3" s="157" t="s">
        <v>4157</v>
      </c>
      <c r="Q3" s="25"/>
      <c r="R3" s="2"/>
    </row>
    <row r="4" spans="1:18" x14ac:dyDescent="0.35">
      <c r="A4" s="101" t="s">
        <v>3867</v>
      </c>
      <c r="B4" s="2">
        <f>7*1500000</f>
        <v>10500000</v>
      </c>
      <c r="E4"/>
      <c r="F4" s="157"/>
      <c r="G4" s="157"/>
      <c r="H4" s="157" t="s">
        <v>4087</v>
      </c>
      <c r="I4" s="101" t="s">
        <v>3872</v>
      </c>
      <c r="J4" s="115">
        <v>46293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26861234.399999999</v>
      </c>
      <c r="E5" s="157"/>
      <c r="F5" s="157"/>
      <c r="G5" s="157" t="s">
        <v>4143</v>
      </c>
      <c r="H5" s="157" t="s">
        <v>4086</v>
      </c>
      <c r="I5" s="101" t="s">
        <v>3944</v>
      </c>
      <c r="J5" s="19">
        <f>((3100+3300+3351.3+3304)+(3300+3500))</f>
        <v>19855.3</v>
      </c>
      <c r="K5" s="2">
        <v>18635</v>
      </c>
      <c r="L5" s="2">
        <f>J5-K5</f>
        <v>1220.2999999999993</v>
      </c>
      <c r="M5" s="147">
        <f>L5/J5</f>
        <v>6.1459660644764838E-2</v>
      </c>
      <c r="N5" s="2">
        <v>130</v>
      </c>
      <c r="O5" s="2">
        <v>186.5</v>
      </c>
    </row>
    <row r="6" spans="1:18" x14ac:dyDescent="0.35">
      <c r="A6" s="102" t="s">
        <v>3869</v>
      </c>
      <c r="B6" s="19">
        <f>SUBTOTAL(9,B3:B5)</f>
        <v>533743734.39999998</v>
      </c>
      <c r="E6" s="149" t="s">
        <v>4054</v>
      </c>
      <c r="F6" s="93"/>
      <c r="I6" s="101"/>
      <c r="J6" s="19"/>
      <c r="M6" s="147"/>
    </row>
    <row r="7" spans="1:18" x14ac:dyDescent="0.35">
      <c r="B7" s="2">
        <f>B6+F6</f>
        <v>533743734.39999998</v>
      </c>
      <c r="I7" s="2">
        <f>3100+3300+3351.3+3304+3100</f>
        <v>16155.3</v>
      </c>
      <c r="Q7" s="25"/>
    </row>
    <row r="8" spans="1:18" ht="4.5" customHeight="1" x14ac:dyDescent="0.35">
      <c r="A8" s="101"/>
    </row>
    <row r="9" spans="1:18" x14ac:dyDescent="0.35">
      <c r="A9" s="8"/>
      <c r="B9" s="19"/>
      <c r="C9" s="18"/>
      <c r="E9" s="18"/>
      <c r="I9" s="2">
        <f>J9+3300.2*2</f>
        <v>26455.699999999997</v>
      </c>
      <c r="J9" s="2">
        <f>J5-J7</f>
        <v>19855.3</v>
      </c>
      <c r="K9" s="19" t="s">
        <v>3931</v>
      </c>
      <c r="L9" s="28">
        <f>SUM(K12:K66)/M11-1</f>
        <v>-1.9876644382394559E-2</v>
      </c>
    </row>
    <row r="10" spans="1:18" ht="28.5" customHeight="1" x14ac:dyDescent="0.35">
      <c r="A10" s="112" t="s">
        <v>27</v>
      </c>
      <c r="B10" s="119" t="s">
        <v>3938</v>
      </c>
      <c r="C10" s="112" t="s">
        <v>4</v>
      </c>
      <c r="D10" s="1"/>
      <c r="E10" s="113" t="s">
        <v>28</v>
      </c>
      <c r="F10" s="110" t="s">
        <v>6</v>
      </c>
      <c r="G10" s="110" t="s">
        <v>3937</v>
      </c>
      <c r="H10" s="120" t="s">
        <v>3926</v>
      </c>
      <c r="I10" s="110" t="s">
        <v>3835</v>
      </c>
      <c r="J10" s="119" t="s">
        <v>2177</v>
      </c>
      <c r="K10" s="119" t="s">
        <v>3932</v>
      </c>
      <c r="L10" s="119" t="s">
        <v>3935</v>
      </c>
      <c r="M10" s="120" t="s">
        <v>2173</v>
      </c>
      <c r="N10" s="121" t="s">
        <v>3939</v>
      </c>
      <c r="O10" s="121" t="s">
        <v>3936</v>
      </c>
      <c r="P10" s="110" t="s">
        <v>3826</v>
      </c>
    </row>
    <row r="11" spans="1:18" x14ac:dyDescent="0.35">
      <c r="A11" s="4"/>
      <c r="B11" s="24"/>
      <c r="C11" s="4"/>
      <c r="D11" s="1"/>
      <c r="E11" s="5">
        <v>7000</v>
      </c>
      <c r="F11" s="5">
        <f>+B6</f>
        <v>533743734.39999998</v>
      </c>
      <c r="G11" s="5"/>
      <c r="H11" s="5"/>
      <c r="I11" s="5">
        <f>SUM(I12:I90)</f>
        <v>17203.8</v>
      </c>
      <c r="J11" s="148">
        <f>SUM(J12:J90)</f>
        <v>0.86645882963239051</v>
      </c>
      <c r="K11" s="5">
        <f>SUM(K12:K90)</f>
        <v>523134700</v>
      </c>
      <c r="L11" s="5"/>
      <c r="M11" s="5">
        <f>SUM(M12:M90)</f>
        <v>533743734.40000004</v>
      </c>
      <c r="N11" s="5"/>
      <c r="O11" s="5">
        <f>SUM(O12:O90)</f>
        <v>-10609034.399999958</v>
      </c>
    </row>
    <row r="12" spans="1:18" x14ac:dyDescent="0.35">
      <c r="A12" t="s">
        <v>3873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>IF(F12/J$5&gt;0,F12/J$5,I12/J$5)</f>
        <v>0</v>
      </c>
      <c r="K12" s="3">
        <f t="shared" ref="K12:K75" si="0">+B12*(F12+I12)</f>
        <v>0</v>
      </c>
      <c r="L12" s="27">
        <f t="shared" ref="L12:L30" si="1">IFERROR(((K12/$K$11)*$F$11)/(F12+I12),0)</f>
        <v>0</v>
      </c>
      <c r="M12" s="3">
        <f t="shared" ref="M12:M75" si="2">+L12*(F12+I12)</f>
        <v>0</v>
      </c>
      <c r="N12" s="3">
        <f t="shared" ref="N12:N75" si="3">IF(L12=0,0,B12-L12)</f>
        <v>0</v>
      </c>
      <c r="O12" s="3">
        <f>+K12-M12</f>
        <v>0</v>
      </c>
      <c r="P12" s="3"/>
    </row>
    <row r="13" spans="1:18" x14ac:dyDescent="0.35">
      <c r="A13" t="s">
        <v>3874</v>
      </c>
      <c r="B13" s="3">
        <f>_xlfn.IFNA(_xlfn.XLOOKUP(A13,'Price list'!J:J,'Price list'!K:K),0)</f>
        <v>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ref="J13:J76" si="4">IF(F13/J$5&gt;0,F13/J$5,I13/J$5)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ref="O13:O76" si="5">+K13-M13</f>
        <v>0</v>
      </c>
      <c r="P13" s="3"/>
      <c r="R13" s="3"/>
    </row>
    <row r="14" spans="1:18" x14ac:dyDescent="0.35">
      <c r="A14" t="s">
        <v>3875</v>
      </c>
      <c r="B14" s="3">
        <f>_xlfn.IFNA(_xlfn.XLOOKUP(A14,'Price list'!J:J,'Price list'!K:K),0)</f>
        <v>37000</v>
      </c>
      <c r="C14" t="s">
        <v>9</v>
      </c>
      <c r="E14" s="3"/>
      <c r="F14" s="3"/>
      <c r="G14" s="3" t="s">
        <v>2219</v>
      </c>
      <c r="H14" s="3" t="str">
        <f>IF(G14=0,"",_xlfn.XLOOKUP(G14,List_item!A:A,List_item!B:B))</f>
        <v>Karkas Uk 0.5 Karkas Uk 0.5 Frozen Premium</v>
      </c>
      <c r="I14" s="156">
        <v>22.3</v>
      </c>
      <c r="J14" s="26">
        <f t="shared" si="4"/>
        <v>1.1231258152735039E-3</v>
      </c>
      <c r="K14" s="3">
        <f t="shared" si="0"/>
        <v>825100</v>
      </c>
      <c r="L14" s="156">
        <f t="shared" si="1"/>
        <v>37750.3502879851</v>
      </c>
      <c r="M14" s="3">
        <f t="shared" si="2"/>
        <v>841832.81142206781</v>
      </c>
      <c r="N14" s="3">
        <f t="shared" si="3"/>
        <v>-750.35028798510029</v>
      </c>
      <c r="O14" s="3">
        <f t="shared" si="5"/>
        <v>-16732.811422067811</v>
      </c>
      <c r="P14" s="3"/>
    </row>
    <row r="15" spans="1:18" x14ac:dyDescent="0.35">
      <c r="A15" t="s">
        <v>3876</v>
      </c>
      <c r="B15" s="3">
        <f>_xlfn.IFNA(_xlfn.XLOOKUP(A15,'Price list'!J:J,'Price list'!K:K),0)</f>
        <v>37000</v>
      </c>
      <c r="C15" t="s">
        <v>9</v>
      </c>
      <c r="E15" s="3"/>
      <c r="F15" s="3"/>
      <c r="G15" s="3" t="s">
        <v>2220</v>
      </c>
      <c r="H15" s="3" t="str">
        <f>IF(G15=0,"",_xlfn.XLOOKUP(G15,List_item!A:A,List_item!B:B))</f>
        <v>Karkas Uk 0.6 Karkas Uk 0.6 Frozen Premium</v>
      </c>
      <c r="I15" s="156">
        <v>112.1</v>
      </c>
      <c r="J15" s="26">
        <f t="shared" si="4"/>
        <v>5.6458477081686E-3</v>
      </c>
      <c r="K15" s="3">
        <f t="shared" si="0"/>
        <v>4147700</v>
      </c>
      <c r="L15" s="156">
        <f t="shared" si="1"/>
        <v>37750.3502879851</v>
      </c>
      <c r="M15" s="3">
        <f t="shared" si="2"/>
        <v>4231814.2672831295</v>
      </c>
      <c r="N15" s="3">
        <f t="shared" si="3"/>
        <v>-750.35028798510029</v>
      </c>
      <c r="O15" s="3">
        <f t="shared" si="5"/>
        <v>-84114.267283129506</v>
      </c>
      <c r="P15" s="3"/>
    </row>
    <row r="16" spans="1:18" x14ac:dyDescent="0.35">
      <c r="A16" t="s">
        <v>3877</v>
      </c>
      <c r="B16" s="3">
        <f>_xlfn.IFNA(_xlfn.XLOOKUP(A16,'Price list'!J:J,'Price list'!K:K),0)</f>
        <v>37000</v>
      </c>
      <c r="C16" t="s">
        <v>9</v>
      </c>
      <c r="E16"/>
      <c r="F16"/>
      <c r="G16" s="3" t="s">
        <v>2221</v>
      </c>
      <c r="H16" s="3" t="str">
        <f>IF(G16=0,"",_xlfn.XLOOKUP(G16,List_item!A:A,List_item!B:B))</f>
        <v>Karkas Uk 0.7 Karkas Uk 0.7 Frozen Premium</v>
      </c>
      <c r="I16" s="156">
        <v>671.3</v>
      </c>
      <c r="J16" s="26">
        <f t="shared" si="4"/>
        <v>3.3809612546775926E-2</v>
      </c>
      <c r="K16" s="3">
        <f t="shared" si="0"/>
        <v>24838100</v>
      </c>
      <c r="L16" s="156">
        <f t="shared" si="1"/>
        <v>37750.3502879851</v>
      </c>
      <c r="M16" s="3">
        <f t="shared" si="2"/>
        <v>25341810.148324396</v>
      </c>
      <c r="N16" s="3">
        <f t="shared" si="3"/>
        <v>-750.35028798510029</v>
      </c>
      <c r="O16" s="3">
        <f t="shared" si="5"/>
        <v>-503710.14832439646</v>
      </c>
      <c r="P16" s="3"/>
    </row>
    <row r="17" spans="1:17" x14ac:dyDescent="0.35">
      <c r="A17" t="s">
        <v>3878</v>
      </c>
      <c r="B17" s="3">
        <f>_xlfn.IFNA(_xlfn.XLOOKUP(A17,'Price list'!J:J,'Price list'!K:K),0)</f>
        <v>37000</v>
      </c>
      <c r="C17" t="s">
        <v>9</v>
      </c>
      <c r="E17" s="3"/>
      <c r="F17"/>
      <c r="G17" s="3" t="s">
        <v>2222</v>
      </c>
      <c r="H17" s="3" t="str">
        <f>IF(G17=0,"",_xlfn.XLOOKUP(G17,List_item!A:A,List_item!B:B))</f>
        <v>Karkas Uk 0.8 Frozen Premium</v>
      </c>
      <c r="I17" s="156">
        <v>654</v>
      </c>
      <c r="J17" s="26">
        <f t="shared" si="4"/>
        <v>3.2938308663178095E-2</v>
      </c>
      <c r="K17" s="3">
        <f t="shared" si="0"/>
        <v>24198000</v>
      </c>
      <c r="L17" s="156">
        <f t="shared" si="1"/>
        <v>37750.3502879851</v>
      </c>
      <c r="M17" s="3">
        <f t="shared" si="2"/>
        <v>24688729.088342257</v>
      </c>
      <c r="N17" s="3">
        <f t="shared" si="3"/>
        <v>-750.35028798510029</v>
      </c>
      <c r="O17" s="3">
        <f t="shared" si="5"/>
        <v>-490729.08834225684</v>
      </c>
      <c r="P17" s="3"/>
    </row>
    <row r="18" spans="1:17" x14ac:dyDescent="0.35">
      <c r="A18" t="s">
        <v>3879</v>
      </c>
      <c r="B18" s="3">
        <f>_xlfn.IFNA(_xlfn.XLOOKUP(A18,'Price list'!J:J,'Price list'!K:K),0)</f>
        <v>37000</v>
      </c>
      <c r="C18" t="s">
        <v>9</v>
      </c>
      <c r="E18" s="3"/>
      <c r="F18"/>
      <c r="G18" s="3" t="s">
        <v>2223</v>
      </c>
      <c r="H18" s="3" t="str">
        <f>IF(G18=0,"",_xlfn.XLOOKUP(G18,List_item!A:A,List_item!B:B))</f>
        <v>Karkas Uk 0.9 Frozen Premium</v>
      </c>
      <c r="I18" s="156">
        <v>2770.4</v>
      </c>
      <c r="J18" s="26">
        <f t="shared" si="4"/>
        <v>0.13952949590285718</v>
      </c>
      <c r="K18" s="3">
        <f t="shared" si="0"/>
        <v>102504800</v>
      </c>
      <c r="L18" s="156">
        <f t="shared" si="1"/>
        <v>37750.3502879851</v>
      </c>
      <c r="M18" s="3">
        <f t="shared" si="2"/>
        <v>104583570.43783392</v>
      </c>
      <c r="N18" s="3">
        <f t="shared" si="3"/>
        <v>-750.35028798510029</v>
      </c>
      <c r="O18" s="3">
        <f t="shared" si="5"/>
        <v>-2078770.4378339201</v>
      </c>
      <c r="P18" s="3"/>
    </row>
    <row r="19" spans="1:17" x14ac:dyDescent="0.35">
      <c r="A19" t="s">
        <v>3879</v>
      </c>
      <c r="B19" s="3">
        <f>_xlfn.IFNA(_xlfn.XLOOKUP(A19,'Price list'!J:J,'Price list'!K:K),0)</f>
        <v>37000</v>
      </c>
      <c r="C19" t="s">
        <v>9</v>
      </c>
      <c r="E19" s="6"/>
      <c r="F19"/>
      <c r="G19" s="3" t="s">
        <v>826</v>
      </c>
      <c r="H19" s="3" t="str">
        <f>IF(G19=0,"",_xlfn.XLOOKUP(G19,List_item!A:A,List_item!B:B))</f>
        <v>Karkas Uk 0.9 Karkas Uk 0.9 Fresh Premium</v>
      </c>
      <c r="I19" s="156">
        <v>1088.4000000000001</v>
      </c>
      <c r="J19" s="26">
        <f t="shared" si="4"/>
        <v>5.4816598087160613E-2</v>
      </c>
      <c r="K19" s="3">
        <f t="shared" si="0"/>
        <v>40270800</v>
      </c>
      <c r="L19" s="156">
        <f t="shared" si="1"/>
        <v>37750.350287985093</v>
      </c>
      <c r="M19" s="3">
        <f t="shared" si="2"/>
        <v>41087481.25344298</v>
      </c>
      <c r="N19" s="3">
        <f t="shared" si="3"/>
        <v>-750.35028798509302</v>
      </c>
      <c r="O19" s="3">
        <f t="shared" si="5"/>
        <v>-816681.25344298035</v>
      </c>
      <c r="P19" s="3"/>
    </row>
    <row r="20" spans="1:17" x14ac:dyDescent="0.35">
      <c r="A20" t="s">
        <v>3880</v>
      </c>
      <c r="B20" s="3">
        <f>_xlfn.IFNA(_xlfn.XLOOKUP(A20,'Price list'!J:J,'Price list'!K:K),0)</f>
        <v>37000</v>
      </c>
      <c r="C20" t="s">
        <v>9</v>
      </c>
      <c r="E20" s="6"/>
      <c r="F20"/>
      <c r="G20" s="3" t="s">
        <v>923</v>
      </c>
      <c r="H20" s="3" t="str">
        <f>IF(G20=0,"",_xlfn.XLOOKUP(G20,List_item!A:A,List_item!B:B))</f>
        <v>Karkas Uk 1.0 Karkas Uk 1.0 Frozen Premium</v>
      </c>
      <c r="I20" s="156">
        <v>381.6</v>
      </c>
      <c r="J20" s="26">
        <f t="shared" si="4"/>
        <v>1.9219049825487403E-2</v>
      </c>
      <c r="K20" s="3">
        <f t="shared" si="0"/>
        <v>14119200</v>
      </c>
      <c r="L20" s="156">
        <f t="shared" si="1"/>
        <v>37750.3502879851</v>
      </c>
      <c r="M20" s="3">
        <f t="shared" si="2"/>
        <v>14405533.669895114</v>
      </c>
      <c r="N20" s="3">
        <f t="shared" si="3"/>
        <v>-750.35028798510029</v>
      </c>
      <c r="O20" s="3">
        <f t="shared" si="5"/>
        <v>-286333.66989511438</v>
      </c>
      <c r="P20" s="3"/>
    </row>
    <row r="21" spans="1:17" x14ac:dyDescent="0.35">
      <c r="A21" t="s">
        <v>3880</v>
      </c>
      <c r="B21" s="3">
        <f>_xlfn.IFNA(_xlfn.XLOOKUP(A21,'Price list'!J:J,'Price list'!K:K),0)</f>
        <v>37000</v>
      </c>
      <c r="C21" t="s">
        <v>9</v>
      </c>
      <c r="E21" s="3"/>
      <c r="F21" s="3"/>
      <c r="G21" s="3" t="s">
        <v>891</v>
      </c>
      <c r="H21" s="3" t="str">
        <f>IF(G21=0,"",_xlfn.XLOOKUP(G21,List_item!A:A,List_item!B:B))</f>
        <v>Karkas Uk 1.0 Karkas Uk 1.0 Fresh Premium</v>
      </c>
      <c r="I21" s="156">
        <v>1844.1</v>
      </c>
      <c r="J21" s="26">
        <f t="shared" si="4"/>
        <v>9.2876964840621898E-2</v>
      </c>
      <c r="K21" s="3">
        <f t="shared" si="0"/>
        <v>68231700</v>
      </c>
      <c r="L21" s="156">
        <f t="shared" si="1"/>
        <v>37750.3502879851</v>
      </c>
      <c r="M21" s="3">
        <f t="shared" si="2"/>
        <v>69615420.966073319</v>
      </c>
      <c r="N21" s="3">
        <f t="shared" si="3"/>
        <v>-750.35028798510029</v>
      </c>
      <c r="O21" s="3">
        <f t="shared" si="5"/>
        <v>-1383720.9660733193</v>
      </c>
      <c r="P21" s="3"/>
    </row>
    <row r="22" spans="1:17" x14ac:dyDescent="0.35">
      <c r="A22" t="s">
        <v>3881</v>
      </c>
      <c r="B22" s="3">
        <f>_xlfn.IFNA(_xlfn.XLOOKUP(A22,'Price list'!J:J,'Price list'!K:K),0)</f>
        <v>37000</v>
      </c>
      <c r="C22" t="s">
        <v>9</v>
      </c>
      <c r="E22" s="3"/>
      <c r="F22" s="3"/>
      <c r="G22" s="3" t="s">
        <v>989</v>
      </c>
      <c r="H22" s="3" t="str">
        <f>IF(G22=0,"",_xlfn.XLOOKUP(G22,List_item!A:A,List_item!B:B))</f>
        <v>Karkas Uk 1.1 Karkas Uk 1.1 Frozen Premium</v>
      </c>
      <c r="I22" s="156">
        <v>634.4</v>
      </c>
      <c r="J22" s="26">
        <f t="shared" si="4"/>
        <v>3.1951166691009454E-2</v>
      </c>
      <c r="K22" s="3">
        <f t="shared" si="0"/>
        <v>23472800</v>
      </c>
      <c r="L22" s="156">
        <f t="shared" si="1"/>
        <v>37750.350287985108</v>
      </c>
      <c r="M22" s="3">
        <f t="shared" si="2"/>
        <v>23948822.22269775</v>
      </c>
      <c r="N22" s="3">
        <f t="shared" si="3"/>
        <v>-750.35028798510757</v>
      </c>
      <c r="O22" s="3">
        <f t="shared" si="5"/>
        <v>-476022.22269774973</v>
      </c>
      <c r="P22" s="3"/>
    </row>
    <row r="23" spans="1:17" x14ac:dyDescent="0.35">
      <c r="A23" t="s">
        <v>3881</v>
      </c>
      <c r="B23" s="3">
        <f>_xlfn.IFNA(_xlfn.XLOOKUP(A23,'Price list'!J:J,'Price list'!K:K),0)</f>
        <v>37000</v>
      </c>
      <c r="C23" t="s">
        <v>9</v>
      </c>
      <c r="E23" s="3"/>
      <c r="F23" s="3"/>
      <c r="G23" s="3" t="s">
        <v>957</v>
      </c>
      <c r="H23" s="3" t="str">
        <f>IF(G23=0,"",_xlfn.XLOOKUP(G23,List_item!A:A,List_item!B:B))</f>
        <v>Karkas Uk 1.1 Karkas Uk 1.1 Fresh Premium</v>
      </c>
      <c r="I23" s="156">
        <v>1524.1</v>
      </c>
      <c r="J23" s="26">
        <f t="shared" si="4"/>
        <v>7.67603612133788E-2</v>
      </c>
      <c r="K23" s="3">
        <f t="shared" si="0"/>
        <v>56391700</v>
      </c>
      <c r="L23" s="156">
        <f t="shared" si="1"/>
        <v>37750.3502879851</v>
      </c>
      <c r="M23" s="3">
        <f t="shared" si="2"/>
        <v>57535308.873918086</v>
      </c>
      <c r="N23" s="3">
        <f t="shared" si="3"/>
        <v>-750.35028798510029</v>
      </c>
      <c r="O23" s="3">
        <f t="shared" si="5"/>
        <v>-1143608.8739180863</v>
      </c>
      <c r="P23" s="3"/>
    </row>
    <row r="24" spans="1:17" x14ac:dyDescent="0.35">
      <c r="A24" t="s">
        <v>3882</v>
      </c>
      <c r="B24" s="3">
        <f>_xlfn.IFNA(_xlfn.XLOOKUP(A24,'Price list'!J:J,'Price list'!K:K),0)</f>
        <v>37000</v>
      </c>
      <c r="C24" t="s">
        <v>9</v>
      </c>
      <c r="E24" s="3"/>
      <c r="F24" s="3"/>
      <c r="G24" s="3" t="s">
        <v>1055</v>
      </c>
      <c r="H24" s="3" t="str">
        <f>IF(G24=0,"",_xlfn.XLOOKUP(G24,List_item!A:A,List_item!B:B))</f>
        <v>Karkas Uk 1.2 Karkas Uk 1.2 Frozen Premium</v>
      </c>
      <c r="I24" s="156">
        <v>1475.6</v>
      </c>
      <c r="J24" s="26">
        <f t="shared" si="4"/>
        <v>7.4317688476124757E-2</v>
      </c>
      <c r="K24" s="3">
        <f t="shared" si="0"/>
        <v>54597200</v>
      </c>
      <c r="L24" s="156">
        <f t="shared" si="1"/>
        <v>37750.3502879851</v>
      </c>
      <c r="M24" s="3">
        <f t="shared" si="2"/>
        <v>55704416.884950809</v>
      </c>
      <c r="N24" s="3">
        <f t="shared" si="3"/>
        <v>-750.35028798510029</v>
      </c>
      <c r="O24" s="3">
        <f t="shared" si="5"/>
        <v>-1107216.8849508092</v>
      </c>
      <c r="P24" s="3"/>
    </row>
    <row r="25" spans="1:17" x14ac:dyDescent="0.35">
      <c r="A25" t="s">
        <v>3883</v>
      </c>
      <c r="B25" s="3">
        <f>_xlfn.IFNA(_xlfn.XLOOKUP(A25,'Price list'!J:J,'Price list'!K:K),0)</f>
        <v>37000</v>
      </c>
      <c r="C25" t="s">
        <v>9</v>
      </c>
      <c r="E25" s="3"/>
      <c r="F25" s="3"/>
      <c r="G25" s="3" t="s">
        <v>1121</v>
      </c>
      <c r="H25" s="3" t="str">
        <f>IF(G25=0,"",_xlfn.XLOOKUP(G25,List_item!A:A,List_item!B:B))</f>
        <v>Karkas Uk 1.3 Karkas Uk 1.3 Frozen Premium</v>
      </c>
      <c r="I25" s="156">
        <v>366.3</v>
      </c>
      <c r="J25" s="26">
        <f t="shared" si="4"/>
        <v>1.8448474714559841E-2</v>
      </c>
      <c r="K25" s="3">
        <f t="shared" si="0"/>
        <v>13553100</v>
      </c>
      <c r="L25" s="156">
        <f t="shared" si="1"/>
        <v>37750.3502879851</v>
      </c>
      <c r="M25" s="3">
        <f t="shared" si="2"/>
        <v>13827953.310488943</v>
      </c>
      <c r="N25" s="3">
        <f t="shared" si="3"/>
        <v>-750.35028798510029</v>
      </c>
      <c r="O25" s="3">
        <f t="shared" si="5"/>
        <v>-274853.31048894301</v>
      </c>
      <c r="P25" s="3"/>
    </row>
    <row r="26" spans="1:17" x14ac:dyDescent="0.35">
      <c r="A26" t="s">
        <v>3884</v>
      </c>
      <c r="B26" s="3">
        <f>_xlfn.IFNA(_xlfn.XLOOKUP(A26,'Price list'!J:J,'Price list'!K:K),0)</f>
        <v>37000</v>
      </c>
      <c r="C26" t="s">
        <v>9</v>
      </c>
      <c r="E26" s="3"/>
      <c r="F26" s="3"/>
      <c r="G26" s="3" t="s">
        <v>1187</v>
      </c>
      <c r="H26" s="3" t="str">
        <f>IF(G26=0,"",_xlfn.XLOOKUP(G26,List_item!A:A,List_item!B:B))</f>
        <v>Karkas Uk 1.4 Karkas Uk 1.4 Frozen Premium</v>
      </c>
      <c r="I26" s="156">
        <v>153.30000000000001</v>
      </c>
      <c r="J26" s="26">
        <f t="shared" si="4"/>
        <v>7.7208604251761499E-3</v>
      </c>
      <c r="K26" s="3">
        <f t="shared" si="0"/>
        <v>5672100</v>
      </c>
      <c r="L26" s="156">
        <f t="shared" si="1"/>
        <v>37750.350287985093</v>
      </c>
      <c r="M26" s="3">
        <f t="shared" si="2"/>
        <v>5787128.6991481148</v>
      </c>
      <c r="N26" s="3">
        <f t="shared" si="3"/>
        <v>-750.35028798509302</v>
      </c>
      <c r="O26" s="3">
        <f t="shared" si="5"/>
        <v>-115028.69914811477</v>
      </c>
      <c r="P26" s="3"/>
    </row>
    <row r="27" spans="1:17" x14ac:dyDescent="0.35">
      <c r="A27" t="s">
        <v>3849</v>
      </c>
      <c r="B27" s="3">
        <f>_xlfn.IFNA(_xlfn.XLOOKUP(A27,'Price list'!J:J,'Price list'!K:K),0)</f>
        <v>37000</v>
      </c>
      <c r="C27" t="s">
        <v>9</v>
      </c>
      <c r="E27" s="3"/>
      <c r="F27" s="3"/>
      <c r="G27" s="3" t="s">
        <v>1252</v>
      </c>
      <c r="H27" s="3" t="str">
        <f>IF(G27=0,"",_xlfn.XLOOKUP(G27,List_item!A:A,List_item!B:B))</f>
        <v>Karkas Uk 1.5 Karkas Uk 1.5 Frozen Premium</v>
      </c>
      <c r="I27" s="156">
        <v>18.899999999999999</v>
      </c>
      <c r="J27" s="26">
        <f t="shared" si="4"/>
        <v>9.5188690173404582E-4</v>
      </c>
      <c r="K27" s="3">
        <f t="shared" si="0"/>
        <v>699300</v>
      </c>
      <c r="L27" s="156">
        <f t="shared" si="1"/>
        <v>37750.350287985108</v>
      </c>
      <c r="M27" s="3">
        <f t="shared" si="2"/>
        <v>713481.6204429185</v>
      </c>
      <c r="N27" s="3">
        <f t="shared" si="3"/>
        <v>-750.35028798510757</v>
      </c>
      <c r="O27" s="3">
        <f t="shared" si="5"/>
        <v>-14181.620442918502</v>
      </c>
      <c r="P27" s="3"/>
    </row>
    <row r="28" spans="1:17" x14ac:dyDescent="0.35">
      <c r="A28" t="s">
        <v>3885</v>
      </c>
      <c r="B28" s="3">
        <f>_xlfn.IFNA(_xlfn.XLOOKUP(A28,'Price list'!J:J,'Price list'!K:K),0)</f>
        <v>37000</v>
      </c>
      <c r="C28" t="s">
        <v>9</v>
      </c>
      <c r="E28" s="3"/>
      <c r="F28" s="3"/>
      <c r="G28" s="3" t="s">
        <v>1318</v>
      </c>
      <c r="H28" s="3" t="str">
        <f>IF(G28=0,"",_xlfn.XLOOKUP(G28,List_item!A:A,List_item!B:B))</f>
        <v>Karkas Uk 1.6 Karkas Uk 1.6 Frozen Premium</v>
      </c>
      <c r="I28" s="156">
        <v>5</v>
      </c>
      <c r="J28" s="26">
        <f t="shared" si="4"/>
        <v>2.5182193167567351E-4</v>
      </c>
      <c r="K28" s="3">
        <f t="shared" si="0"/>
        <v>185000</v>
      </c>
      <c r="L28" s="156">
        <f t="shared" si="1"/>
        <v>37750.3502879851</v>
      </c>
      <c r="M28" s="3">
        <f t="shared" si="2"/>
        <v>188751.75143992552</v>
      </c>
      <c r="N28" s="3">
        <f t="shared" si="3"/>
        <v>-750.35028798510029</v>
      </c>
      <c r="O28" s="3">
        <f t="shared" si="5"/>
        <v>-3751.751439925516</v>
      </c>
      <c r="P28" s="3"/>
    </row>
    <row r="29" spans="1:17" x14ac:dyDescent="0.35">
      <c r="A29" t="s">
        <v>3886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156">
        <v>0</v>
      </c>
      <c r="J29" s="26">
        <f t="shared" si="4"/>
        <v>0</v>
      </c>
      <c r="K29" s="3">
        <f t="shared" si="0"/>
        <v>0</v>
      </c>
      <c r="L29" s="156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7" x14ac:dyDescent="0.35">
      <c r="A30" t="s">
        <v>3887</v>
      </c>
      <c r="B30" s="3">
        <f>_xlfn.IFNA(_xlfn.XLOOKUP(A30,'Price list'!J:J,'Price list'!K:K),0)</f>
        <v>37000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156">
        <v>0</v>
      </c>
      <c r="J30" s="26">
        <f t="shared" si="4"/>
        <v>0</v>
      </c>
      <c r="K30" s="3">
        <f t="shared" si="0"/>
        <v>0</v>
      </c>
      <c r="L30" s="156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7" x14ac:dyDescent="0.35">
      <c r="A31" t="s">
        <v>3888</v>
      </c>
      <c r="B31" s="3">
        <f>_xlfn.IFNA(_xlfn.XLOOKUP(A31,'Price list'!J:J,'Price list'!K:K),0)</f>
        <v>37000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156">
        <v>0</v>
      </c>
      <c r="J31" s="26">
        <f t="shared" si="4"/>
        <v>0</v>
      </c>
      <c r="K31" s="3">
        <f t="shared" si="0"/>
        <v>0</v>
      </c>
      <c r="L31" s="164">
        <f>IFERROR(((K31/$K$11)*$F$11)/(F31+I31),0)+IFERROR(((K31/SUMIF(H:H,"*Boneless*",K:K))*$F$6)/I31,0)</f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>
        <f>IFERROR(((K31/SUMIF(H:H,"*Boneless*",K:K))*$F$6),0)</f>
        <v>0</v>
      </c>
      <c r="Q31">
        <f>SUMIF(H:H,"*Boneless*",K:K)</f>
        <v>25950100</v>
      </c>
    </row>
    <row r="32" spans="1:17" x14ac:dyDescent="0.35">
      <c r="A32" t="s">
        <v>3889</v>
      </c>
      <c r="B32" s="3">
        <f>_xlfn.IFNA(_xlfn.XLOOKUP(A32,'Price list'!J:J,'Price list'!K:K),0)</f>
        <v>37000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156">
        <v>0</v>
      </c>
      <c r="J32" s="26">
        <f t="shared" si="4"/>
        <v>0</v>
      </c>
      <c r="K32" s="3">
        <f t="shared" si="0"/>
        <v>0</v>
      </c>
      <c r="L32" s="156">
        <f>IFERROR(((K32/$K$11)*$F$11)/(F32+I32),0)</f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7" x14ac:dyDescent="0.35">
      <c r="A33" t="s">
        <v>3890</v>
      </c>
      <c r="B33" s="3">
        <f>_xlfn.IFNA(_xlfn.XLOOKUP(A33,'Price list'!J:J,'Price list'!K:K),0)</f>
        <v>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156">
        <v>0</v>
      </c>
      <c r="J33" s="26">
        <f t="shared" si="4"/>
        <v>0</v>
      </c>
      <c r="K33" s="3">
        <f t="shared" si="0"/>
        <v>0</v>
      </c>
      <c r="L33" s="164">
        <f t="shared" ref="L33:L38" si="6">IFERROR(((K33/$K$11)*$F$11)/(F33+I33),0)+IFERROR(((K33/SUMIF(H:H,"*Boneless*",K:K))*$F$6)/I33,0)</f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>
        <f t="shared" ref="P33:P38" si="7">IFERROR(((K33/SUMIF(H:H,"*Boneless*",K:K))*$F$6),0)</f>
        <v>0</v>
      </c>
      <c r="Q33">
        <f t="shared" ref="Q33:Q38" si="8">SUMIF(H:H,"*Boneless*",K:K)</f>
        <v>25950100</v>
      </c>
    </row>
    <row r="34" spans="1:17" x14ac:dyDescent="0.35">
      <c r="A34" t="s">
        <v>8</v>
      </c>
      <c r="B34" s="3">
        <f>_xlfn.IFNA(_xlfn.XLOOKUP(A34,'Price list'!J:J,'Price list'!K:K),0)</f>
        <v>50000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156">
        <v>0</v>
      </c>
      <c r="J34" s="26">
        <f t="shared" si="4"/>
        <v>0</v>
      </c>
      <c r="K34" s="3">
        <f t="shared" si="0"/>
        <v>0</v>
      </c>
      <c r="L34" s="164">
        <f t="shared" si="6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>
        <f t="shared" si="7"/>
        <v>0</v>
      </c>
      <c r="Q34">
        <f t="shared" si="8"/>
        <v>25950100</v>
      </c>
    </row>
    <row r="35" spans="1:17" x14ac:dyDescent="0.35">
      <c r="A35" t="s">
        <v>10</v>
      </c>
      <c r="B35" s="3">
        <f>_xlfn.IFNA(_xlfn.XLOOKUP(A35,'Price list'!J:J,'Price list'!K:K),0)</f>
        <v>48000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156">
        <v>0</v>
      </c>
      <c r="J35" s="26">
        <f t="shared" si="4"/>
        <v>0</v>
      </c>
      <c r="K35" s="3">
        <f t="shared" si="0"/>
        <v>0</v>
      </c>
      <c r="L35" s="164">
        <f t="shared" si="6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>
        <f t="shared" si="7"/>
        <v>0</v>
      </c>
      <c r="Q35">
        <f t="shared" si="8"/>
        <v>25950100</v>
      </c>
    </row>
    <row r="36" spans="1:17" x14ac:dyDescent="0.35">
      <c r="A36" t="s">
        <v>12</v>
      </c>
      <c r="B36" s="3">
        <f>_xlfn.IFNA(_xlfn.XLOOKUP(A36,'Price list'!J:J,'Price list'!K:K),0)</f>
        <v>49000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156">
        <v>0</v>
      </c>
      <c r="J36" s="26">
        <f t="shared" si="4"/>
        <v>0</v>
      </c>
      <c r="K36" s="3">
        <f t="shared" si="0"/>
        <v>0</v>
      </c>
      <c r="L36" s="164">
        <f t="shared" si="6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>
        <f t="shared" si="7"/>
        <v>0</v>
      </c>
      <c r="Q36">
        <f t="shared" si="8"/>
        <v>25950100</v>
      </c>
    </row>
    <row r="37" spans="1:17" x14ac:dyDescent="0.35">
      <c r="A37" t="s">
        <v>2159</v>
      </c>
      <c r="B37" s="3">
        <f>_xlfn.IFNA(_xlfn.XLOOKUP(A37,'Price list'!J:J,'Price list'!K:K),0)</f>
        <v>12500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156">
        <v>0</v>
      </c>
      <c r="J37" s="26">
        <f t="shared" si="4"/>
        <v>0</v>
      </c>
      <c r="K37" s="3">
        <f t="shared" si="0"/>
        <v>0</v>
      </c>
      <c r="L37" s="164">
        <f t="shared" si="6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>
        <f t="shared" si="7"/>
        <v>0</v>
      </c>
      <c r="Q37">
        <f t="shared" si="8"/>
        <v>25950100</v>
      </c>
    </row>
    <row r="38" spans="1:17" x14ac:dyDescent="0.35">
      <c r="A38" t="s">
        <v>3891</v>
      </c>
      <c r="B38" s="3">
        <f>_xlfn.IFNA(_xlfn.XLOOKUP(A38,'Price list'!J:J,'Price list'!K:K),0)</f>
        <v>32000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156">
        <v>0</v>
      </c>
      <c r="J38" s="26">
        <f t="shared" si="4"/>
        <v>0</v>
      </c>
      <c r="K38" s="3">
        <f t="shared" si="0"/>
        <v>0</v>
      </c>
      <c r="L38" s="164">
        <f t="shared" si="6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>
        <f t="shared" si="7"/>
        <v>0</v>
      </c>
      <c r="Q38">
        <f t="shared" si="8"/>
        <v>25950100</v>
      </c>
    </row>
    <row r="39" spans="1:17" x14ac:dyDescent="0.35">
      <c r="A39" t="s">
        <v>2179</v>
      </c>
      <c r="B39" s="3">
        <f>_xlfn.IFNA(_xlfn.XLOOKUP(A39,'Price list'!J:J,'Price list'!K:K),0)</f>
        <v>36000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156">
        <v>0</v>
      </c>
      <c r="J39" s="26">
        <f t="shared" si="4"/>
        <v>0</v>
      </c>
      <c r="K39" s="3">
        <f t="shared" si="0"/>
        <v>0</v>
      </c>
      <c r="L39" s="156">
        <f t="shared" ref="L39:L44" si="9">IFERROR(((K39/$K$11)*$F$11)/(F39+I39),0)</f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7" x14ac:dyDescent="0.35">
      <c r="A40" t="s">
        <v>3852</v>
      </c>
      <c r="B40" s="3">
        <f>_xlfn.IFNA(_xlfn.XLOOKUP(A40,'Price list'!J:J,'Price list'!K:K),0)</f>
        <v>32000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156">
        <v>0</v>
      </c>
      <c r="J40" s="26">
        <f t="shared" si="4"/>
        <v>0</v>
      </c>
      <c r="K40" s="3">
        <f t="shared" si="0"/>
        <v>0</v>
      </c>
      <c r="L40" s="156">
        <f t="shared" si="9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7" x14ac:dyDescent="0.35">
      <c r="A41" t="s">
        <v>17</v>
      </c>
      <c r="B41" s="3">
        <f>_xlfn.IFNA(_xlfn.XLOOKUP(A41,'Price list'!J:J,'Price list'!K:K),0)</f>
        <v>5000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156">
        <v>0</v>
      </c>
      <c r="J41" s="26">
        <f t="shared" si="4"/>
        <v>0</v>
      </c>
      <c r="K41" s="3">
        <f t="shared" si="0"/>
        <v>0</v>
      </c>
      <c r="L41" s="156">
        <f t="shared" si="9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7" x14ac:dyDescent="0.35">
      <c r="A42" t="s">
        <v>2199</v>
      </c>
      <c r="B42" s="3">
        <f>_xlfn.IFNA(_xlfn.XLOOKUP(A42,'Price list'!J:J,'Price list'!K:K),0)</f>
        <v>35000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156">
        <v>0</v>
      </c>
      <c r="J42" s="26">
        <f t="shared" si="4"/>
        <v>0</v>
      </c>
      <c r="K42" s="3">
        <f t="shared" si="0"/>
        <v>0</v>
      </c>
      <c r="L42" s="156">
        <f t="shared" si="9"/>
        <v>0</v>
      </c>
      <c r="M42" s="3">
        <f t="shared" si="2"/>
        <v>0</v>
      </c>
      <c r="N42" s="3">
        <f t="shared" si="3"/>
        <v>0</v>
      </c>
      <c r="O42" s="3">
        <f t="shared" si="5"/>
        <v>0</v>
      </c>
      <c r="P42" s="3"/>
    </row>
    <row r="43" spans="1:17" x14ac:dyDescent="0.35">
      <c r="A43" t="s">
        <v>2161</v>
      </c>
      <c r="B43" s="3">
        <f>_xlfn.IFNA(_xlfn.XLOOKUP(A43,'Price list'!J:J,'Price list'!K:K),0)</f>
        <v>24000</v>
      </c>
      <c r="C43" t="s">
        <v>9</v>
      </c>
      <c r="E43" s="3"/>
      <c r="F43" s="3"/>
      <c r="G43" s="3" t="s">
        <v>19</v>
      </c>
      <c r="H43" s="3" t="str">
        <f>IF(G43=0,"",_xlfn.XLOOKUP(G43,List_item!A:A,List_item!B:B))</f>
        <v>Boneless BL Frozen Lemak</v>
      </c>
      <c r="I43" s="156">
        <v>61.7</v>
      </c>
      <c r="J43" s="26">
        <f t="shared" si="4"/>
        <v>3.1074826368778113E-3</v>
      </c>
      <c r="K43" s="3">
        <f t="shared" si="0"/>
        <v>1480800</v>
      </c>
      <c r="L43" s="156">
        <f t="shared" si="9"/>
        <v>24486.71370031466</v>
      </c>
      <c r="M43" s="3">
        <f t="shared" si="2"/>
        <v>1510830.2353094146</v>
      </c>
      <c r="N43" s="3">
        <f t="shared" si="3"/>
        <v>-486.71370031465995</v>
      </c>
      <c r="O43" s="3">
        <f t="shared" si="5"/>
        <v>-30030.235309414566</v>
      </c>
      <c r="P43" s="3"/>
    </row>
    <row r="44" spans="1:17" x14ac:dyDescent="0.35">
      <c r="A44" t="s">
        <v>2162</v>
      </c>
      <c r="B44" s="3">
        <f>_xlfn.IFNA(_xlfn.XLOOKUP(A44,'Price list'!J:J,'Price list'!K:K),0)</f>
        <v>9500</v>
      </c>
      <c r="C44" t="s">
        <v>9</v>
      </c>
      <c r="E44" s="3"/>
      <c r="F44" s="3"/>
      <c r="G44" s="3" t="s">
        <v>20</v>
      </c>
      <c r="H44" s="3" t="str">
        <f>IF(G44=0,"",_xlfn.XLOOKUP(G44,List_item!A:A,List_item!B:B))</f>
        <v>Boneless BL Fresh Kepala</v>
      </c>
      <c r="I44" s="156">
        <v>871.6</v>
      </c>
      <c r="J44" s="26">
        <f t="shared" si="4"/>
        <v>4.389759912970341E-2</v>
      </c>
      <c r="K44" s="3">
        <f t="shared" si="0"/>
        <v>8280200</v>
      </c>
      <c r="L44" s="156">
        <f t="shared" si="9"/>
        <v>9692.6575063745531</v>
      </c>
      <c r="M44" s="3">
        <f t="shared" si="2"/>
        <v>8448120.2825560607</v>
      </c>
      <c r="N44" s="3">
        <f t="shared" si="3"/>
        <v>-192.65750637455312</v>
      </c>
      <c r="O44" s="3">
        <f t="shared" si="5"/>
        <v>-167920.2825560607</v>
      </c>
      <c r="P44" s="3" t="s">
        <v>3947</v>
      </c>
    </row>
    <row r="45" spans="1:17" x14ac:dyDescent="0.35">
      <c r="A45" t="s">
        <v>0</v>
      </c>
      <c r="B45" s="3">
        <f>_xlfn.IFNA(_xlfn.XLOOKUP(A45,'Price list'!J:J,'Price list'!K:K),0)</f>
        <v>16000</v>
      </c>
      <c r="C45" t="s">
        <v>9</v>
      </c>
      <c r="E45" s="3"/>
      <c r="F45" s="3"/>
      <c r="G45" s="3" t="s">
        <v>21</v>
      </c>
      <c r="H45" s="3" t="str">
        <f>IF(G45=0,"",_xlfn.XLOOKUP(G45,List_item!A:A,List_item!B:B))</f>
        <v>Boneless BL Fresh Ceker</v>
      </c>
      <c r="I45" s="156">
        <v>595.70000000000005</v>
      </c>
      <c r="J45" s="26">
        <f t="shared" si="4"/>
        <v>3.0002064939839743E-2</v>
      </c>
      <c r="K45" s="3">
        <f t="shared" si="0"/>
        <v>9531200</v>
      </c>
      <c r="L45" s="164">
        <f>IFERROR(((K45/$K$11)*$F$11)/(F45+I45),0)+IFERROR(((K45/SUMIF(H:H,"*Boneless*",K:K))*$F$6)/I45,0)</f>
        <v>16324.475800209771</v>
      </c>
      <c r="M45" s="3">
        <f t="shared" si="2"/>
        <v>9724490.2341849618</v>
      </c>
      <c r="N45" s="3">
        <f t="shared" si="3"/>
        <v>-324.47580020977148</v>
      </c>
      <c r="O45" s="3">
        <f t="shared" si="5"/>
        <v>-193290.23418496177</v>
      </c>
      <c r="P45" s="3">
        <f>IFERROR(((K45/SUMIF(H:H,"*Boneless*",K:K))*$F$6),0)</f>
        <v>0</v>
      </c>
      <c r="Q45">
        <f>SUMIF(H:H,"*Boneless*",K:K)</f>
        <v>25950100</v>
      </c>
    </row>
    <row r="46" spans="1:17" x14ac:dyDescent="0.35">
      <c r="A46" t="s">
        <v>24</v>
      </c>
      <c r="B46" s="3">
        <f>_xlfn.IFNA(_xlfn.XLOOKUP(A46,'Price list'!J:J,'Price list'!K:K),0)</f>
        <v>4500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156">
        <v>0</v>
      </c>
      <c r="J46" s="26">
        <f t="shared" si="4"/>
        <v>0</v>
      </c>
      <c r="K46" s="3">
        <f t="shared" si="0"/>
        <v>0</v>
      </c>
      <c r="L46" s="156">
        <f t="shared" ref="L46:L70" si="10">IFERROR(((K46/$K$11)*$F$11)/(F46+I46),0)</f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7" x14ac:dyDescent="0.35">
      <c r="A47" t="s">
        <v>3893</v>
      </c>
      <c r="B47" s="3">
        <f>_xlfn.IFNA(_xlfn.XLOOKUP(A47,'Price list'!J:J,'Price list'!K:K),0)</f>
        <v>1500</v>
      </c>
      <c r="C47" t="s">
        <v>9</v>
      </c>
      <c r="E47" s="3"/>
      <c r="F47" s="3"/>
      <c r="G47" s="3" t="s">
        <v>25</v>
      </c>
      <c r="H47" s="3" t="str">
        <f>IF(G47=0,"",_xlfn.XLOOKUP(G47,List_item!A:A,List_item!B:B))</f>
        <v>Boneless BL Fresh Usus Kotor</v>
      </c>
      <c r="I47" s="156">
        <v>909.7</v>
      </c>
      <c r="J47" s="26">
        <f t="shared" si="4"/>
        <v>4.5816482249072039E-2</v>
      </c>
      <c r="K47" s="3">
        <f t="shared" si="0"/>
        <v>1364550</v>
      </c>
      <c r="L47" s="156">
        <f t="shared" si="10"/>
        <v>1530.419606269666</v>
      </c>
      <c r="M47" s="3">
        <f t="shared" si="2"/>
        <v>1392222.7158235153</v>
      </c>
      <c r="N47" s="3">
        <f t="shared" si="3"/>
        <v>-30.419606269666019</v>
      </c>
      <c r="O47" s="3">
        <f t="shared" si="5"/>
        <v>-27672.715823515318</v>
      </c>
      <c r="P47" s="3"/>
    </row>
    <row r="48" spans="1:17" x14ac:dyDescent="0.35">
      <c r="A48" t="s">
        <v>2167</v>
      </c>
      <c r="B48" s="3">
        <f>_xlfn.IFNA(_xlfn.XLOOKUP(A48,'Price list'!J:J,'Price list'!K:K),0)</f>
        <v>22000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156">
        <v>0</v>
      </c>
      <c r="J48" s="26">
        <f t="shared" si="4"/>
        <v>0</v>
      </c>
      <c r="K48" s="3">
        <f t="shared" si="0"/>
        <v>0</v>
      </c>
      <c r="L48" s="156">
        <f t="shared" si="10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2168</v>
      </c>
      <c r="B49" s="3">
        <f>_xlfn.IFNA(_xlfn.XLOOKUP(A49,'Price list'!J:J,'Price list'!K:K),0)</f>
        <v>16000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156">
        <v>0</v>
      </c>
      <c r="J49" s="26">
        <f t="shared" si="4"/>
        <v>0</v>
      </c>
      <c r="K49" s="3">
        <f t="shared" si="0"/>
        <v>0</v>
      </c>
      <c r="L49" s="156">
        <f t="shared" si="10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2169</v>
      </c>
      <c r="B50" s="3">
        <f>_xlfn.IFNA(_xlfn.XLOOKUP(A50,'Price list'!J:J,'Price list'!K:K),0)</f>
        <v>5000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156">
        <v>0</v>
      </c>
      <c r="J50" s="26">
        <f t="shared" si="4"/>
        <v>0</v>
      </c>
      <c r="K50" s="3">
        <f t="shared" si="0"/>
        <v>0</v>
      </c>
      <c r="L50" s="156">
        <f t="shared" si="10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3894</v>
      </c>
      <c r="B51" s="3">
        <f>_xlfn.IFNA(_xlfn.XLOOKUP(A51,'Price list'!J:J,'Price list'!K:K),0)</f>
        <v>4500</v>
      </c>
      <c r="C51" t="s">
        <v>9</v>
      </c>
      <c r="E51" s="3"/>
      <c r="F51" s="3"/>
      <c r="G51" s="3" t="s">
        <v>23</v>
      </c>
      <c r="H51" s="3" t="str">
        <f>IF(G51=0,"",_xlfn.XLOOKUP(G51,List_item!A:A,List_item!B:B))</f>
        <v>Boneless BL Fresh HJA</v>
      </c>
      <c r="I51" s="156">
        <v>1176.3</v>
      </c>
      <c r="J51" s="26">
        <f t="shared" si="4"/>
        <v>5.9243627646018947E-2</v>
      </c>
      <c r="K51" s="3">
        <f t="shared" si="0"/>
        <v>5293350</v>
      </c>
      <c r="L51" s="156">
        <f t="shared" si="10"/>
        <v>4591.2588188089985</v>
      </c>
      <c r="M51" s="3">
        <f t="shared" si="2"/>
        <v>5400697.7485650247</v>
      </c>
      <c r="N51" s="3">
        <f t="shared" si="3"/>
        <v>-91.258818808998512</v>
      </c>
      <c r="O51" s="3">
        <f t="shared" si="5"/>
        <v>-107347.7485650247</v>
      </c>
      <c r="P51" s="3"/>
    </row>
    <row r="52" spans="1:16" x14ac:dyDescent="0.35">
      <c r="A52" t="s">
        <v>2170</v>
      </c>
      <c r="B52" s="3">
        <f>_xlfn.IFNA(_xlfn.XLOOKUP(A52,'Price list'!J:J,'Price list'!K:K),0)</f>
        <v>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156">
        <v>0</v>
      </c>
      <c r="J52" s="26">
        <f t="shared" si="4"/>
        <v>0</v>
      </c>
      <c r="K52" s="3">
        <f t="shared" si="0"/>
        <v>0</v>
      </c>
      <c r="L52" s="156">
        <f t="shared" si="10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2171</v>
      </c>
      <c r="B53" s="3">
        <f>_xlfn.IFNA(_xlfn.XLOOKUP(A53,'Price list'!J:J,'Price list'!K:K),0)</f>
        <v>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156">
        <v>0</v>
      </c>
      <c r="J53" s="26">
        <f t="shared" si="4"/>
        <v>0</v>
      </c>
      <c r="K53" s="3">
        <f t="shared" si="0"/>
        <v>0</v>
      </c>
      <c r="L53" s="156">
        <f t="shared" si="10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3895</v>
      </c>
      <c r="B54" s="3">
        <f>_xlfn.IFNA(_xlfn.XLOOKUP(A54,'Price list'!J:J,'Price list'!K:K),0)</f>
        <v>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156">
        <v>0</v>
      </c>
      <c r="J54" s="26">
        <f t="shared" si="4"/>
        <v>0</v>
      </c>
      <c r="K54" s="3">
        <f t="shared" si="0"/>
        <v>0</v>
      </c>
      <c r="L54" s="156">
        <f t="shared" si="10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x14ac:dyDescent="0.35">
      <c r="A55" t="s">
        <v>3896</v>
      </c>
      <c r="B55" s="3">
        <f>_xlfn.IFNA(_xlfn.XLOOKUP(A55,'Price list'!J:J,'Price list'!K:K),0)</f>
        <v>34000</v>
      </c>
      <c r="C55" t="s">
        <v>9</v>
      </c>
      <c r="E55" s="3"/>
      <c r="F55" s="3"/>
      <c r="G55" s="3"/>
      <c r="H55" s="3" t="str">
        <f>IF(G55=0,"",_xlfn.XLOOKUP(G55,List_item!A:A,List_item!B:B))</f>
        <v/>
      </c>
      <c r="I55" s="156">
        <v>0</v>
      </c>
      <c r="J55" s="26">
        <f t="shared" si="4"/>
        <v>0</v>
      </c>
      <c r="K55" s="3">
        <f t="shared" si="0"/>
        <v>0</v>
      </c>
      <c r="L55" s="156">
        <f t="shared" si="10"/>
        <v>0</v>
      </c>
      <c r="M55" s="3">
        <f t="shared" si="2"/>
        <v>0</v>
      </c>
      <c r="N55" s="3">
        <f t="shared" si="3"/>
        <v>0</v>
      </c>
      <c r="O55" s="3">
        <f t="shared" si="5"/>
        <v>0</v>
      </c>
      <c r="P55" s="3"/>
    </row>
    <row r="56" spans="1:16" x14ac:dyDescent="0.35">
      <c r="A56" t="s">
        <v>3897</v>
      </c>
      <c r="B56" s="3">
        <f>_xlfn.IFNA(_xlfn.XLOOKUP(A56,'Price list'!J:J,'Price list'!K:K),0)</f>
        <v>34000</v>
      </c>
      <c r="C56" t="s">
        <v>9</v>
      </c>
      <c r="E56" s="3"/>
      <c r="F56" s="3"/>
      <c r="G56" s="3"/>
      <c r="H56" s="3" t="str">
        <f>IF(G56=0,"",_xlfn.XLOOKUP(G56,List_item!A:A,List_item!B:B))</f>
        <v/>
      </c>
      <c r="I56" s="156">
        <v>0</v>
      </c>
      <c r="J56" s="26">
        <f t="shared" si="4"/>
        <v>0</v>
      </c>
      <c r="K56" s="3">
        <f t="shared" si="0"/>
        <v>0</v>
      </c>
      <c r="L56" s="156">
        <f t="shared" si="10"/>
        <v>0</v>
      </c>
      <c r="M56" s="3">
        <f t="shared" si="2"/>
        <v>0</v>
      </c>
      <c r="N56" s="3">
        <f t="shared" si="3"/>
        <v>0</v>
      </c>
      <c r="O56" s="3">
        <f t="shared" si="5"/>
        <v>0</v>
      </c>
      <c r="P56" s="3"/>
    </row>
    <row r="57" spans="1:16" x14ac:dyDescent="0.35">
      <c r="A57" t="s">
        <v>3898</v>
      </c>
      <c r="B57" s="3">
        <f>_xlfn.IFNA(_xlfn.XLOOKUP(A57,'Price list'!J:J,'Price list'!K:K),0)</f>
        <v>34000</v>
      </c>
      <c r="C57" t="s">
        <v>9</v>
      </c>
      <c r="E57" s="3"/>
      <c r="F57" s="3"/>
      <c r="G57" s="3" t="s">
        <v>636</v>
      </c>
      <c r="H57" s="3" t="str">
        <f>IF(G57=0,"",_xlfn.XLOOKUP(G57,List_item!A:A,List_item!B:B))</f>
        <v>Karkas Uk 0.6 Karkas Uk 0.6 Frozen Grade A</v>
      </c>
      <c r="I57" s="156">
        <v>8.1</v>
      </c>
      <c r="J57" s="26">
        <f t="shared" si="4"/>
        <v>4.0795152931459106E-4</v>
      </c>
      <c r="K57" s="3">
        <f t="shared" si="0"/>
        <v>275400</v>
      </c>
      <c r="L57" s="156">
        <f t="shared" si="10"/>
        <v>34689.511075445764</v>
      </c>
      <c r="M57" s="3">
        <f t="shared" si="2"/>
        <v>280985.0397111107</v>
      </c>
      <c r="N57" s="3">
        <f t="shared" si="3"/>
        <v>-689.51107544576371</v>
      </c>
      <c r="O57" s="3">
        <f t="shared" si="5"/>
        <v>-5585.0397111107013</v>
      </c>
      <c r="P57" s="3"/>
    </row>
    <row r="58" spans="1:16" x14ac:dyDescent="0.35">
      <c r="A58" t="s">
        <v>3899</v>
      </c>
      <c r="B58" s="3">
        <f>_xlfn.IFNA(_xlfn.XLOOKUP(A58,'Price list'!J:J,'Price list'!K:K),0)</f>
        <v>34000</v>
      </c>
      <c r="C58" t="s">
        <v>9</v>
      </c>
      <c r="E58" s="3"/>
      <c r="F58" s="3"/>
      <c r="G58" s="3" t="s">
        <v>701</v>
      </c>
      <c r="H58" s="3" t="str">
        <f>IF(G58=0,"",_xlfn.XLOOKUP(G58,List_item!A:A,List_item!B:B))</f>
        <v>Karkas Uk 0.7 Karkas Uk 0.7 Frozen Grade A</v>
      </c>
      <c r="I58" s="156">
        <v>35.299999999999997</v>
      </c>
      <c r="J58" s="26">
        <f t="shared" si="4"/>
        <v>1.7778628376302547E-3</v>
      </c>
      <c r="K58" s="3">
        <f t="shared" si="0"/>
        <v>1200200</v>
      </c>
      <c r="L58" s="156">
        <f t="shared" si="10"/>
        <v>34689.511075445771</v>
      </c>
      <c r="M58" s="3">
        <f t="shared" si="2"/>
        <v>1224539.7409632357</v>
      </c>
      <c r="N58" s="3">
        <f t="shared" si="3"/>
        <v>-689.51107544577098</v>
      </c>
      <c r="O58" s="3">
        <f t="shared" si="5"/>
        <v>-24339.74096323573</v>
      </c>
      <c r="P58" s="3"/>
    </row>
    <row r="59" spans="1:16" x14ac:dyDescent="0.35">
      <c r="A59" t="s">
        <v>3900</v>
      </c>
      <c r="B59" s="3">
        <f>_xlfn.IFNA(_xlfn.XLOOKUP(A59,'Price list'!J:J,'Price list'!K:K),0)</f>
        <v>34000</v>
      </c>
      <c r="C59" t="s">
        <v>9</v>
      </c>
      <c r="E59" s="3"/>
      <c r="F59" s="3"/>
      <c r="G59" s="3" t="s">
        <v>766</v>
      </c>
      <c r="H59" s="3" t="str">
        <f>IF(G59=0,"",_xlfn.XLOOKUP(G59,List_item!A:A,List_item!B:B))</f>
        <v>Karkas Uk 0.8 Karkas Uk 0.8 Frozen Grade A</v>
      </c>
      <c r="I59" s="156">
        <v>118.9</v>
      </c>
      <c r="J59" s="26">
        <f t="shared" si="4"/>
        <v>5.9883255352475165E-3</v>
      </c>
      <c r="K59" s="3">
        <f t="shared" si="0"/>
        <v>4042600</v>
      </c>
      <c r="L59" s="156">
        <f t="shared" si="10"/>
        <v>34689.511075445771</v>
      </c>
      <c r="M59" s="3">
        <f t="shared" si="2"/>
        <v>4124582.8668705025</v>
      </c>
      <c r="N59" s="3">
        <f t="shared" si="3"/>
        <v>-689.51107544577098</v>
      </c>
      <c r="O59" s="3">
        <f t="shared" si="5"/>
        <v>-81982.866870502476</v>
      </c>
      <c r="P59" s="3"/>
    </row>
    <row r="60" spans="1:16" x14ac:dyDescent="0.35">
      <c r="A60" t="s">
        <v>3901</v>
      </c>
      <c r="B60" s="3">
        <f>_xlfn.IFNA(_xlfn.XLOOKUP(A60,'Price list'!J:J,'Price list'!K:K),0)</f>
        <v>34000</v>
      </c>
      <c r="C60" t="s">
        <v>9</v>
      </c>
      <c r="E60" s="3"/>
      <c r="F60" s="3"/>
      <c r="G60" s="3" t="s">
        <v>831</v>
      </c>
      <c r="H60" s="3" t="str">
        <f>IF(G60=0,"",_xlfn.XLOOKUP(G60,List_item!A:A,List_item!B:B))</f>
        <v>Karkas Uk 0.9 Karkas Uk 0.9 Frozen Grade A</v>
      </c>
      <c r="I60" s="156">
        <v>211.2</v>
      </c>
      <c r="J60" s="26">
        <f t="shared" si="4"/>
        <v>1.0636958393980449E-2</v>
      </c>
      <c r="K60" s="3">
        <f t="shared" si="0"/>
        <v>7180800</v>
      </c>
      <c r="L60" s="156">
        <f t="shared" si="10"/>
        <v>34689.511075445771</v>
      </c>
      <c r="M60" s="3">
        <f t="shared" si="2"/>
        <v>7326424.7391341468</v>
      </c>
      <c r="N60" s="3">
        <f t="shared" si="3"/>
        <v>-689.51107544577098</v>
      </c>
      <c r="O60" s="3">
        <f t="shared" si="5"/>
        <v>-145624.73913414683</v>
      </c>
      <c r="P60" s="3"/>
    </row>
    <row r="61" spans="1:16" x14ac:dyDescent="0.35">
      <c r="A61" t="s">
        <v>3902</v>
      </c>
      <c r="B61" s="3">
        <f>_xlfn.IFNA(_xlfn.XLOOKUP(A61,'Price list'!J:J,'Price list'!K:K),0)</f>
        <v>34000</v>
      </c>
      <c r="C61" t="s">
        <v>9</v>
      </c>
      <c r="E61" s="3"/>
      <c r="F61" s="3"/>
      <c r="G61" s="3" t="s">
        <v>896</v>
      </c>
      <c r="H61" s="3" t="str">
        <f>IF(G61=0,"",_xlfn.XLOOKUP(G61,List_item!A:A,List_item!B:B))</f>
        <v>Karkas Uk 1.0 Karkas Uk 1.0 Frozen Grade A</v>
      </c>
      <c r="I61" s="156">
        <v>366.1</v>
      </c>
      <c r="J61" s="26">
        <f t="shared" si="4"/>
        <v>1.8438401837292815E-2</v>
      </c>
      <c r="K61" s="3">
        <f t="shared" si="0"/>
        <v>12447400</v>
      </c>
      <c r="L61" s="156">
        <f t="shared" si="10"/>
        <v>34689.511075445764</v>
      </c>
      <c r="M61" s="3">
        <f t="shared" si="2"/>
        <v>12699830.004720695</v>
      </c>
      <c r="N61" s="3">
        <f t="shared" si="3"/>
        <v>-689.51107544576371</v>
      </c>
      <c r="O61" s="3">
        <f t="shared" si="5"/>
        <v>-252430.00472069532</v>
      </c>
      <c r="P61" s="3"/>
    </row>
    <row r="62" spans="1:16" x14ac:dyDescent="0.35">
      <c r="A62" t="s">
        <v>3903</v>
      </c>
      <c r="B62" s="3">
        <f>_xlfn.IFNA(_xlfn.XLOOKUP(A62,'Price list'!J:J,'Price list'!K:K),0)</f>
        <v>34000</v>
      </c>
      <c r="C62" t="s">
        <v>9</v>
      </c>
      <c r="E62" s="3"/>
      <c r="F62" s="3"/>
      <c r="G62" s="3" t="s">
        <v>962</v>
      </c>
      <c r="H62" s="3" t="str">
        <f>IF(G62=0,"",_xlfn.XLOOKUP(G62,List_item!A:A,List_item!B:B))</f>
        <v>Karkas Uk 1.1 Karkas Uk 1.1 Frozen Grade A</v>
      </c>
      <c r="I62" s="156">
        <v>466.5</v>
      </c>
      <c r="J62" s="26">
        <f t="shared" si="4"/>
        <v>2.3494986225340339E-2</v>
      </c>
      <c r="K62" s="3">
        <f t="shared" si="0"/>
        <v>15861000</v>
      </c>
      <c r="L62" s="156">
        <f t="shared" si="10"/>
        <v>34689.511075445771</v>
      </c>
      <c r="M62" s="3">
        <f t="shared" si="2"/>
        <v>16182656.916695451</v>
      </c>
      <c r="N62" s="3">
        <f t="shared" si="3"/>
        <v>-689.51107544577098</v>
      </c>
      <c r="O62" s="3">
        <f t="shared" si="5"/>
        <v>-321656.91669545136</v>
      </c>
      <c r="P62" s="3"/>
    </row>
    <row r="63" spans="1:16" x14ac:dyDescent="0.35">
      <c r="A63" t="s">
        <v>3904</v>
      </c>
      <c r="B63" s="3">
        <f>_xlfn.IFNA(_xlfn.XLOOKUP(A63,'Price list'!J:J,'Price list'!K:K),0)</f>
        <v>34000</v>
      </c>
      <c r="C63" t="s">
        <v>9</v>
      </c>
      <c r="E63" s="3"/>
      <c r="F63" s="3"/>
      <c r="G63" s="3" t="s">
        <v>1028</v>
      </c>
      <c r="H63" s="3" t="str">
        <f>IF(G63=0,"",_xlfn.XLOOKUP(G63,List_item!A:A,List_item!B:B))</f>
        <v>Karkas Uk 1.2 Karkas Uk 1.2 Frozen Grade A</v>
      </c>
      <c r="I63" s="156">
        <v>453</v>
      </c>
      <c r="J63" s="26">
        <f t="shared" si="4"/>
        <v>2.2815067009816021E-2</v>
      </c>
      <c r="K63" s="3">
        <f t="shared" si="0"/>
        <v>15402000</v>
      </c>
      <c r="L63" s="156">
        <f t="shared" si="10"/>
        <v>34689.511075445764</v>
      </c>
      <c r="M63" s="3">
        <f t="shared" si="2"/>
        <v>15714348.517176932</v>
      </c>
      <c r="N63" s="3">
        <f t="shared" si="3"/>
        <v>-689.51107544576371</v>
      </c>
      <c r="O63" s="3">
        <f t="shared" si="5"/>
        <v>-312348.51717693172</v>
      </c>
      <c r="P63" s="3"/>
    </row>
    <row r="64" spans="1:16" x14ac:dyDescent="0.35">
      <c r="A64" t="s">
        <v>3905</v>
      </c>
      <c r="B64" s="3">
        <f>_xlfn.IFNA(_xlfn.XLOOKUP(A64,'Price list'!J:J,'Price list'!K:K),0)</f>
        <v>34000</v>
      </c>
      <c r="C64" t="s">
        <v>9</v>
      </c>
      <c r="E64" s="3"/>
      <c r="F64" s="3"/>
      <c r="G64" s="3" t="s">
        <v>1094</v>
      </c>
      <c r="H64" s="3" t="str">
        <f>IF(G64=0,"",_xlfn.XLOOKUP(G64,List_item!A:A,List_item!B:B))</f>
        <v>Karkas Uk 1.3 Karkas Uk 1.3 Frozen Grade A</v>
      </c>
      <c r="I64" s="156">
        <v>133.6</v>
      </c>
      <c r="J64" s="26">
        <f t="shared" si="4"/>
        <v>6.7286820143739956E-3</v>
      </c>
      <c r="K64" s="3">
        <f t="shared" si="0"/>
        <v>4542400</v>
      </c>
      <c r="L64" s="156">
        <f t="shared" si="10"/>
        <v>34689.511075445764</v>
      </c>
      <c r="M64" s="3">
        <f t="shared" si="2"/>
        <v>4634518.679679554</v>
      </c>
      <c r="N64" s="3">
        <f t="shared" si="3"/>
        <v>-689.51107544576371</v>
      </c>
      <c r="O64" s="3">
        <f t="shared" si="5"/>
        <v>-92118.679679553956</v>
      </c>
      <c r="P64" s="3"/>
    </row>
    <row r="65" spans="1:17" x14ac:dyDescent="0.35">
      <c r="A65" t="s">
        <v>3906</v>
      </c>
      <c r="B65" s="3">
        <f>_xlfn.IFNA(_xlfn.XLOOKUP(A65,'Price list'!J:J,'Price list'!K:K),0)</f>
        <v>34000</v>
      </c>
      <c r="C65" t="s">
        <v>9</v>
      </c>
      <c r="E65" s="3"/>
      <c r="F65" s="3"/>
      <c r="G65" s="3" t="s">
        <v>1160</v>
      </c>
      <c r="H65" s="3" t="str">
        <f>IF(G65=0,"",_xlfn.XLOOKUP(G65,List_item!A:A,List_item!B:B))</f>
        <v>Karkas Uk 1.4 Karkas Uk 1.4 Frozen Grade A</v>
      </c>
      <c r="I65" s="156">
        <v>49.1</v>
      </c>
      <c r="J65" s="26">
        <f t="shared" si="4"/>
        <v>2.4728913690551138E-3</v>
      </c>
      <c r="K65" s="3">
        <f t="shared" si="0"/>
        <v>1669400</v>
      </c>
      <c r="L65" s="156">
        <f t="shared" si="10"/>
        <v>34689.511075445764</v>
      </c>
      <c r="M65" s="3">
        <f t="shared" si="2"/>
        <v>1703254.993804387</v>
      </c>
      <c r="N65" s="3">
        <f t="shared" si="3"/>
        <v>-689.51107544576371</v>
      </c>
      <c r="O65" s="3">
        <f t="shared" si="5"/>
        <v>-33854.99380438705</v>
      </c>
      <c r="P65" s="3"/>
    </row>
    <row r="66" spans="1:17" x14ac:dyDescent="0.35">
      <c r="A66" t="s">
        <v>3907</v>
      </c>
      <c r="B66" s="3">
        <f>_xlfn.IFNA(_xlfn.XLOOKUP(A66,'Price list'!J:J,'Price list'!K:K),0)</f>
        <v>34000</v>
      </c>
      <c r="C66" t="s">
        <v>9</v>
      </c>
      <c r="E66" s="3"/>
      <c r="F66" s="3"/>
      <c r="G66" s="3" t="s">
        <v>1225</v>
      </c>
      <c r="H66" s="3" t="str">
        <f>IF(G66=0,"",_xlfn.XLOOKUP(G66,List_item!A:A,List_item!B:B))</f>
        <v>Karkas Uk 1.5 Karkas Uk 1.5 Frozen Grade A</v>
      </c>
      <c r="I66" s="156">
        <v>25.2</v>
      </c>
      <c r="J66" s="26">
        <f t="shared" si="4"/>
        <v>1.2691825356453944E-3</v>
      </c>
      <c r="K66" s="3">
        <f t="shared" si="0"/>
        <v>856800</v>
      </c>
      <c r="L66" s="156">
        <f t="shared" si="10"/>
        <v>34689.511075445764</v>
      </c>
      <c r="M66" s="3">
        <f t="shared" si="2"/>
        <v>874175.67910123325</v>
      </c>
      <c r="N66" s="3">
        <f t="shared" si="3"/>
        <v>-689.51107544576371</v>
      </c>
      <c r="O66" s="3">
        <f t="shared" si="5"/>
        <v>-17375.679101233254</v>
      </c>
      <c r="P66" s="3"/>
    </row>
    <row r="67" spans="1:17" x14ac:dyDescent="0.35">
      <c r="A67" t="s">
        <v>3908</v>
      </c>
      <c r="B67" s="3">
        <f>_xlfn.IFNA(_xlfn.XLOOKUP(A67,'Price list'!J:J,'Price list'!K:K),0)</f>
        <v>34000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156">
        <v>0</v>
      </c>
      <c r="J67" s="26">
        <f t="shared" si="4"/>
        <v>0</v>
      </c>
      <c r="K67" s="3">
        <f t="shared" si="0"/>
        <v>0</v>
      </c>
      <c r="L67" s="156">
        <f t="shared" si="10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7" x14ac:dyDescent="0.35">
      <c r="A68" t="s">
        <v>3909</v>
      </c>
      <c r="B68" s="3">
        <f>_xlfn.IFNA(_xlfn.XLOOKUP(A68,'Price list'!J:J,'Price list'!K:K),0)</f>
        <v>34000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156">
        <v>0</v>
      </c>
      <c r="J68" s="26">
        <f t="shared" si="4"/>
        <v>0</v>
      </c>
      <c r="K68" s="3">
        <f t="shared" si="0"/>
        <v>0</v>
      </c>
      <c r="L68" s="156">
        <f t="shared" si="10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7" x14ac:dyDescent="0.35">
      <c r="A69" t="s">
        <v>3945</v>
      </c>
      <c r="B69" s="3">
        <f>_xlfn.IFNA(_xlfn.XLOOKUP(A69,'Price list'!J:J,'Price list'!K:K),0)</f>
        <v>34000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156">
        <v>0</v>
      </c>
      <c r="J69" s="26">
        <f t="shared" si="4"/>
        <v>0</v>
      </c>
      <c r="K69" s="3">
        <f t="shared" si="0"/>
        <v>0</v>
      </c>
      <c r="L69" s="156">
        <f t="shared" si="10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7" x14ac:dyDescent="0.35">
      <c r="A70" t="s">
        <v>3911</v>
      </c>
      <c r="B70" s="3">
        <f>_xlfn.IFNA(_xlfn.XLOOKUP(A70,'Price list'!J:J,'Price list'!K:K),0)</f>
        <v>34000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156">
        <v>0</v>
      </c>
      <c r="J70" s="26">
        <f t="shared" si="4"/>
        <v>0</v>
      </c>
      <c r="K70" s="3">
        <f t="shared" si="0"/>
        <v>0</v>
      </c>
      <c r="L70" s="156">
        <f t="shared" si="10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7" x14ac:dyDescent="0.35">
      <c r="A71" t="s">
        <v>3912</v>
      </c>
      <c r="B71" s="3">
        <f>_xlfn.IFNA(_xlfn.XLOOKUP(A71,'Price list'!J:J,'Price list'!K:K),0)</f>
        <v>34000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156">
        <v>0</v>
      </c>
      <c r="J71" s="26">
        <f t="shared" si="4"/>
        <v>0</v>
      </c>
      <c r="K71" s="3">
        <f t="shared" si="0"/>
        <v>0</v>
      </c>
      <c r="L71" s="164">
        <f>IFERROR(((K71/$K$11)*$F$11)/(F71+I71),0)+IFERROR(((K71/SUMIF(H:H,"*Boneless*",K:K))*$F$6)/I71,0)</f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>
        <f>IFERROR(((K71/SUMIF(H:H,"*Boneless*",K:K))*$F$6),0)</f>
        <v>0</v>
      </c>
      <c r="Q71">
        <f>SUMIF(H:H,"*Boneless*",K:K)</f>
        <v>25950100</v>
      </c>
    </row>
    <row r="72" spans="1:17" x14ac:dyDescent="0.35">
      <c r="A72" t="s">
        <v>3913</v>
      </c>
      <c r="B72" s="3">
        <f>_xlfn.IFNA(_xlfn.XLOOKUP(A72,'Price list'!J:J,'Price list'!K:K),0)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156">
        <v>0</v>
      </c>
      <c r="J72" s="26">
        <f t="shared" si="4"/>
        <v>0</v>
      </c>
      <c r="K72" s="3">
        <f t="shared" si="0"/>
        <v>0</v>
      </c>
      <c r="L72" s="156">
        <f t="shared" ref="L72:L80" si="11">IFERROR(((K72/$K$11)*$F$11)/(F72+I72),0)</f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7" x14ac:dyDescent="0.35">
      <c r="A73" t="s">
        <v>3914</v>
      </c>
      <c r="B73" s="3">
        <f>_xlfn.IFNA(_xlfn.XLOOKUP(A73,'Price list'!J:J,'Price list'!K:K),0)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156">
        <v>0</v>
      </c>
      <c r="J73" s="26">
        <f t="shared" si="4"/>
        <v>0</v>
      </c>
      <c r="K73" s="3">
        <f t="shared" si="0"/>
        <v>0</v>
      </c>
      <c r="L73" s="156">
        <f t="shared" si="11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7" x14ac:dyDescent="0.35">
      <c r="A74" t="s">
        <v>4055</v>
      </c>
      <c r="B74" s="3">
        <f>_xlfn.IFNA(_xlfn.XLOOKUP(A74,'Price list'!J:J,'Price list'!K:K),0)</f>
        <v>45000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156">
        <v>0</v>
      </c>
      <c r="J74" s="26">
        <f t="shared" si="4"/>
        <v>0</v>
      </c>
      <c r="K74" s="3">
        <f t="shared" si="0"/>
        <v>0</v>
      </c>
      <c r="L74" s="156">
        <f t="shared" si="11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7" x14ac:dyDescent="0.35">
      <c r="A75" t="s">
        <v>3916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156">
        <v>0</v>
      </c>
      <c r="J75" s="26">
        <f t="shared" si="4"/>
        <v>0</v>
      </c>
      <c r="K75" s="3">
        <f t="shared" si="0"/>
        <v>0</v>
      </c>
      <c r="L75" s="156">
        <f t="shared" si="11"/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7" x14ac:dyDescent="0.35">
      <c r="A76" t="s">
        <v>4062</v>
      </c>
      <c r="B76" s="3">
        <f>_xlfn.IFNA(_xlfn.XLOOKUP(A76,'Price list'!J:J,'Price list'!K:K),0)</f>
        <v>44000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156">
        <v>0</v>
      </c>
      <c r="J76" s="26">
        <f t="shared" si="4"/>
        <v>0</v>
      </c>
      <c r="K76" s="3">
        <f t="shared" ref="K76:K81" si="12">+B76*(F76+I76)</f>
        <v>0</v>
      </c>
      <c r="L76" s="156">
        <f t="shared" si="11"/>
        <v>0</v>
      </c>
      <c r="M76" s="3">
        <f t="shared" ref="M76:M81" si="13">+L76*(F76+I76)</f>
        <v>0</v>
      </c>
      <c r="N76" s="3">
        <f t="shared" ref="N76:N81" si="14">IF(L76=0,0,B76-L76)</f>
        <v>0</v>
      </c>
      <c r="O76" s="3">
        <f t="shared" si="5"/>
        <v>0</v>
      </c>
      <c r="P76" s="3"/>
    </row>
    <row r="77" spans="1:17" x14ac:dyDescent="0.35">
      <c r="A77" t="s">
        <v>3918</v>
      </c>
      <c r="B77" s="3">
        <f>_xlfn.IFNA(_xlfn.XLOOKUP(A77,'Price list'!J:J,'Price list'!K:K),0)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156">
        <v>0</v>
      </c>
      <c r="J77" s="26">
        <f t="shared" ref="J77:J81" si="15">IF(F77/J$5&gt;0,F77/J$5,I77/J$5)</f>
        <v>0</v>
      </c>
      <c r="K77" s="3">
        <f t="shared" si="12"/>
        <v>0</v>
      </c>
      <c r="L77" s="156">
        <f t="shared" si="11"/>
        <v>0</v>
      </c>
      <c r="M77" s="3">
        <f t="shared" si="13"/>
        <v>0</v>
      </c>
      <c r="N77" s="3">
        <f t="shared" si="14"/>
        <v>0</v>
      </c>
      <c r="O77" s="3">
        <f t="shared" ref="O77:O81" si="16">+K77-M77</f>
        <v>0</v>
      </c>
      <c r="P77" s="3"/>
    </row>
    <row r="78" spans="1:17" x14ac:dyDescent="0.35">
      <c r="A78" t="s">
        <v>3919</v>
      </c>
      <c r="B78" s="3">
        <f>_xlfn.IFNA(_xlfn.XLOOKUP(A78,'Price list'!J:J,'Price list'!K:K),0)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156">
        <v>0</v>
      </c>
      <c r="J78" s="26">
        <f t="shared" si="15"/>
        <v>0</v>
      </c>
      <c r="K78" s="3">
        <f t="shared" si="12"/>
        <v>0</v>
      </c>
      <c r="L78" s="156">
        <f t="shared" si="11"/>
        <v>0</v>
      </c>
      <c r="M78" s="3">
        <f t="shared" si="13"/>
        <v>0</v>
      </c>
      <c r="N78" s="3">
        <f t="shared" si="14"/>
        <v>0</v>
      </c>
      <c r="O78" s="3">
        <f t="shared" si="16"/>
        <v>0</v>
      </c>
      <c r="P78" s="3"/>
    </row>
    <row r="79" spans="1:17" x14ac:dyDescent="0.35">
      <c r="A79" t="s">
        <v>3920</v>
      </c>
      <c r="B79" s="3">
        <f>_xlfn.IFNA(_xlfn.XLOOKUP(A79,'Price list'!J:J,'Price list'!K:K),0)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156">
        <v>0</v>
      </c>
      <c r="J79" s="26">
        <f t="shared" si="15"/>
        <v>0</v>
      </c>
      <c r="K79" s="3">
        <f t="shared" si="12"/>
        <v>0</v>
      </c>
      <c r="L79" s="156">
        <f t="shared" si="11"/>
        <v>0</v>
      </c>
      <c r="M79" s="3">
        <f t="shared" si="13"/>
        <v>0</v>
      </c>
      <c r="N79" s="3">
        <f t="shared" si="14"/>
        <v>0</v>
      </c>
      <c r="O79" s="3">
        <f t="shared" si="16"/>
        <v>0</v>
      </c>
      <c r="P79" s="3"/>
    </row>
    <row r="80" spans="1:17" x14ac:dyDescent="0.35">
      <c r="A80" t="s">
        <v>3921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156">
        <v>0</v>
      </c>
      <c r="J80" s="26">
        <f t="shared" si="15"/>
        <v>0</v>
      </c>
      <c r="K80" s="3">
        <f t="shared" si="12"/>
        <v>0</v>
      </c>
      <c r="L80" s="156">
        <f t="shared" si="11"/>
        <v>0</v>
      </c>
      <c r="M80" s="3">
        <f t="shared" si="13"/>
        <v>0</v>
      </c>
      <c r="N80" s="3">
        <f t="shared" si="14"/>
        <v>0</v>
      </c>
      <c r="O80" s="3">
        <f t="shared" si="16"/>
        <v>0</v>
      </c>
      <c r="P80" s="3"/>
    </row>
    <row r="81" spans="1:18" x14ac:dyDescent="0.35">
      <c r="A81" t="s">
        <v>3922</v>
      </c>
      <c r="B81" s="3">
        <f>_xlfn.IFNA(_xlfn.XLOOKUP(A81,'Price list'!J:J,'Price list'!K:K),0)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156">
        <v>0</v>
      </c>
      <c r="J81" s="26">
        <f t="shared" si="15"/>
        <v>0</v>
      </c>
      <c r="K81" s="3">
        <f t="shared" si="12"/>
        <v>0</v>
      </c>
      <c r="L81" s="164">
        <f>IFERROR(((K81/$K$11)*$F$11)/(F81+I81),0)+IFERROR(((K81/SUMIF(H:H,"*Boneless*",K:K))*$F$6)/I81,0)</f>
        <v>0</v>
      </c>
      <c r="M81" s="3">
        <f t="shared" si="13"/>
        <v>0</v>
      </c>
      <c r="N81" s="3">
        <f t="shared" si="14"/>
        <v>0</v>
      </c>
      <c r="O81" s="3">
        <f t="shared" si="16"/>
        <v>0</v>
      </c>
      <c r="P81" s="3">
        <f>IFERROR(((K81/SUMIF(H:H,"*Boneless*",K:K))*$F$6),0)</f>
        <v>0</v>
      </c>
      <c r="Q81">
        <f>SUMIF(H:H,"*Boneless*",K:K)</f>
        <v>25950100</v>
      </c>
    </row>
    <row r="82" spans="1:18" x14ac:dyDescent="0.35">
      <c r="A82" t="s">
        <v>3923</v>
      </c>
      <c r="B82" s="3">
        <f>_xlfn.IFNA(_xlfn.XLOOKUP(A82,'Price list'!J:J,'Price list'!K:K),0)</f>
        <v>0</v>
      </c>
      <c r="C82" t="s">
        <v>9</v>
      </c>
      <c r="E82" s="3"/>
      <c r="F82" s="3"/>
      <c r="G82" s="3"/>
      <c r="H82" s="3"/>
      <c r="I82" s="3"/>
      <c r="J82" s="26"/>
      <c r="K82" s="3"/>
      <c r="L82" s="109"/>
      <c r="M82" s="3"/>
      <c r="N82" s="3"/>
      <c r="O82" s="3"/>
      <c r="P82" s="3"/>
    </row>
    <row r="83" spans="1:18" x14ac:dyDescent="0.35">
      <c r="A83" t="s">
        <v>3924</v>
      </c>
      <c r="B83" s="3">
        <f>_xlfn.IFNA(_xlfn.XLOOKUP(A83,'Price list'!J:J,'Price list'!K:K),0)</f>
        <v>0</v>
      </c>
      <c r="C83" t="s">
        <v>9</v>
      </c>
      <c r="E83" s="3"/>
      <c r="F83" s="3"/>
      <c r="G83" s="3"/>
      <c r="H83" s="3"/>
      <c r="I83" s="3"/>
      <c r="J83" s="26"/>
      <c r="K83" s="3"/>
      <c r="L83" s="109"/>
      <c r="M83" s="3"/>
      <c r="N83" s="3"/>
      <c r="O83" s="3"/>
      <c r="P83" s="3"/>
    </row>
    <row r="84" spans="1:18" x14ac:dyDescent="0.35">
      <c r="A84" t="s">
        <v>4060</v>
      </c>
      <c r="B84" s="3">
        <f>_xlfn.IFNA(_xlfn.XLOOKUP(A84,'Price list'!J:J,'Price list'!K:K),0)</f>
        <v>36000</v>
      </c>
      <c r="C84" t="s">
        <v>9</v>
      </c>
      <c r="E84" s="3"/>
      <c r="F84" s="3"/>
      <c r="G84" s="3"/>
      <c r="H84" s="3"/>
      <c r="I84" s="3"/>
      <c r="J84" s="26"/>
      <c r="K84" s="3"/>
      <c r="L84" s="109"/>
      <c r="M84" s="3"/>
      <c r="N84" s="3"/>
      <c r="O84" s="3"/>
      <c r="P84" s="3"/>
    </row>
    <row r="85" spans="1:18" x14ac:dyDescent="0.35">
      <c r="B85" s="3"/>
      <c r="E85" s="3"/>
      <c r="F85" s="3"/>
      <c r="G85" s="3"/>
      <c r="H85" s="3"/>
      <c r="I85" s="3"/>
      <c r="J85" s="26"/>
      <c r="K85" s="3"/>
      <c r="L85" s="109"/>
      <c r="M85" s="3"/>
      <c r="N85" s="3"/>
      <c r="O85" s="3"/>
      <c r="P85" s="3"/>
    </row>
    <row r="86" spans="1:18" x14ac:dyDescent="0.35">
      <c r="B86" s="3"/>
      <c r="E86" s="3"/>
      <c r="F86" s="3"/>
      <c r="G86" s="3"/>
      <c r="H86" s="3"/>
      <c r="I86" s="3"/>
      <c r="J86" s="26"/>
      <c r="K86" s="3"/>
      <c r="L86" s="109"/>
      <c r="M86" s="3"/>
      <c r="N86" s="3"/>
      <c r="O86" s="3"/>
      <c r="P86" s="3"/>
    </row>
    <row r="87" spans="1:18" x14ac:dyDescent="0.35">
      <c r="B87" s="3"/>
      <c r="E87" s="3"/>
      <c r="F87" s="3"/>
      <c r="G87" s="3"/>
      <c r="H87" s="3"/>
      <c r="I87" s="3"/>
      <c r="J87" s="26"/>
      <c r="K87" s="3"/>
      <c r="L87" s="109"/>
      <c r="M87" s="3"/>
      <c r="N87" s="3"/>
      <c r="O87" s="3"/>
      <c r="P87" s="3"/>
    </row>
    <row r="88" spans="1:18" x14ac:dyDescent="0.35">
      <c r="B88" s="3"/>
      <c r="E88" s="3"/>
      <c r="F88" s="3"/>
      <c r="G88" s="3"/>
      <c r="H88" s="3"/>
      <c r="I88" s="3"/>
      <c r="J88" s="26"/>
      <c r="K88" s="3"/>
      <c r="L88" s="109"/>
      <c r="M88" s="3"/>
      <c r="N88" s="3"/>
      <c r="O88" s="3"/>
      <c r="P88" s="3"/>
    </row>
    <row r="90" spans="1:18" s="2" customFormat="1" x14ac:dyDescent="0.35">
      <c r="A90" t="s">
        <v>3929</v>
      </c>
      <c r="B90"/>
      <c r="C90"/>
      <c r="D90"/>
      <c r="E90"/>
      <c r="F90" s="117"/>
      <c r="G90" t="s">
        <v>3930</v>
      </c>
      <c r="Q90"/>
      <c r="R90"/>
    </row>
    <row r="91" spans="1:18" s="2" customFormat="1" x14ac:dyDescent="0.35">
      <c r="A91"/>
      <c r="B91"/>
      <c r="C91"/>
      <c r="D91"/>
      <c r="E91"/>
      <c r="F91" s="117"/>
      <c r="G91"/>
      <c r="Q91"/>
      <c r="R91"/>
    </row>
    <row r="92" spans="1:18" s="2" customFormat="1" x14ac:dyDescent="0.35">
      <c r="A92"/>
      <c r="B92"/>
      <c r="C92"/>
      <c r="D92"/>
      <c r="E92"/>
      <c r="F92" s="117"/>
      <c r="G92"/>
      <c r="Q92"/>
      <c r="R92"/>
    </row>
    <row r="93" spans="1:18" s="2" customFormat="1" x14ac:dyDescent="0.35">
      <c r="A93"/>
      <c r="B93"/>
      <c r="C93"/>
      <c r="D93"/>
      <c r="E93"/>
      <c r="F93" s="117"/>
      <c r="G93"/>
      <c r="Q93"/>
      <c r="R93"/>
    </row>
    <row r="94" spans="1:18" s="2" customFormat="1" x14ac:dyDescent="0.35">
      <c r="A94"/>
      <c r="B94"/>
      <c r="C94"/>
      <c r="D94"/>
      <c r="E94"/>
      <c r="F94" s="117"/>
      <c r="G94"/>
      <c r="Q94"/>
      <c r="R94"/>
    </row>
    <row r="95" spans="1:18" s="2" customFormat="1" x14ac:dyDescent="0.35">
      <c r="A95"/>
      <c r="B95"/>
      <c r="C95"/>
      <c r="D95"/>
      <c r="E95"/>
      <c r="F95" s="117"/>
      <c r="G95"/>
      <c r="Q95"/>
      <c r="R95"/>
    </row>
    <row r="96" spans="1:18" s="2" customFormat="1" x14ac:dyDescent="0.35">
      <c r="A96" s="118"/>
      <c r="B96"/>
      <c r="C96"/>
      <c r="D96"/>
      <c r="E96"/>
      <c r="F96" s="117"/>
      <c r="G96" s="118"/>
      <c r="Q96"/>
      <c r="R96"/>
    </row>
    <row r="97" spans="1:18" s="2" customFormat="1" x14ac:dyDescent="0.35">
      <c r="A97"/>
      <c r="B97"/>
      <c r="C97"/>
      <c r="D97"/>
      <c r="E97"/>
      <c r="F97" s="117"/>
      <c r="G97"/>
      <c r="Q97"/>
      <c r="R97"/>
    </row>
  </sheetData>
  <autoFilter ref="A11:P81" xr:uid="{9E3D57EB-0D9F-40FE-B4FE-C94EEFF00F8F}"/>
  <conditionalFormatting sqref="O11">
    <cfRule type="cellIs" dxfId="19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65" max="1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D462-7B07-4EF1-BFC9-F6FBAB6D169E}">
  <sheetPr>
    <tabColor rgb="FFFFC000"/>
    <pageSetUpPr fitToPage="1"/>
  </sheetPr>
  <dimension ref="A1:R90"/>
  <sheetViews>
    <sheetView zoomScale="80" zoomScaleNormal="80" workbookViewId="0">
      <pane xSplit="3" ySplit="10" topLeftCell="D11" activePane="bottomRight" state="frozen"/>
      <selection activeCell="B23" sqref="B23"/>
      <selection pane="topRight" activeCell="B23" sqref="B23"/>
      <selection pane="bottomLeft" activeCell="B23" sqref="B23"/>
      <selection pane="bottomRight" activeCell="H5" sqref="H5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4.6328125" style="2" bestFit="1" customWidth="1"/>
    <col min="10" max="10" width="11.26953125" style="2" bestFit="1" customWidth="1"/>
    <col min="11" max="11" width="17.81640625" style="2" bestFit="1" customWidth="1"/>
    <col min="12" max="12" width="16.36328125" style="2" bestFit="1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+I9/E11</f>
        <v>2.3460571428571431</v>
      </c>
    </row>
    <row r="2" spans="1:18" x14ac:dyDescent="0.35">
      <c r="A2" s="18" t="s">
        <v>3865</v>
      </c>
      <c r="E2" s="163"/>
      <c r="F2" s="163"/>
      <c r="G2" s="19" t="s">
        <v>3943</v>
      </c>
    </row>
    <row r="3" spans="1:18" x14ac:dyDescent="0.35">
      <c r="A3" s="101" t="s">
        <v>3866</v>
      </c>
      <c r="B3" s="2">
        <f>(4937.7+4884.3)*25000</f>
        <v>245550000</v>
      </c>
      <c r="C3" s="19"/>
      <c r="E3" s="157"/>
      <c r="F3" s="157"/>
      <c r="G3" s="156" t="s">
        <v>4084</v>
      </c>
      <c r="H3" s="157"/>
      <c r="I3" s="101" t="s">
        <v>3870</v>
      </c>
      <c r="J3" s="2" t="s">
        <v>4083</v>
      </c>
      <c r="Q3" s="25"/>
      <c r="R3" s="2"/>
    </row>
    <row r="4" spans="1:18" x14ac:dyDescent="0.35">
      <c r="A4" s="101" t="s">
        <v>3867</v>
      </c>
      <c r="B4" s="2">
        <f>2*2000000</f>
        <v>4000000</v>
      </c>
      <c r="E4"/>
      <c r="F4" s="157"/>
      <c r="G4" s="157"/>
      <c r="H4" s="157" t="s">
        <v>4085</v>
      </c>
      <c r="I4" s="101" t="s">
        <v>3872</v>
      </c>
      <c r="J4" s="115">
        <v>46293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13769775</v>
      </c>
      <c r="E5" s="157"/>
      <c r="F5" s="157"/>
      <c r="G5" s="157" t="s">
        <v>4147</v>
      </c>
      <c r="H5" s="157" t="s">
        <v>4152</v>
      </c>
      <c r="I5" s="101" t="s">
        <v>3944</v>
      </c>
      <c r="J5" s="19">
        <f>(4937.7+4884.3)</f>
        <v>9822</v>
      </c>
      <c r="K5" s="2">
        <v>9179.85</v>
      </c>
      <c r="L5" s="2">
        <f>J5-K5</f>
        <v>642.14999999999964</v>
      </c>
      <c r="M5" s="147">
        <f>L5/J5</f>
        <v>6.5378741600488663E-2</v>
      </c>
    </row>
    <row r="6" spans="1:18" x14ac:dyDescent="0.35">
      <c r="A6" s="102" t="s">
        <v>3869</v>
      </c>
      <c r="B6" s="19">
        <f>SUBTOTAL(9,B3:B5)</f>
        <v>263319775</v>
      </c>
      <c r="E6" s="149" t="s">
        <v>4054</v>
      </c>
      <c r="F6" s="93">
        <v>4959822</v>
      </c>
      <c r="I6" s="101"/>
      <c r="J6" s="19"/>
      <c r="M6" s="147"/>
    </row>
    <row r="7" spans="1:18" x14ac:dyDescent="0.35">
      <c r="B7" s="2">
        <f>B6+F6</f>
        <v>268279597</v>
      </c>
      <c r="Q7" s="25"/>
    </row>
    <row r="8" spans="1:18" ht="4.5" customHeight="1" x14ac:dyDescent="0.35">
      <c r="A8" s="101"/>
    </row>
    <row r="9" spans="1:18" x14ac:dyDescent="0.35">
      <c r="A9" s="8"/>
      <c r="B9" s="19"/>
      <c r="C9" s="18"/>
      <c r="E9" s="18"/>
      <c r="I9" s="2">
        <f>J9+3300.2*2</f>
        <v>16422.400000000001</v>
      </c>
      <c r="J9" s="2">
        <f>J5-J7</f>
        <v>9822</v>
      </c>
      <c r="K9" s="19" t="s">
        <v>3931</v>
      </c>
      <c r="L9" s="28" t="e">
        <f>SUM(K12:K66)/M11-1</f>
        <v>#DIV/0!</v>
      </c>
    </row>
    <row r="10" spans="1:18" ht="28.5" customHeight="1" x14ac:dyDescent="0.35">
      <c r="A10" s="112" t="s">
        <v>27</v>
      </c>
      <c r="B10" s="119" t="s">
        <v>3938</v>
      </c>
      <c r="C10" s="112" t="s">
        <v>4</v>
      </c>
      <c r="D10" s="1"/>
      <c r="E10" s="113" t="s">
        <v>28</v>
      </c>
      <c r="F10" s="110" t="s">
        <v>6</v>
      </c>
      <c r="G10" s="110" t="s">
        <v>3937</v>
      </c>
      <c r="H10" s="120" t="s">
        <v>3926</v>
      </c>
      <c r="I10" s="110" t="s">
        <v>3835</v>
      </c>
      <c r="J10" s="119" t="s">
        <v>2177</v>
      </c>
      <c r="K10" s="119" t="s">
        <v>3932</v>
      </c>
      <c r="L10" s="119" t="s">
        <v>3935</v>
      </c>
      <c r="M10" s="120" t="s">
        <v>2173</v>
      </c>
      <c r="N10" s="121" t="s">
        <v>3939</v>
      </c>
      <c r="O10" s="121" t="s">
        <v>3936</v>
      </c>
      <c r="P10" s="110" t="s">
        <v>3826</v>
      </c>
    </row>
    <row r="11" spans="1:18" x14ac:dyDescent="0.35">
      <c r="A11" s="4"/>
      <c r="B11" s="24"/>
      <c r="C11" s="4"/>
      <c r="D11" s="1"/>
      <c r="E11" s="5">
        <v>7000</v>
      </c>
      <c r="F11" s="5">
        <f>+B6</f>
        <v>263319775</v>
      </c>
      <c r="G11" s="5"/>
      <c r="H11" s="5"/>
      <c r="I11" s="5">
        <f>SUM(I12:I83)</f>
        <v>0</v>
      </c>
      <c r="J11" s="148">
        <f>SUM(J12:J83)</f>
        <v>0</v>
      </c>
      <c r="K11" s="5">
        <f>SUM(K12:K83)</f>
        <v>0</v>
      </c>
      <c r="L11" s="5"/>
      <c r="M11" s="5">
        <f>SUM(M12:M83)</f>
        <v>0</v>
      </c>
      <c r="N11" s="5"/>
      <c r="O11" s="5">
        <f>SUM(O12:O83)</f>
        <v>0</v>
      </c>
    </row>
    <row r="12" spans="1:18" x14ac:dyDescent="0.35">
      <c r="A12" t="s">
        <v>3873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>IF(F12/J$5&gt;0,F12/J$5,I12/J$5)</f>
        <v>0</v>
      </c>
      <c r="K12" s="3">
        <f t="shared" ref="K12:K75" si="0">+B12*(F12+I12)</f>
        <v>0</v>
      </c>
      <c r="L12" s="27">
        <f t="shared" ref="L12:L30" si="1">IFERROR(((K12/$K$11)*$F$11)/(F12+I12),0)</f>
        <v>0</v>
      </c>
      <c r="M12" s="3">
        <f t="shared" ref="M12:M75" si="2">+L12*(F12+I12)</f>
        <v>0</v>
      </c>
      <c r="N12" s="3">
        <f t="shared" ref="N12:N75" si="3">IF(L12=0,0,B12-L12)</f>
        <v>0</v>
      </c>
      <c r="O12" s="3">
        <f>+K12-M12</f>
        <v>0</v>
      </c>
      <c r="P12" s="3"/>
    </row>
    <row r="13" spans="1:18" x14ac:dyDescent="0.35">
      <c r="A13" t="s">
        <v>3874</v>
      </c>
      <c r="B13" s="3">
        <f>_xlfn.IFNA(_xlfn.XLOOKUP(A13,'Price list'!J:J,'Price list'!K:K),0)</f>
        <v>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ref="J13:J76" si="4">IF(F13/J$5&gt;0,F13/J$5,I13/J$5)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ref="O13:O76" si="5">+K13-M13</f>
        <v>0</v>
      </c>
      <c r="P13" s="3"/>
      <c r="R13" s="3"/>
    </row>
    <row r="14" spans="1:18" x14ac:dyDescent="0.35">
      <c r="A14" t="s">
        <v>3875</v>
      </c>
      <c r="B14" s="3">
        <f>_xlfn.IFNA(_xlfn.XLOOKUP(A14,'Price list'!J:J,'Price list'!K:K),0)</f>
        <v>37000</v>
      </c>
      <c r="C14" t="s">
        <v>9</v>
      </c>
      <c r="E14" s="3"/>
      <c r="F14" s="3"/>
      <c r="G14" s="3"/>
      <c r="H14" s="3" t="str">
        <f>IF(G14=0,"",_xlfn.XLOOKUP(G14,List_item!A:A,List_item!B:B))</f>
        <v/>
      </c>
      <c r="I14" s="3">
        <v>0</v>
      </c>
      <c r="J14" s="26">
        <f t="shared" si="4"/>
        <v>0</v>
      </c>
      <c r="K14" s="3">
        <f t="shared" si="0"/>
        <v>0</v>
      </c>
      <c r="L14" s="27">
        <f t="shared" si="1"/>
        <v>0</v>
      </c>
      <c r="M14" s="3">
        <f t="shared" si="2"/>
        <v>0</v>
      </c>
      <c r="N14" s="3">
        <f t="shared" si="3"/>
        <v>0</v>
      </c>
      <c r="O14" s="3">
        <f t="shared" si="5"/>
        <v>0</v>
      </c>
      <c r="P14" s="3"/>
    </row>
    <row r="15" spans="1:18" x14ac:dyDescent="0.35">
      <c r="A15" t="s">
        <v>3876</v>
      </c>
      <c r="B15" s="3">
        <f>_xlfn.IFNA(_xlfn.XLOOKUP(A15,'Price list'!J:J,'Price list'!K:K),0)</f>
        <v>37000</v>
      </c>
      <c r="C15" t="s">
        <v>9</v>
      </c>
      <c r="E15" s="3"/>
      <c r="F15" s="3"/>
      <c r="G15" s="3"/>
      <c r="H15" s="3" t="str">
        <f>IF(G15=0,"",_xlfn.XLOOKUP(G15,List_item!A:A,List_item!B:B))</f>
        <v/>
      </c>
      <c r="I15" s="3">
        <v>0</v>
      </c>
      <c r="J15" s="26">
        <f t="shared" si="4"/>
        <v>0</v>
      </c>
      <c r="K15" s="3">
        <f t="shared" si="0"/>
        <v>0</v>
      </c>
      <c r="L15" s="27">
        <f t="shared" si="1"/>
        <v>0</v>
      </c>
      <c r="M15" s="3">
        <f t="shared" si="2"/>
        <v>0</v>
      </c>
      <c r="N15" s="3">
        <f t="shared" si="3"/>
        <v>0</v>
      </c>
      <c r="O15" s="3">
        <f t="shared" si="5"/>
        <v>0</v>
      </c>
      <c r="P15" s="3"/>
    </row>
    <row r="16" spans="1:18" x14ac:dyDescent="0.35">
      <c r="A16" t="s">
        <v>3877</v>
      </c>
      <c r="B16" s="3">
        <f>_xlfn.IFNA(_xlfn.XLOOKUP(A16,'Price list'!J:J,'Price list'!K:K),0)</f>
        <v>37000</v>
      </c>
      <c r="C16" t="s">
        <v>9</v>
      </c>
      <c r="E16"/>
      <c r="F16"/>
      <c r="G16" s="3"/>
      <c r="H16" s="3" t="str">
        <f>IF(G16=0,"",_xlfn.XLOOKUP(G16,List_item!A:A,List_item!B:B))</f>
        <v/>
      </c>
      <c r="I16" s="3">
        <v>0</v>
      </c>
      <c r="J16" s="26">
        <f t="shared" si="4"/>
        <v>0</v>
      </c>
      <c r="K16" s="3">
        <f t="shared" si="0"/>
        <v>0</v>
      </c>
      <c r="L16" s="27">
        <f t="shared" si="1"/>
        <v>0</v>
      </c>
      <c r="M16" s="3">
        <f t="shared" si="2"/>
        <v>0</v>
      </c>
      <c r="N16" s="3">
        <f t="shared" si="3"/>
        <v>0</v>
      </c>
      <c r="O16" s="3">
        <f t="shared" si="5"/>
        <v>0</v>
      </c>
      <c r="P16" s="3"/>
    </row>
    <row r="17" spans="1:17" x14ac:dyDescent="0.35">
      <c r="A17" t="s">
        <v>3878</v>
      </c>
      <c r="B17" s="3">
        <f>_xlfn.IFNA(_xlfn.XLOOKUP(A17,'Price list'!J:J,'Price list'!K:K),0)</f>
        <v>37000</v>
      </c>
      <c r="C17" t="s">
        <v>9</v>
      </c>
      <c r="E17" s="3"/>
      <c r="F17"/>
      <c r="G17" s="3"/>
      <c r="H17" s="3" t="str">
        <f>IF(G17=0,"",_xlfn.XLOOKUP(G17,List_item!A:A,List_item!B:B))</f>
        <v/>
      </c>
      <c r="I17" s="3">
        <v>0</v>
      </c>
      <c r="J17" s="26">
        <f t="shared" si="4"/>
        <v>0</v>
      </c>
      <c r="K17" s="3">
        <f t="shared" si="0"/>
        <v>0</v>
      </c>
      <c r="L17" s="27">
        <f t="shared" si="1"/>
        <v>0</v>
      </c>
      <c r="M17" s="3">
        <f t="shared" si="2"/>
        <v>0</v>
      </c>
      <c r="N17" s="3">
        <f t="shared" si="3"/>
        <v>0</v>
      </c>
      <c r="O17" s="3">
        <f t="shared" si="5"/>
        <v>0</v>
      </c>
      <c r="P17" s="3"/>
    </row>
    <row r="18" spans="1:17" x14ac:dyDescent="0.35">
      <c r="A18" t="s">
        <v>3879</v>
      </c>
      <c r="B18" s="3">
        <f>_xlfn.IFNA(_xlfn.XLOOKUP(A18,'Price list'!J:J,'Price list'!K:K),0)</f>
        <v>37000</v>
      </c>
      <c r="C18" t="s">
        <v>9</v>
      </c>
      <c r="E18" s="6"/>
      <c r="F18"/>
      <c r="G18" s="3"/>
      <c r="H18" s="3" t="str">
        <f>IF(G18=0,"",_xlfn.XLOOKUP(G18,List_item!A:A,List_item!B:B))</f>
        <v/>
      </c>
      <c r="I18" s="3">
        <v>0</v>
      </c>
      <c r="J18" s="26">
        <f t="shared" si="4"/>
        <v>0</v>
      </c>
      <c r="K18" s="3">
        <f t="shared" si="0"/>
        <v>0</v>
      </c>
      <c r="L18" s="27">
        <f t="shared" si="1"/>
        <v>0</v>
      </c>
      <c r="M18" s="3">
        <f t="shared" si="2"/>
        <v>0</v>
      </c>
      <c r="N18" s="3">
        <f t="shared" si="3"/>
        <v>0</v>
      </c>
      <c r="O18" s="3">
        <f t="shared" si="5"/>
        <v>0</v>
      </c>
      <c r="P18" s="3"/>
    </row>
    <row r="19" spans="1:17" x14ac:dyDescent="0.35">
      <c r="A19" t="s">
        <v>3880</v>
      </c>
      <c r="B19" s="3">
        <f>_xlfn.IFNA(_xlfn.XLOOKUP(A19,'Price list'!J:J,'Price list'!K:K),0)</f>
        <v>37000</v>
      </c>
      <c r="C19" t="s">
        <v>9</v>
      </c>
      <c r="E19" s="3"/>
      <c r="F19" s="3"/>
      <c r="G19" s="3"/>
      <c r="H19" s="3" t="str">
        <f>IF(G19=0,"",_xlfn.XLOOKUP(G19,List_item!A:A,List_item!B:B))</f>
        <v/>
      </c>
      <c r="I19" s="3">
        <v>0</v>
      </c>
      <c r="J19" s="26">
        <f t="shared" si="4"/>
        <v>0</v>
      </c>
      <c r="K19" s="3">
        <f t="shared" si="0"/>
        <v>0</v>
      </c>
      <c r="L19" s="27">
        <f t="shared" si="1"/>
        <v>0</v>
      </c>
      <c r="M19" s="3">
        <f t="shared" si="2"/>
        <v>0</v>
      </c>
      <c r="N19" s="3">
        <f t="shared" si="3"/>
        <v>0</v>
      </c>
      <c r="O19" s="3">
        <f t="shared" si="5"/>
        <v>0</v>
      </c>
      <c r="P19" s="3"/>
    </row>
    <row r="20" spans="1:17" x14ac:dyDescent="0.35">
      <c r="A20" t="s">
        <v>3881</v>
      </c>
      <c r="B20" s="3">
        <f>_xlfn.IFNA(_xlfn.XLOOKUP(A20,'Price list'!J:J,'Price list'!K:K),0)</f>
        <v>37000</v>
      </c>
      <c r="C20" t="s">
        <v>9</v>
      </c>
      <c r="E20" s="3"/>
      <c r="F20" s="3"/>
      <c r="G20" s="3"/>
      <c r="H20" s="3" t="str">
        <f>IF(G20=0,"",_xlfn.XLOOKUP(G20,List_item!A:A,List_item!B:B))</f>
        <v/>
      </c>
      <c r="I20" s="3">
        <v>0</v>
      </c>
      <c r="J20" s="26">
        <f t="shared" si="4"/>
        <v>0</v>
      </c>
      <c r="K20" s="3">
        <f t="shared" si="0"/>
        <v>0</v>
      </c>
      <c r="L20" s="27">
        <f t="shared" si="1"/>
        <v>0</v>
      </c>
      <c r="M20" s="3">
        <f t="shared" si="2"/>
        <v>0</v>
      </c>
      <c r="N20" s="3">
        <f t="shared" si="3"/>
        <v>0</v>
      </c>
      <c r="O20" s="3">
        <f t="shared" si="5"/>
        <v>0</v>
      </c>
      <c r="P20" s="3"/>
    </row>
    <row r="21" spans="1:17" x14ac:dyDescent="0.35">
      <c r="A21" t="s">
        <v>3882</v>
      </c>
      <c r="B21" s="3">
        <f>_xlfn.IFNA(_xlfn.XLOOKUP(A21,'Price list'!J:J,'Price list'!K:K),0)</f>
        <v>37000</v>
      </c>
      <c r="C21" t="s">
        <v>9</v>
      </c>
      <c r="E21" s="3"/>
      <c r="F21" s="3"/>
      <c r="G21" s="3"/>
      <c r="H21" s="3" t="str">
        <f>IF(G21=0,"",_xlfn.XLOOKUP(G21,List_item!A:A,List_item!B:B))</f>
        <v/>
      </c>
      <c r="I21" s="3">
        <v>0</v>
      </c>
      <c r="J21" s="26">
        <f t="shared" si="4"/>
        <v>0</v>
      </c>
      <c r="K21" s="3">
        <f t="shared" si="0"/>
        <v>0</v>
      </c>
      <c r="L21" s="27">
        <f t="shared" si="1"/>
        <v>0</v>
      </c>
      <c r="M21" s="3">
        <f t="shared" si="2"/>
        <v>0</v>
      </c>
      <c r="N21" s="3">
        <f t="shared" si="3"/>
        <v>0</v>
      </c>
      <c r="O21" s="3">
        <f t="shared" si="5"/>
        <v>0</v>
      </c>
      <c r="P21" s="3"/>
    </row>
    <row r="22" spans="1:17" x14ac:dyDescent="0.35">
      <c r="A22" t="s">
        <v>3883</v>
      </c>
      <c r="B22" s="3">
        <f>_xlfn.IFNA(_xlfn.XLOOKUP(A22,'Price list'!J:J,'Price list'!K:K),0)</f>
        <v>37000</v>
      </c>
      <c r="C22" t="s">
        <v>9</v>
      </c>
      <c r="E22" s="3"/>
      <c r="F22" s="3"/>
      <c r="G22" s="3"/>
      <c r="H22" s="3" t="str">
        <f>IF(G22=0,"",_xlfn.XLOOKUP(G22,List_item!A:A,List_item!B:B))</f>
        <v/>
      </c>
      <c r="I22" s="3">
        <v>0</v>
      </c>
      <c r="J22" s="26">
        <f t="shared" si="4"/>
        <v>0</v>
      </c>
      <c r="K22" s="3">
        <f t="shared" si="0"/>
        <v>0</v>
      </c>
      <c r="L22" s="27">
        <f t="shared" si="1"/>
        <v>0</v>
      </c>
      <c r="M22" s="3">
        <f t="shared" si="2"/>
        <v>0</v>
      </c>
      <c r="N22" s="3">
        <f t="shared" si="3"/>
        <v>0</v>
      </c>
      <c r="O22" s="3">
        <f t="shared" si="5"/>
        <v>0</v>
      </c>
      <c r="P22" s="3"/>
    </row>
    <row r="23" spans="1:17" x14ac:dyDescent="0.35">
      <c r="A23" t="s">
        <v>3884</v>
      </c>
      <c r="B23" s="3">
        <f>_xlfn.IFNA(_xlfn.XLOOKUP(A23,'Price list'!J:J,'Price list'!K:K),0)</f>
        <v>37000</v>
      </c>
      <c r="C23" t="s">
        <v>9</v>
      </c>
      <c r="E23" s="3"/>
      <c r="F23" s="3"/>
      <c r="G23" s="3"/>
      <c r="H23" s="3" t="str">
        <f>IF(G23=0,"",_xlfn.XLOOKUP(G23,List_item!A:A,List_item!B:B))</f>
        <v/>
      </c>
      <c r="I23" s="3">
        <v>0</v>
      </c>
      <c r="J23" s="26">
        <f t="shared" si="4"/>
        <v>0</v>
      </c>
      <c r="K23" s="3">
        <f t="shared" si="0"/>
        <v>0</v>
      </c>
      <c r="L23" s="27">
        <f t="shared" si="1"/>
        <v>0</v>
      </c>
      <c r="M23" s="3">
        <f t="shared" si="2"/>
        <v>0</v>
      </c>
      <c r="N23" s="3">
        <f t="shared" si="3"/>
        <v>0</v>
      </c>
      <c r="O23" s="3">
        <f t="shared" si="5"/>
        <v>0</v>
      </c>
      <c r="P23" s="3"/>
    </row>
    <row r="24" spans="1:17" x14ac:dyDescent="0.35">
      <c r="A24" t="s">
        <v>3849</v>
      </c>
      <c r="B24" s="3">
        <f>_xlfn.IFNA(_xlfn.XLOOKUP(A24,'Price list'!J:J,'Price list'!K:K),0)</f>
        <v>37000</v>
      </c>
      <c r="C24" t="s">
        <v>9</v>
      </c>
      <c r="E24" s="3"/>
      <c r="F24" s="3"/>
      <c r="G24" s="3"/>
      <c r="H24" s="3" t="str">
        <f>IF(G24=0,"",_xlfn.XLOOKUP(G24,List_item!A:A,List_item!B:B))</f>
        <v/>
      </c>
      <c r="I24" s="3">
        <v>0</v>
      </c>
      <c r="J24" s="26">
        <f t="shared" si="4"/>
        <v>0</v>
      </c>
      <c r="K24" s="3">
        <f t="shared" si="0"/>
        <v>0</v>
      </c>
      <c r="L24" s="27">
        <f t="shared" si="1"/>
        <v>0</v>
      </c>
      <c r="M24" s="3">
        <f t="shared" si="2"/>
        <v>0</v>
      </c>
      <c r="N24" s="3">
        <f t="shared" si="3"/>
        <v>0</v>
      </c>
      <c r="O24" s="3">
        <f t="shared" si="5"/>
        <v>0</v>
      </c>
      <c r="P24" s="3"/>
    </row>
    <row r="25" spans="1:17" x14ac:dyDescent="0.35">
      <c r="A25" t="s">
        <v>3885</v>
      </c>
      <c r="B25" s="3">
        <f>_xlfn.IFNA(_xlfn.XLOOKUP(A25,'Price list'!J:J,'Price list'!K:K),0)</f>
        <v>37000</v>
      </c>
      <c r="C25" t="s">
        <v>9</v>
      </c>
      <c r="E25" s="3"/>
      <c r="F25" s="3"/>
      <c r="G25" s="3"/>
      <c r="H25" s="3" t="str">
        <f>IF(G25=0,"",_xlfn.XLOOKUP(G25,List_item!A:A,List_item!B:B))</f>
        <v/>
      </c>
      <c r="I25" s="3">
        <v>0</v>
      </c>
      <c r="J25" s="26">
        <f t="shared" si="4"/>
        <v>0</v>
      </c>
      <c r="K25" s="3">
        <f t="shared" si="0"/>
        <v>0</v>
      </c>
      <c r="L25" s="27">
        <f t="shared" si="1"/>
        <v>0</v>
      </c>
      <c r="M25" s="3">
        <f t="shared" si="2"/>
        <v>0</v>
      </c>
      <c r="N25" s="3">
        <f t="shared" si="3"/>
        <v>0</v>
      </c>
      <c r="O25" s="3">
        <f t="shared" si="5"/>
        <v>0</v>
      </c>
      <c r="P25" s="3"/>
    </row>
    <row r="26" spans="1:17" x14ac:dyDescent="0.35">
      <c r="A26" t="s">
        <v>3886</v>
      </c>
      <c r="B26" s="3">
        <f>_xlfn.IFNA(_xlfn.XLOOKUP(A26,'Price list'!J:J,'Price list'!K:K),0)</f>
        <v>37000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3">
        <v>0</v>
      </c>
      <c r="J26" s="26">
        <f t="shared" si="4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7" x14ac:dyDescent="0.35">
      <c r="A27" t="s">
        <v>3887</v>
      </c>
      <c r="B27" s="3">
        <f>_xlfn.IFNA(_xlfn.XLOOKUP(A27,'Price list'!J:J,'Price list'!K:K),0)</f>
        <v>37000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7" x14ac:dyDescent="0.35">
      <c r="A28" t="s">
        <v>3888</v>
      </c>
      <c r="B28" s="3">
        <f>_xlfn.IFNA(_xlfn.XLOOKUP(A28,'Price list'!J:J,'Price list'!K:K),0)</f>
        <v>37000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7" x14ac:dyDescent="0.35">
      <c r="A29" t="s">
        <v>3889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7" x14ac:dyDescent="0.35">
      <c r="A30" t="s">
        <v>3890</v>
      </c>
      <c r="B30" s="3">
        <f>_xlfn.IFNA(_xlfn.XLOOKUP(A30,'Price list'!J:J,'Price list'!K:K),0)</f>
        <v>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7" x14ac:dyDescent="0.35">
      <c r="A31" t="s">
        <v>8</v>
      </c>
      <c r="B31" s="3">
        <f>_xlfn.IFNA(_xlfn.XLOOKUP(A31,'Price list'!J:J,'Price list'!K:K),0)</f>
        <v>50000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109">
        <f>IFERROR(((K31/$K$11)*$F$11)/(F31+I31),0)+IFERROR(((K31/SUMIF(H:H,"*Boneless*",K:K))*$F$6)/I31,0)</f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>
        <f>IFERROR(((K31/SUMIF(H:H,"*Boneless*",K:K))*$F$6),0)</f>
        <v>0</v>
      </c>
      <c r="Q31">
        <f>SUMIF(H:H,"*Boneless*",K:K)</f>
        <v>0</v>
      </c>
    </row>
    <row r="32" spans="1:17" x14ac:dyDescent="0.35">
      <c r="A32" t="s">
        <v>10</v>
      </c>
      <c r="B32" s="3">
        <f>_xlfn.IFNA(_xlfn.XLOOKUP(A32,'Price list'!J:J,'Price list'!K:K),0)</f>
        <v>48000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>IFERROR(((K32/$K$11)*$F$11)/(F32+I32),0)</f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7" x14ac:dyDescent="0.35">
      <c r="A33" t="s">
        <v>12</v>
      </c>
      <c r="B33" s="3">
        <f>_xlfn.IFNA(_xlfn.XLOOKUP(A33,'Price list'!J:J,'Price list'!K:K),0)</f>
        <v>49000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109">
        <f t="shared" ref="L33:L38" si="6">IFERROR(((K33/$K$11)*$F$11)/(F33+I33),0)+IFERROR(((K33/SUMIF(H:H,"*Boneless*",K:K))*$F$6)/I33,0)</f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>
        <f t="shared" ref="P33:P38" si="7">IFERROR(((K33/SUMIF(H:H,"*Boneless*",K:K))*$F$6),0)</f>
        <v>0</v>
      </c>
      <c r="Q33">
        <f t="shared" ref="Q33:Q38" si="8">SUMIF(H:H,"*Boneless*",K:K)</f>
        <v>0</v>
      </c>
    </row>
    <row r="34" spans="1:17" x14ac:dyDescent="0.35">
      <c r="A34" t="s">
        <v>2159</v>
      </c>
      <c r="B34" s="3">
        <f>_xlfn.IFNA(_xlfn.XLOOKUP(A34,'Price list'!J:J,'Price list'!K:K),0)</f>
        <v>12500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109">
        <f t="shared" si="6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>
        <f t="shared" si="7"/>
        <v>0</v>
      </c>
      <c r="Q34">
        <f t="shared" si="8"/>
        <v>0</v>
      </c>
    </row>
    <row r="35" spans="1:17" x14ac:dyDescent="0.35">
      <c r="A35" t="s">
        <v>3891</v>
      </c>
      <c r="B35" s="3">
        <f>_xlfn.IFNA(_xlfn.XLOOKUP(A35,'Price list'!J:J,'Price list'!K:K),0)</f>
        <v>32000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109">
        <f t="shared" si="6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>
        <f t="shared" si="7"/>
        <v>0</v>
      </c>
      <c r="Q35">
        <f t="shared" si="8"/>
        <v>0</v>
      </c>
    </row>
    <row r="36" spans="1:17" x14ac:dyDescent="0.35">
      <c r="A36" t="s">
        <v>2179</v>
      </c>
      <c r="B36" s="3">
        <f>_xlfn.IFNA(_xlfn.XLOOKUP(A36,'Price list'!J:J,'Price list'!K:K),0)</f>
        <v>36000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109">
        <f t="shared" si="6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>
        <f t="shared" si="7"/>
        <v>0</v>
      </c>
      <c r="Q36">
        <f t="shared" si="8"/>
        <v>0</v>
      </c>
    </row>
    <row r="37" spans="1:17" x14ac:dyDescent="0.35">
      <c r="A37" t="s">
        <v>3852</v>
      </c>
      <c r="B37" s="3">
        <f>_xlfn.IFNA(_xlfn.XLOOKUP(A37,'Price list'!J:J,'Price list'!K:K),0)</f>
        <v>32000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109">
        <f t="shared" si="6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>
        <f t="shared" si="7"/>
        <v>0</v>
      </c>
      <c r="Q37">
        <f t="shared" si="8"/>
        <v>0</v>
      </c>
    </row>
    <row r="38" spans="1:17" x14ac:dyDescent="0.35">
      <c r="A38" t="s">
        <v>17</v>
      </c>
      <c r="B38" s="3">
        <f>_xlfn.IFNA(_xlfn.XLOOKUP(A38,'Price list'!J:J,'Price list'!K:K),0)</f>
        <v>5000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109">
        <f t="shared" si="6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>
        <f t="shared" si="7"/>
        <v>0</v>
      </c>
      <c r="Q38">
        <f t="shared" si="8"/>
        <v>0</v>
      </c>
    </row>
    <row r="39" spans="1:17" x14ac:dyDescent="0.35">
      <c r="A39" t="s">
        <v>2199</v>
      </c>
      <c r="B39" s="3">
        <f>_xlfn.IFNA(_xlfn.XLOOKUP(A39,'Price list'!J:J,'Price list'!K:K),0)</f>
        <v>35000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ref="L39:L44" si="9">IFERROR(((K39/$K$11)*$F$11)/(F39+I39),0)</f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7" x14ac:dyDescent="0.35">
      <c r="A40" t="s">
        <v>2161</v>
      </c>
      <c r="B40" s="3">
        <f>_xlfn.IFNA(_xlfn.XLOOKUP(A40,'Price list'!J:J,'Price list'!K:K),0)</f>
        <v>24000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9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7" x14ac:dyDescent="0.35">
      <c r="A41" t="s">
        <v>2162</v>
      </c>
      <c r="B41" s="3">
        <f>_xlfn.IFNA(_xlfn.XLOOKUP(A41,'Price list'!J:J,'Price list'!K:K),0)</f>
        <v>9500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3">
        <v>0</v>
      </c>
      <c r="J41" s="26">
        <f t="shared" si="4"/>
        <v>0</v>
      </c>
      <c r="K41" s="3">
        <f t="shared" si="0"/>
        <v>0</v>
      </c>
      <c r="L41" s="27">
        <f t="shared" si="9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7" x14ac:dyDescent="0.35">
      <c r="A42" t="s">
        <v>0</v>
      </c>
      <c r="B42" s="3">
        <f>_xlfn.IFNA(_xlfn.XLOOKUP(A42,'Price list'!J:J,'Price list'!K:K),0)</f>
        <v>16000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3">
        <v>0</v>
      </c>
      <c r="J42" s="26">
        <f t="shared" si="4"/>
        <v>0</v>
      </c>
      <c r="K42" s="3">
        <f t="shared" si="0"/>
        <v>0</v>
      </c>
      <c r="L42" s="27">
        <f t="shared" si="9"/>
        <v>0</v>
      </c>
      <c r="M42" s="3">
        <f t="shared" si="2"/>
        <v>0</v>
      </c>
      <c r="N42" s="3">
        <f t="shared" si="3"/>
        <v>0</v>
      </c>
      <c r="O42" s="3">
        <f t="shared" si="5"/>
        <v>0</v>
      </c>
      <c r="P42" s="3"/>
    </row>
    <row r="43" spans="1:17" x14ac:dyDescent="0.35">
      <c r="A43" t="s">
        <v>24</v>
      </c>
      <c r="B43" s="3">
        <f>_xlfn.IFNA(_xlfn.XLOOKUP(A43,'Price list'!J:J,'Price list'!K:K),0)</f>
        <v>4500</v>
      </c>
      <c r="C43" t="s">
        <v>9</v>
      </c>
      <c r="E43" s="3"/>
      <c r="F43" s="3"/>
      <c r="G43" s="3"/>
      <c r="H43" s="3" t="str">
        <f>IF(G43=0,"",_xlfn.XLOOKUP(G43,List_item!A:A,List_item!B:B))</f>
        <v/>
      </c>
      <c r="I43" s="3">
        <v>0</v>
      </c>
      <c r="J43" s="26">
        <f t="shared" si="4"/>
        <v>0</v>
      </c>
      <c r="K43" s="3">
        <f t="shared" si="0"/>
        <v>0</v>
      </c>
      <c r="L43" s="27">
        <f t="shared" si="9"/>
        <v>0</v>
      </c>
      <c r="M43" s="3">
        <f t="shared" si="2"/>
        <v>0</v>
      </c>
      <c r="N43" s="3">
        <f t="shared" si="3"/>
        <v>0</v>
      </c>
      <c r="O43" s="3">
        <f t="shared" si="5"/>
        <v>0</v>
      </c>
      <c r="P43" s="3"/>
    </row>
    <row r="44" spans="1:17" x14ac:dyDescent="0.35">
      <c r="A44" t="s">
        <v>3893</v>
      </c>
      <c r="B44" s="3">
        <f>_xlfn.IFNA(_xlfn.XLOOKUP(A44,'Price list'!J:J,'Price list'!K:K),0)</f>
        <v>1500</v>
      </c>
      <c r="C44" t="s">
        <v>9</v>
      </c>
      <c r="E44" s="3"/>
      <c r="F44" s="3"/>
      <c r="G44" s="3"/>
      <c r="H44" s="3" t="str">
        <f>IF(G44=0,"",_xlfn.XLOOKUP(G44,List_item!A:A,List_item!B:B))</f>
        <v/>
      </c>
      <c r="I44" s="3">
        <v>0</v>
      </c>
      <c r="J44" s="26">
        <f t="shared" si="4"/>
        <v>0</v>
      </c>
      <c r="K44" s="3">
        <f t="shared" si="0"/>
        <v>0</v>
      </c>
      <c r="L44" s="27">
        <f t="shared" si="9"/>
        <v>0</v>
      </c>
      <c r="M44" s="3">
        <f t="shared" si="2"/>
        <v>0</v>
      </c>
      <c r="N44" s="3">
        <f t="shared" si="3"/>
        <v>0</v>
      </c>
      <c r="O44" s="3">
        <f t="shared" si="5"/>
        <v>0</v>
      </c>
      <c r="P44" s="3" t="s">
        <v>3947</v>
      </c>
    </row>
    <row r="45" spans="1:17" x14ac:dyDescent="0.35">
      <c r="A45" t="s">
        <v>2167</v>
      </c>
      <c r="B45" s="3">
        <f>_xlfn.IFNA(_xlfn.XLOOKUP(A45,'Price list'!J:J,'Price list'!K:K),0)</f>
        <v>22000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109">
        <f>IFERROR(((K45/$K$11)*$F$11)/(F45+I45),0)+IFERROR(((K45/SUMIF(H:H,"*Boneless*",K:K))*$F$6)/I45,0)</f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>
        <f>IFERROR(((K45/SUMIF(H:H,"*Boneless*",K:K))*$F$6),0)</f>
        <v>0</v>
      </c>
      <c r="Q45">
        <f>SUMIF(H:H,"*Boneless*",K:K)</f>
        <v>0</v>
      </c>
    </row>
    <row r="46" spans="1:17" x14ac:dyDescent="0.35">
      <c r="A46" t="s">
        <v>2168</v>
      </c>
      <c r="B46" s="3">
        <f>_xlfn.IFNA(_xlfn.XLOOKUP(A46,'Price list'!J:J,'Price list'!K:K),0)</f>
        <v>16000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ref="L46:L70" si="10">IFERROR(((K46/$K$11)*$F$11)/(F46+I46),0)</f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7" x14ac:dyDescent="0.35">
      <c r="A47" t="s">
        <v>2169</v>
      </c>
      <c r="B47" s="3">
        <f>_xlfn.IFNA(_xlfn.XLOOKUP(A47,'Price list'!J:J,'Price list'!K:K),0)</f>
        <v>5000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10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7" x14ac:dyDescent="0.35">
      <c r="A48" t="s">
        <v>3894</v>
      </c>
      <c r="B48" s="3">
        <f>_xlfn.IFNA(_xlfn.XLOOKUP(A48,'Price list'!J:J,'Price list'!K:K),0)</f>
        <v>4500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0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2170</v>
      </c>
      <c r="B49" s="3">
        <f>_xlfn.IFNA(_xlfn.XLOOKUP(A49,'Price list'!J:J,'Price list'!K:K),0)</f>
        <v>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0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2171</v>
      </c>
      <c r="B50" s="3">
        <f>_xlfn.IFNA(_xlfn.XLOOKUP(A50,'Price list'!J:J,'Price list'!K:K),0)</f>
        <v>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0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3895</v>
      </c>
      <c r="B51" s="3">
        <f>_xlfn.IFNA(_xlfn.XLOOKUP(A51,'Price list'!J:J,'Price list'!K:K),0)</f>
        <v>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10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3896</v>
      </c>
      <c r="B52" s="3">
        <f>_xlfn.IFNA(_xlfn.XLOOKUP(A52,'Price list'!J:J,'Price list'!K:K),0)</f>
        <v>34000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0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3897</v>
      </c>
      <c r="B53" s="3">
        <f>_xlfn.IFNA(_xlfn.XLOOKUP(A53,'Price list'!J:J,'Price list'!K:K),0)</f>
        <v>34000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10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3898</v>
      </c>
      <c r="B54" s="3">
        <f>_xlfn.IFNA(_xlfn.XLOOKUP(A54,'Price list'!J:J,'Price list'!K:K),0)</f>
        <v>34000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0"/>
        <v>0</v>
      </c>
      <c r="L54" s="27">
        <f t="shared" si="10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x14ac:dyDescent="0.35">
      <c r="A55" t="s">
        <v>3899</v>
      </c>
      <c r="B55" s="3">
        <f>_xlfn.IFNA(_xlfn.XLOOKUP(A55,'Price list'!J:J,'Price list'!K:K),0)</f>
        <v>34000</v>
      </c>
      <c r="C55" t="s">
        <v>9</v>
      </c>
      <c r="E55" s="3"/>
      <c r="F55" s="3"/>
      <c r="G55" s="3"/>
      <c r="H55" s="3" t="str">
        <f>IF(G55=0,"",_xlfn.XLOOKUP(G55,List_item!A:A,List_item!B:B))</f>
        <v/>
      </c>
      <c r="I55" s="3">
        <v>0</v>
      </c>
      <c r="J55" s="26">
        <f t="shared" si="4"/>
        <v>0</v>
      </c>
      <c r="K55" s="3">
        <f t="shared" si="0"/>
        <v>0</v>
      </c>
      <c r="L55" s="27">
        <f t="shared" si="10"/>
        <v>0</v>
      </c>
      <c r="M55" s="3">
        <f t="shared" si="2"/>
        <v>0</v>
      </c>
      <c r="N55" s="3">
        <f t="shared" si="3"/>
        <v>0</v>
      </c>
      <c r="O55" s="3">
        <f t="shared" si="5"/>
        <v>0</v>
      </c>
      <c r="P55" s="3"/>
    </row>
    <row r="56" spans="1:16" x14ac:dyDescent="0.35">
      <c r="A56" t="s">
        <v>3900</v>
      </c>
      <c r="B56" s="3">
        <f>_xlfn.IFNA(_xlfn.XLOOKUP(A56,'Price list'!J:J,'Price list'!K:K),0)</f>
        <v>34000</v>
      </c>
      <c r="C56" t="s">
        <v>9</v>
      </c>
      <c r="E56" s="3"/>
      <c r="F56" s="3"/>
      <c r="G56" s="3"/>
      <c r="H56" s="3" t="str">
        <f>IF(G56=0,"",_xlfn.XLOOKUP(G56,List_item!A:A,List_item!B:B))</f>
        <v/>
      </c>
      <c r="I56" s="3">
        <v>0</v>
      </c>
      <c r="J56" s="26">
        <f t="shared" si="4"/>
        <v>0</v>
      </c>
      <c r="K56" s="3">
        <f t="shared" si="0"/>
        <v>0</v>
      </c>
      <c r="L56" s="27">
        <f t="shared" si="10"/>
        <v>0</v>
      </c>
      <c r="M56" s="3">
        <f t="shared" si="2"/>
        <v>0</v>
      </c>
      <c r="N56" s="3">
        <f t="shared" si="3"/>
        <v>0</v>
      </c>
      <c r="O56" s="3">
        <f t="shared" si="5"/>
        <v>0</v>
      </c>
      <c r="P56" s="3"/>
    </row>
    <row r="57" spans="1:16" x14ac:dyDescent="0.35">
      <c r="A57" t="s">
        <v>3901</v>
      </c>
      <c r="B57" s="3">
        <f>_xlfn.IFNA(_xlfn.XLOOKUP(A57,'Price list'!J:J,'Price list'!K:K),0)</f>
        <v>34000</v>
      </c>
      <c r="C57" t="s">
        <v>9</v>
      </c>
      <c r="E57" s="3"/>
      <c r="F57" s="3"/>
      <c r="G57" s="3"/>
      <c r="H57" s="3" t="str">
        <f>IF(G57=0,"",_xlfn.XLOOKUP(G57,List_item!A:A,List_item!B:B))</f>
        <v/>
      </c>
      <c r="I57" s="3">
        <v>0</v>
      </c>
      <c r="J57" s="26">
        <f t="shared" si="4"/>
        <v>0</v>
      </c>
      <c r="K57" s="3">
        <f t="shared" si="0"/>
        <v>0</v>
      </c>
      <c r="L57" s="27">
        <f t="shared" si="10"/>
        <v>0</v>
      </c>
      <c r="M57" s="3">
        <f t="shared" si="2"/>
        <v>0</v>
      </c>
      <c r="N57" s="3">
        <f t="shared" si="3"/>
        <v>0</v>
      </c>
      <c r="O57" s="3">
        <f t="shared" si="5"/>
        <v>0</v>
      </c>
      <c r="P57" s="3"/>
    </row>
    <row r="58" spans="1:16" x14ac:dyDescent="0.35">
      <c r="A58" t="s">
        <v>3902</v>
      </c>
      <c r="B58" s="3">
        <f>_xlfn.IFNA(_xlfn.XLOOKUP(A58,'Price list'!J:J,'Price list'!K:K),0)</f>
        <v>34000</v>
      </c>
      <c r="C58" t="s">
        <v>9</v>
      </c>
      <c r="E58" s="3"/>
      <c r="F58" s="3"/>
      <c r="G58" s="3"/>
      <c r="H58" s="3" t="str">
        <f>IF(G58=0,"",_xlfn.XLOOKUP(G58,List_item!A:A,List_item!B:B))</f>
        <v/>
      </c>
      <c r="I58" s="3">
        <v>0</v>
      </c>
      <c r="J58" s="26">
        <f t="shared" si="4"/>
        <v>0</v>
      </c>
      <c r="K58" s="3">
        <f t="shared" si="0"/>
        <v>0</v>
      </c>
      <c r="L58" s="27">
        <f t="shared" si="10"/>
        <v>0</v>
      </c>
      <c r="M58" s="3">
        <f t="shared" si="2"/>
        <v>0</v>
      </c>
      <c r="N58" s="3">
        <f t="shared" si="3"/>
        <v>0</v>
      </c>
      <c r="O58" s="3">
        <f t="shared" si="5"/>
        <v>0</v>
      </c>
      <c r="P58" s="3"/>
    </row>
    <row r="59" spans="1:16" x14ac:dyDescent="0.35">
      <c r="A59" t="s">
        <v>3903</v>
      </c>
      <c r="B59" s="3">
        <f>_xlfn.IFNA(_xlfn.XLOOKUP(A59,'Price list'!J:J,'Price list'!K:K),0)</f>
        <v>34000</v>
      </c>
      <c r="C59" t="s">
        <v>9</v>
      </c>
      <c r="E59" s="3"/>
      <c r="F59" s="3"/>
      <c r="G59" s="3"/>
      <c r="H59" s="3" t="str">
        <f>IF(G59=0,"",_xlfn.XLOOKUP(G59,List_item!A:A,List_item!B:B))</f>
        <v/>
      </c>
      <c r="I59" s="3">
        <v>0</v>
      </c>
      <c r="J59" s="26">
        <f t="shared" si="4"/>
        <v>0</v>
      </c>
      <c r="K59" s="3">
        <f t="shared" si="0"/>
        <v>0</v>
      </c>
      <c r="L59" s="27">
        <f t="shared" si="10"/>
        <v>0</v>
      </c>
      <c r="M59" s="3">
        <f t="shared" si="2"/>
        <v>0</v>
      </c>
      <c r="N59" s="3">
        <f t="shared" si="3"/>
        <v>0</v>
      </c>
      <c r="O59" s="3">
        <f t="shared" si="5"/>
        <v>0</v>
      </c>
      <c r="P59" s="3"/>
    </row>
    <row r="60" spans="1:16" x14ac:dyDescent="0.35">
      <c r="A60" t="s">
        <v>3904</v>
      </c>
      <c r="B60" s="3">
        <f>_xlfn.IFNA(_xlfn.XLOOKUP(A60,'Price list'!J:J,'Price list'!K:K),0)</f>
        <v>34000</v>
      </c>
      <c r="C60" t="s">
        <v>9</v>
      </c>
      <c r="E60" s="3"/>
      <c r="F60" s="3"/>
      <c r="G60" s="3"/>
      <c r="H60" s="3" t="str">
        <f>IF(G60=0,"",_xlfn.XLOOKUP(G60,List_item!A:A,List_item!B:B))</f>
        <v/>
      </c>
      <c r="I60" s="3">
        <v>0</v>
      </c>
      <c r="J60" s="26">
        <f t="shared" si="4"/>
        <v>0</v>
      </c>
      <c r="K60" s="3">
        <f t="shared" si="0"/>
        <v>0</v>
      </c>
      <c r="L60" s="27">
        <f t="shared" si="10"/>
        <v>0</v>
      </c>
      <c r="M60" s="3">
        <f t="shared" si="2"/>
        <v>0</v>
      </c>
      <c r="N60" s="3">
        <f t="shared" si="3"/>
        <v>0</v>
      </c>
      <c r="O60" s="3">
        <f t="shared" si="5"/>
        <v>0</v>
      </c>
      <c r="P60" s="3"/>
    </row>
    <row r="61" spans="1:16" x14ac:dyDescent="0.35">
      <c r="A61" t="s">
        <v>3905</v>
      </c>
      <c r="B61" s="3">
        <f>_xlfn.IFNA(_xlfn.XLOOKUP(A61,'Price list'!J:J,'Price list'!K:K),0)</f>
        <v>34000</v>
      </c>
      <c r="C61" t="s">
        <v>9</v>
      </c>
      <c r="E61" s="3"/>
      <c r="F61" s="3"/>
      <c r="G61" s="3"/>
      <c r="H61" s="3" t="str">
        <f>IF(G61=0,"",_xlfn.XLOOKUP(G61,List_item!A:A,List_item!B:B))</f>
        <v/>
      </c>
      <c r="I61" s="3">
        <v>0</v>
      </c>
      <c r="J61" s="26">
        <f t="shared" si="4"/>
        <v>0</v>
      </c>
      <c r="K61" s="3">
        <f t="shared" si="0"/>
        <v>0</v>
      </c>
      <c r="L61" s="27">
        <f t="shared" si="10"/>
        <v>0</v>
      </c>
      <c r="M61" s="3">
        <f t="shared" si="2"/>
        <v>0</v>
      </c>
      <c r="N61" s="3">
        <f t="shared" si="3"/>
        <v>0</v>
      </c>
      <c r="O61" s="3">
        <f t="shared" si="5"/>
        <v>0</v>
      </c>
      <c r="P61" s="3"/>
    </row>
    <row r="62" spans="1:16" x14ac:dyDescent="0.35">
      <c r="A62" t="s">
        <v>3906</v>
      </c>
      <c r="B62" s="3">
        <f>_xlfn.IFNA(_xlfn.XLOOKUP(A62,'Price list'!J:J,'Price list'!K:K),0)</f>
        <v>34000</v>
      </c>
      <c r="C62" t="s">
        <v>9</v>
      </c>
      <c r="E62" s="3"/>
      <c r="F62" s="3"/>
      <c r="G62" s="3"/>
      <c r="H62" s="3" t="str">
        <f>IF(G62=0,"",_xlfn.XLOOKUP(G62,List_item!A:A,List_item!B:B))</f>
        <v/>
      </c>
      <c r="I62" s="3">
        <v>0</v>
      </c>
      <c r="J62" s="26">
        <f t="shared" si="4"/>
        <v>0</v>
      </c>
      <c r="K62" s="3">
        <f t="shared" si="0"/>
        <v>0</v>
      </c>
      <c r="L62" s="27">
        <f t="shared" si="10"/>
        <v>0</v>
      </c>
      <c r="M62" s="3">
        <f t="shared" si="2"/>
        <v>0</v>
      </c>
      <c r="N62" s="3">
        <f t="shared" si="3"/>
        <v>0</v>
      </c>
      <c r="O62" s="3">
        <f t="shared" si="5"/>
        <v>0</v>
      </c>
      <c r="P62" s="3"/>
    </row>
    <row r="63" spans="1:16" x14ac:dyDescent="0.35">
      <c r="A63" t="s">
        <v>3907</v>
      </c>
      <c r="B63" s="3">
        <f>_xlfn.IFNA(_xlfn.XLOOKUP(A63,'Price list'!J:J,'Price list'!K:K),0)</f>
        <v>34000</v>
      </c>
      <c r="C63" t="s">
        <v>9</v>
      </c>
      <c r="E63" s="3"/>
      <c r="F63" s="3"/>
      <c r="G63" s="3"/>
      <c r="H63" s="3" t="str">
        <f>IF(G63=0,"",_xlfn.XLOOKUP(G63,List_item!A:A,List_item!B:B))</f>
        <v/>
      </c>
      <c r="I63" s="3">
        <v>0</v>
      </c>
      <c r="J63" s="26">
        <f t="shared" si="4"/>
        <v>0</v>
      </c>
      <c r="K63" s="3">
        <f t="shared" si="0"/>
        <v>0</v>
      </c>
      <c r="L63" s="27">
        <f t="shared" si="10"/>
        <v>0</v>
      </c>
      <c r="M63" s="3">
        <f t="shared" si="2"/>
        <v>0</v>
      </c>
      <c r="N63" s="3">
        <f t="shared" si="3"/>
        <v>0</v>
      </c>
      <c r="O63" s="3">
        <f t="shared" si="5"/>
        <v>0</v>
      </c>
      <c r="P63" s="3"/>
    </row>
    <row r="64" spans="1:16" x14ac:dyDescent="0.35">
      <c r="A64" t="s">
        <v>3908</v>
      </c>
      <c r="B64" s="3">
        <f>_xlfn.IFNA(_xlfn.XLOOKUP(A64,'Price list'!J:J,'Price list'!K:K),0)</f>
        <v>34000</v>
      </c>
      <c r="C64" t="s">
        <v>9</v>
      </c>
      <c r="E64" s="3"/>
      <c r="F64" s="3"/>
      <c r="G64" s="3"/>
      <c r="H64" s="3" t="str">
        <f>IF(G64=0,"",_xlfn.XLOOKUP(G64,List_item!A:A,List_item!B:B))</f>
        <v/>
      </c>
      <c r="I64" s="3">
        <v>0</v>
      </c>
      <c r="J64" s="26">
        <f t="shared" si="4"/>
        <v>0</v>
      </c>
      <c r="K64" s="3">
        <f t="shared" si="0"/>
        <v>0</v>
      </c>
      <c r="L64" s="27">
        <f t="shared" si="10"/>
        <v>0</v>
      </c>
      <c r="M64" s="3">
        <f t="shared" si="2"/>
        <v>0</v>
      </c>
      <c r="N64" s="3">
        <f t="shared" si="3"/>
        <v>0</v>
      </c>
      <c r="O64" s="3">
        <f t="shared" si="5"/>
        <v>0</v>
      </c>
      <c r="P64" s="3"/>
    </row>
    <row r="65" spans="1:17" x14ac:dyDescent="0.35">
      <c r="A65" t="s">
        <v>3909</v>
      </c>
      <c r="B65" s="3">
        <f>_xlfn.IFNA(_xlfn.XLOOKUP(A65,'Price list'!J:J,'Price list'!K:K),0)</f>
        <v>34000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0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7" x14ac:dyDescent="0.35">
      <c r="A66" t="s">
        <v>3945</v>
      </c>
      <c r="B66" s="3">
        <f>_xlfn.IFNA(_xlfn.XLOOKUP(A66,'Price list'!J:J,'Price list'!K:K),0)</f>
        <v>34000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0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7" x14ac:dyDescent="0.35">
      <c r="A67" t="s">
        <v>3911</v>
      </c>
      <c r="B67" s="3">
        <f>_xlfn.IFNA(_xlfn.XLOOKUP(A67,'Price list'!J:J,'Price list'!K:K),0)</f>
        <v>34000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0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7" x14ac:dyDescent="0.35">
      <c r="A68" t="s">
        <v>3912</v>
      </c>
      <c r="B68" s="3">
        <f>_xlfn.IFNA(_xlfn.XLOOKUP(A68,'Price list'!J:J,'Price list'!K:K),0)</f>
        <v>34000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0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7" x14ac:dyDescent="0.35">
      <c r="A69" t="s">
        <v>3913</v>
      </c>
      <c r="B69" s="3">
        <f>_xlfn.IFNA(_xlfn.XLOOKUP(A69,'Price list'!J:J,'Price list'!K:K),0)</f>
        <v>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0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7" x14ac:dyDescent="0.35">
      <c r="A70" t="s">
        <v>3914</v>
      </c>
      <c r="B70" s="3">
        <f>_xlfn.IFNA(_xlfn.XLOOKUP(A70,'Price list'!J:J,'Price list'!K:K),0)</f>
        <v>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0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7" x14ac:dyDescent="0.35">
      <c r="A71" t="s">
        <v>4055</v>
      </c>
      <c r="B71" s="3">
        <f>_xlfn.IFNA(_xlfn.XLOOKUP(A71,'Price list'!J:J,'Price list'!K:K),0)</f>
        <v>45000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109">
        <f>IFERROR(((K71/$K$11)*$F$11)/(F71+I71),0)+IFERROR(((K71/SUMIF(H:H,"*Boneless*",K:K))*$F$6)/I71,0)</f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>
        <f>IFERROR(((K71/SUMIF(H:H,"*Boneless*",K:K))*$F$6),0)</f>
        <v>0</v>
      </c>
      <c r="Q71">
        <f>SUMIF(H:H,"*Boneless*",K:K)</f>
        <v>0</v>
      </c>
    </row>
    <row r="72" spans="1:17" x14ac:dyDescent="0.35">
      <c r="A72" t="s">
        <v>3916</v>
      </c>
      <c r="B72" s="3">
        <f>_xlfn.IFNA(_xlfn.XLOOKUP(A72,'Price list'!J:J,'Price list'!K:K),0)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ref="L72:L80" si="11">IFERROR(((K72/$K$11)*$F$11)/(F72+I72),0)</f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7" x14ac:dyDescent="0.35">
      <c r="A73" t="s">
        <v>4062</v>
      </c>
      <c r="B73" s="3">
        <f>_xlfn.IFNA(_xlfn.XLOOKUP(A73,'Price list'!J:J,'Price list'!K:K),0)</f>
        <v>44000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1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7" x14ac:dyDescent="0.35">
      <c r="A74" t="s">
        <v>3918</v>
      </c>
      <c r="B74" s="3">
        <f>_xlfn.IFNA(_xlfn.XLOOKUP(A74,'Price list'!J:J,'Price list'!K:K),0)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1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7" x14ac:dyDescent="0.35">
      <c r="A75" t="s">
        <v>3919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si="11"/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7" x14ac:dyDescent="0.35">
      <c r="A76" t="s">
        <v>3920</v>
      </c>
      <c r="B76" s="3">
        <f>_xlfn.IFNA(_xlfn.XLOOKUP(A76,'Price list'!J:J,'Price list'!K:K),0)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ref="K76:K81" si="12">+B76*(F76+I76)</f>
        <v>0</v>
      </c>
      <c r="L76" s="27">
        <f t="shared" si="11"/>
        <v>0</v>
      </c>
      <c r="M76" s="3">
        <f t="shared" ref="M76:M81" si="13">+L76*(F76+I76)</f>
        <v>0</v>
      </c>
      <c r="N76" s="3">
        <f t="shared" ref="N76:N81" si="14">IF(L76=0,0,B76-L76)</f>
        <v>0</v>
      </c>
      <c r="O76" s="3">
        <f t="shared" si="5"/>
        <v>0</v>
      </c>
      <c r="P76" s="3"/>
    </row>
    <row r="77" spans="1:17" x14ac:dyDescent="0.35">
      <c r="A77" t="s">
        <v>3921</v>
      </c>
      <c r="B77" s="3">
        <f>_xlfn.IFNA(_xlfn.XLOOKUP(A77,'Price list'!J:J,'Price list'!K:K),0)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ref="J77:J81" si="15">IF(F77/J$5&gt;0,F77/J$5,I77/J$5)</f>
        <v>0</v>
      </c>
      <c r="K77" s="3">
        <f t="shared" si="12"/>
        <v>0</v>
      </c>
      <c r="L77" s="27">
        <f t="shared" si="11"/>
        <v>0</v>
      </c>
      <c r="M77" s="3">
        <f t="shared" si="13"/>
        <v>0</v>
      </c>
      <c r="N77" s="3">
        <f t="shared" si="14"/>
        <v>0</v>
      </c>
      <c r="O77" s="3">
        <f t="shared" ref="O77:O81" si="16">+K77-M77</f>
        <v>0</v>
      </c>
      <c r="P77" s="3"/>
    </row>
    <row r="78" spans="1:17" x14ac:dyDescent="0.35">
      <c r="A78" t="s">
        <v>3922</v>
      </c>
      <c r="B78" s="3">
        <f>_xlfn.IFNA(_xlfn.XLOOKUP(A78,'Price list'!J:J,'Price list'!K:K),0)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15"/>
        <v>0</v>
      </c>
      <c r="K78" s="3">
        <f t="shared" si="12"/>
        <v>0</v>
      </c>
      <c r="L78" s="27">
        <f t="shared" si="11"/>
        <v>0</v>
      </c>
      <c r="M78" s="3">
        <f t="shared" si="13"/>
        <v>0</v>
      </c>
      <c r="N78" s="3">
        <f t="shared" si="14"/>
        <v>0</v>
      </c>
      <c r="O78" s="3">
        <f t="shared" si="16"/>
        <v>0</v>
      </c>
      <c r="P78" s="3"/>
    </row>
    <row r="79" spans="1:17" x14ac:dyDescent="0.35">
      <c r="A79" t="s">
        <v>3923</v>
      </c>
      <c r="B79" s="3">
        <f>_xlfn.IFNA(_xlfn.XLOOKUP(A79,'Price list'!J:J,'Price list'!K:K),0)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15"/>
        <v>0</v>
      </c>
      <c r="K79" s="3">
        <f t="shared" si="12"/>
        <v>0</v>
      </c>
      <c r="L79" s="27">
        <f t="shared" si="11"/>
        <v>0</v>
      </c>
      <c r="M79" s="3">
        <f t="shared" si="13"/>
        <v>0</v>
      </c>
      <c r="N79" s="3">
        <f t="shared" si="14"/>
        <v>0</v>
      </c>
      <c r="O79" s="3">
        <f t="shared" si="16"/>
        <v>0</v>
      </c>
      <c r="P79" s="3"/>
    </row>
    <row r="80" spans="1:17" x14ac:dyDescent="0.35">
      <c r="A80" t="s">
        <v>3924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15"/>
        <v>0</v>
      </c>
      <c r="K80" s="3">
        <f t="shared" si="12"/>
        <v>0</v>
      </c>
      <c r="L80" s="27">
        <f t="shared" si="11"/>
        <v>0</v>
      </c>
      <c r="M80" s="3">
        <f t="shared" si="13"/>
        <v>0</v>
      </c>
      <c r="N80" s="3">
        <f t="shared" si="14"/>
        <v>0</v>
      </c>
      <c r="O80" s="3">
        <f t="shared" si="16"/>
        <v>0</v>
      </c>
      <c r="P80" s="3"/>
    </row>
    <row r="81" spans="1:18" x14ac:dyDescent="0.35">
      <c r="A81" t="s">
        <v>4060</v>
      </c>
      <c r="B81" s="3">
        <f>_xlfn.IFNA(_xlfn.XLOOKUP(A81,'Price list'!J:J,'Price list'!K:K),0)</f>
        <v>36000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15"/>
        <v>0</v>
      </c>
      <c r="K81" s="3">
        <f t="shared" si="12"/>
        <v>0</v>
      </c>
      <c r="L81" s="109">
        <f>IFERROR(((K81/$K$11)*$F$11)/(F81+I81),0)+IFERROR(((K81/SUMIF(H:H,"*Boneless*",K:K))*$F$6)/I81,0)</f>
        <v>0</v>
      </c>
      <c r="M81" s="3">
        <f t="shared" si="13"/>
        <v>0</v>
      </c>
      <c r="N81" s="3">
        <f t="shared" si="14"/>
        <v>0</v>
      </c>
      <c r="O81" s="3">
        <f t="shared" si="16"/>
        <v>0</v>
      </c>
      <c r="P81" s="3">
        <f>IFERROR(((K81/SUMIF(H:H,"*Boneless*",K:K))*$F$6),0)</f>
        <v>0</v>
      </c>
      <c r="Q81">
        <f>SUMIF(H:H,"*Boneless*",K:K)</f>
        <v>0</v>
      </c>
    </row>
    <row r="83" spans="1:18" s="2" customFormat="1" x14ac:dyDescent="0.35">
      <c r="A83" t="s">
        <v>3929</v>
      </c>
      <c r="B83"/>
      <c r="C83"/>
      <c r="D83"/>
      <c r="E83"/>
      <c r="F83" s="117"/>
      <c r="G83" t="s">
        <v>3930</v>
      </c>
      <c r="Q83"/>
      <c r="R83"/>
    </row>
    <row r="84" spans="1:18" s="2" customFormat="1" x14ac:dyDescent="0.35">
      <c r="A84"/>
      <c r="B84"/>
      <c r="C84"/>
      <c r="D84"/>
      <c r="E84"/>
      <c r="F84" s="117"/>
      <c r="G84"/>
      <c r="Q84"/>
      <c r="R84"/>
    </row>
    <row r="85" spans="1:18" s="2" customFormat="1" x14ac:dyDescent="0.35">
      <c r="A85"/>
      <c r="B85"/>
      <c r="C85"/>
      <c r="D85"/>
      <c r="E85"/>
      <c r="F85" s="117"/>
      <c r="G85"/>
      <c r="Q85"/>
      <c r="R85"/>
    </row>
    <row r="86" spans="1:18" s="2" customFormat="1" x14ac:dyDescent="0.35">
      <c r="A86"/>
      <c r="B86"/>
      <c r="C86"/>
      <c r="D86"/>
      <c r="E86"/>
      <c r="F86" s="117"/>
      <c r="G86"/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 s="118"/>
      <c r="B89"/>
      <c r="C89"/>
      <c r="D89"/>
      <c r="E89"/>
      <c r="F89" s="117"/>
      <c r="G89" s="118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</sheetData>
  <autoFilter ref="A11:P81" xr:uid="{9E3D57EB-0D9F-40FE-B4FE-C94EEFF00F8F}"/>
  <conditionalFormatting sqref="O11">
    <cfRule type="cellIs" dxfId="18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65" max="1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C9A2-45BC-4B10-AA90-84834D4EA1A3}">
  <sheetPr>
    <tabColor theme="3"/>
    <pageSetUpPr fitToPage="1"/>
  </sheetPr>
  <dimension ref="A1:R90"/>
  <sheetViews>
    <sheetView zoomScale="80" zoomScaleNormal="80" workbookViewId="0">
      <pane xSplit="3" ySplit="10" topLeftCell="D16" activePane="bottomRight" state="frozen"/>
      <selection activeCell="A751" sqref="A751"/>
      <selection pane="topRight" activeCell="A751" sqref="A751"/>
      <selection pane="bottomLeft" activeCell="A751" sqref="A751"/>
      <selection pane="bottomRight" activeCell="H55" sqref="A55:XFD62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4.6328125" style="2" bestFit="1" customWidth="1"/>
    <col min="10" max="10" width="11.26953125" style="2" bestFit="1" customWidth="1"/>
    <col min="11" max="11" width="17.81640625" style="2" bestFit="1" customWidth="1"/>
    <col min="12" max="12" width="16.36328125" style="2" bestFit="1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+I9/E11</f>
        <v>1.4256428571428572</v>
      </c>
    </row>
    <row r="2" spans="1:18" x14ac:dyDescent="0.35">
      <c r="A2" s="18" t="s">
        <v>3865</v>
      </c>
      <c r="G2" s="19" t="s">
        <v>3943</v>
      </c>
    </row>
    <row r="3" spans="1:18" x14ac:dyDescent="0.35">
      <c r="A3" s="101" t="s">
        <v>3866</v>
      </c>
      <c r="B3" s="2">
        <f>3379.1*25000</f>
        <v>84477500</v>
      </c>
      <c r="C3" s="19"/>
      <c r="G3" s="3" t="s">
        <v>4070</v>
      </c>
      <c r="I3" s="101" t="s">
        <v>3870</v>
      </c>
      <c r="J3" s="2" t="s">
        <v>4069</v>
      </c>
      <c r="Q3" s="25"/>
      <c r="R3" s="2"/>
    </row>
    <row r="4" spans="1:18" x14ac:dyDescent="0.35">
      <c r="A4" s="101" t="s">
        <v>3867</v>
      </c>
      <c r="B4" s="2">
        <f>1*1500000</f>
        <v>1500000</v>
      </c>
      <c r="E4"/>
      <c r="G4" s="2" t="s">
        <v>4071</v>
      </c>
      <c r="I4" s="101" t="s">
        <v>3872</v>
      </c>
      <c r="J4" s="115">
        <v>46290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f>K5*1500</f>
        <v>4774050</v>
      </c>
      <c r="G5" s="2" t="s">
        <v>4072</v>
      </c>
      <c r="I5" s="101" t="s">
        <v>3944</v>
      </c>
      <c r="J5" s="19">
        <v>3379.1</v>
      </c>
      <c r="K5" s="2">
        <v>3182.7</v>
      </c>
      <c r="L5" s="2">
        <f>J5-K5</f>
        <v>196.40000000000009</v>
      </c>
      <c r="M5" s="147">
        <f>L5/J5</f>
        <v>5.8121985143973279E-2</v>
      </c>
    </row>
    <row r="6" spans="1:18" x14ac:dyDescent="0.35">
      <c r="A6" s="102" t="s">
        <v>3869</v>
      </c>
      <c r="B6" s="19">
        <f>SUBTOTAL(9,B3:B5)</f>
        <v>90751550</v>
      </c>
      <c r="E6" s="149" t="s">
        <v>4054</v>
      </c>
      <c r="F6" s="93"/>
      <c r="I6" s="101"/>
      <c r="J6" s="19">
        <f>J5+3307+3364.8+3300+3230.6</f>
        <v>16581.5</v>
      </c>
      <c r="M6" s="147"/>
    </row>
    <row r="7" spans="1:18" x14ac:dyDescent="0.35">
      <c r="B7" s="2">
        <f>B6+F6</f>
        <v>90751550</v>
      </c>
      <c r="Q7" s="25"/>
    </row>
    <row r="8" spans="1:18" ht="4.5" customHeight="1" x14ac:dyDescent="0.35">
      <c r="A8" s="101"/>
    </row>
    <row r="9" spans="1:18" x14ac:dyDescent="0.35">
      <c r="A9" s="8"/>
      <c r="B9" s="19"/>
      <c r="C9" s="18"/>
      <c r="E9" s="18"/>
      <c r="I9" s="2">
        <f>J9+3300.2*2</f>
        <v>9979.5</v>
      </c>
      <c r="J9" s="2">
        <f>J5-J7</f>
        <v>3379.1</v>
      </c>
      <c r="K9" s="19" t="s">
        <v>3931</v>
      </c>
      <c r="L9" s="28">
        <f>SUM(K12:K66)/M11-1</f>
        <v>-5.890417298657713E-2</v>
      </c>
    </row>
    <row r="10" spans="1:18" ht="28.5" customHeight="1" x14ac:dyDescent="0.35">
      <c r="A10" s="112" t="s">
        <v>27</v>
      </c>
      <c r="B10" s="119" t="s">
        <v>3938</v>
      </c>
      <c r="C10" s="112" t="s">
        <v>4</v>
      </c>
      <c r="D10" s="1"/>
      <c r="E10" s="113" t="s">
        <v>28</v>
      </c>
      <c r="F10" s="110" t="s">
        <v>6</v>
      </c>
      <c r="G10" s="110" t="s">
        <v>3937</v>
      </c>
      <c r="H10" s="120" t="s">
        <v>3926</v>
      </c>
      <c r="I10" s="110" t="s">
        <v>3835</v>
      </c>
      <c r="J10" s="119" t="s">
        <v>2177</v>
      </c>
      <c r="K10" s="119" t="s">
        <v>3932</v>
      </c>
      <c r="L10" s="119" t="s">
        <v>3935</v>
      </c>
      <c r="M10" s="120" t="s">
        <v>2173</v>
      </c>
      <c r="N10" s="121" t="s">
        <v>3939</v>
      </c>
      <c r="O10" s="121" t="s">
        <v>3936</v>
      </c>
      <c r="P10" s="110" t="s">
        <v>3826</v>
      </c>
    </row>
    <row r="11" spans="1:18" x14ac:dyDescent="0.35">
      <c r="A11" s="4"/>
      <c r="B11" s="24"/>
      <c r="C11" s="4"/>
      <c r="D11" s="1"/>
      <c r="E11" s="5">
        <v>7000</v>
      </c>
      <c r="F11" s="5">
        <f>+B6</f>
        <v>90751550</v>
      </c>
      <c r="G11" s="5"/>
      <c r="H11" s="5"/>
      <c r="I11" s="5">
        <f>SUM(I12:I83)</f>
        <v>2681.8700000000003</v>
      </c>
      <c r="J11" s="148">
        <f>SUM(J12:J83)</f>
        <v>0.79366399337101579</v>
      </c>
      <c r="K11" s="5">
        <f>SUM(K12:K83)</f>
        <v>85405905</v>
      </c>
      <c r="L11" s="5"/>
      <c r="M11" s="5">
        <f>SUM(M12:M83)</f>
        <v>90751550</v>
      </c>
      <c r="N11" s="5"/>
      <c r="O11" s="5">
        <f>SUM(O12:O83)</f>
        <v>-5345645</v>
      </c>
    </row>
    <row r="12" spans="1:18" x14ac:dyDescent="0.35">
      <c r="A12" t="s">
        <v>3873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>IF(F12/J$5&gt;0,F12/J$5,I12/J$5)</f>
        <v>0</v>
      </c>
      <c r="K12" s="3">
        <f t="shared" ref="K12:K75" si="0">+B12*(F12+I12)</f>
        <v>0</v>
      </c>
      <c r="L12" s="27">
        <f t="shared" ref="L12:L30" si="1">IFERROR(((K12/$K$11)*$F$11)/(F12+I12),0)</f>
        <v>0</v>
      </c>
      <c r="M12" s="3">
        <f t="shared" ref="M12:M75" si="2">+L12*(F12+I12)</f>
        <v>0</v>
      </c>
      <c r="N12" s="3">
        <f t="shared" ref="N12:N75" si="3">IF(L12=0,0,B12-L12)</f>
        <v>0</v>
      </c>
      <c r="O12" s="3">
        <f>+K12-M12</f>
        <v>0</v>
      </c>
      <c r="P12" s="3"/>
    </row>
    <row r="13" spans="1:18" x14ac:dyDescent="0.35">
      <c r="A13" t="s">
        <v>3874</v>
      </c>
      <c r="B13" s="3">
        <f>_xlfn.IFNA(_xlfn.XLOOKUP(A13,'Price list'!J:J,'Price list'!K:K),0)</f>
        <v>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ref="J13:J76" si="4">IF(F13/J$5&gt;0,F13/J$5,I13/J$5)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ref="O13:O76" si="5">+K13-M13</f>
        <v>0</v>
      </c>
      <c r="P13" s="3"/>
      <c r="R13" s="3"/>
    </row>
    <row r="14" spans="1:18" x14ac:dyDescent="0.35">
      <c r="A14" t="s">
        <v>3875</v>
      </c>
      <c r="B14" s="3">
        <f>_xlfn.IFNA(_xlfn.XLOOKUP(A14,'Price list'!J:J,'Price list'!K:K),0)</f>
        <v>37000</v>
      </c>
      <c r="C14" t="s">
        <v>9</v>
      </c>
      <c r="E14" s="3"/>
      <c r="F14" s="3"/>
      <c r="G14" s="3"/>
      <c r="H14" s="3" t="str">
        <f>IF(G14=0,"",_xlfn.XLOOKUP(G14,List_item!A:A,List_item!B:B))</f>
        <v/>
      </c>
      <c r="I14" s="3">
        <v>0</v>
      </c>
      <c r="J14" s="26">
        <f t="shared" si="4"/>
        <v>0</v>
      </c>
      <c r="K14" s="3">
        <f t="shared" si="0"/>
        <v>0</v>
      </c>
      <c r="L14" s="27">
        <f t="shared" si="1"/>
        <v>0</v>
      </c>
      <c r="M14" s="3">
        <f t="shared" si="2"/>
        <v>0</v>
      </c>
      <c r="N14" s="3">
        <f t="shared" si="3"/>
        <v>0</v>
      </c>
      <c r="O14" s="3">
        <f t="shared" si="5"/>
        <v>0</v>
      </c>
      <c r="P14" s="3"/>
    </row>
    <row r="15" spans="1:18" x14ac:dyDescent="0.35">
      <c r="A15" t="s">
        <v>3876</v>
      </c>
      <c r="B15" s="3">
        <f>_xlfn.IFNA(_xlfn.XLOOKUP(A15,'Price list'!J:J,'Price list'!K:K),0)</f>
        <v>37000</v>
      </c>
      <c r="C15" t="s">
        <v>9</v>
      </c>
      <c r="E15" s="3"/>
      <c r="F15" s="3"/>
      <c r="G15" s="3"/>
      <c r="H15" s="3" t="str">
        <f>IF(G15=0,"",_xlfn.XLOOKUP(G15,List_item!A:A,List_item!B:B))</f>
        <v/>
      </c>
      <c r="I15" s="3">
        <v>0</v>
      </c>
      <c r="J15" s="26">
        <f t="shared" si="4"/>
        <v>0</v>
      </c>
      <c r="K15" s="3">
        <f t="shared" si="0"/>
        <v>0</v>
      </c>
      <c r="L15" s="27">
        <f t="shared" si="1"/>
        <v>0</v>
      </c>
      <c r="M15" s="3">
        <f t="shared" si="2"/>
        <v>0</v>
      </c>
      <c r="N15" s="3">
        <f t="shared" si="3"/>
        <v>0</v>
      </c>
      <c r="O15" s="3">
        <f t="shared" si="5"/>
        <v>0</v>
      </c>
      <c r="P15" s="3"/>
    </row>
    <row r="16" spans="1:18" s="186" customFormat="1" x14ac:dyDescent="0.35">
      <c r="A16" s="186" t="s">
        <v>3877</v>
      </c>
      <c r="B16" s="187">
        <f>_xlfn.IFNA(_xlfn.XLOOKUP(A16,'Price list'!J:J,'Price list'!K:K),0)</f>
        <v>37000</v>
      </c>
      <c r="C16" s="186" t="s">
        <v>9</v>
      </c>
      <c r="G16" s="187" t="s">
        <v>2221</v>
      </c>
      <c r="H16" s="187" t="str">
        <f>IF(G16=0,"",_xlfn.XLOOKUP(G16,List_item!A:A,List_item!B:B))</f>
        <v>Karkas Uk 0.7 Karkas Uk 0.7 Frozen Premium</v>
      </c>
      <c r="I16" s="187">
        <v>10.83</v>
      </c>
      <c r="J16" s="189">
        <f t="shared" si="4"/>
        <v>3.2049954129797875E-3</v>
      </c>
      <c r="K16" s="187">
        <f t="shared" si="0"/>
        <v>400710</v>
      </c>
      <c r="L16" s="191">
        <f t="shared" si="1"/>
        <v>39315.868732964074</v>
      </c>
      <c r="M16" s="187">
        <f t="shared" si="2"/>
        <v>425790.85837800091</v>
      </c>
      <c r="N16" s="187">
        <f t="shared" si="3"/>
        <v>-2315.8687329640743</v>
      </c>
      <c r="O16" s="187">
        <f t="shared" si="5"/>
        <v>-25080.858378000907</v>
      </c>
      <c r="P16" s="187"/>
    </row>
    <row r="17" spans="1:17" s="186" customFormat="1" x14ac:dyDescent="0.35">
      <c r="A17" s="186" t="s">
        <v>3878</v>
      </c>
      <c r="B17" s="187">
        <f>_xlfn.IFNA(_xlfn.XLOOKUP(A17,'Price list'!J:J,'Price list'!K:K),0)</f>
        <v>37000</v>
      </c>
      <c r="C17" s="186" t="s">
        <v>9</v>
      </c>
      <c r="E17" s="187"/>
      <c r="G17" s="187" t="s">
        <v>2222</v>
      </c>
      <c r="H17" s="187" t="str">
        <f>IF(G17=0,"",_xlfn.XLOOKUP(G17,List_item!A:A,List_item!B:B))</f>
        <v>Karkas Uk 0.8 Frozen Premium</v>
      </c>
      <c r="I17" s="187">
        <v>62.05</v>
      </c>
      <c r="J17" s="189">
        <f t="shared" si="4"/>
        <v>1.8362877689325558E-2</v>
      </c>
      <c r="K17" s="187">
        <f t="shared" si="0"/>
        <v>2295850</v>
      </c>
      <c r="L17" s="191">
        <f t="shared" si="1"/>
        <v>39315.868732964074</v>
      </c>
      <c r="M17" s="187">
        <f t="shared" si="2"/>
        <v>2439549.6548804208</v>
      </c>
      <c r="N17" s="187">
        <f t="shared" si="3"/>
        <v>-2315.8687329640743</v>
      </c>
      <c r="O17" s="187">
        <f t="shared" si="5"/>
        <v>-143699.65488042077</v>
      </c>
      <c r="P17" s="187"/>
    </row>
    <row r="18" spans="1:17" s="186" customFormat="1" x14ac:dyDescent="0.35">
      <c r="A18" s="186" t="s">
        <v>3879</v>
      </c>
      <c r="B18" s="187">
        <f>_xlfn.IFNA(_xlfn.XLOOKUP(A18,'Price list'!J:J,'Price list'!K:K),0)</f>
        <v>37000</v>
      </c>
      <c r="C18" s="186" t="s">
        <v>9</v>
      </c>
      <c r="E18" s="190"/>
      <c r="G18" s="187" t="s">
        <v>2223</v>
      </c>
      <c r="H18" s="187" t="str">
        <f>IF(G18=0,"",_xlfn.XLOOKUP(G18,List_item!A:A,List_item!B:B))</f>
        <v>Karkas Uk 0.9 Frozen Premium</v>
      </c>
      <c r="I18" s="187">
        <v>230.39</v>
      </c>
      <c r="J18" s="189">
        <f t="shared" si="4"/>
        <v>6.8180876564765763E-2</v>
      </c>
      <c r="K18" s="187">
        <f t="shared" si="0"/>
        <v>8524430</v>
      </c>
      <c r="L18" s="191">
        <f t="shared" si="1"/>
        <v>39315.868732964082</v>
      </c>
      <c r="M18" s="187">
        <f t="shared" si="2"/>
        <v>9057982.9973875936</v>
      </c>
      <c r="N18" s="187">
        <f t="shared" si="3"/>
        <v>-2315.8687329640816</v>
      </c>
      <c r="O18" s="187">
        <f t="shared" si="5"/>
        <v>-533552.99738759361</v>
      </c>
      <c r="P18" s="187"/>
    </row>
    <row r="19" spans="1:17" s="186" customFormat="1" x14ac:dyDescent="0.35">
      <c r="A19" s="186" t="s">
        <v>3880</v>
      </c>
      <c r="B19" s="187">
        <f>_xlfn.IFNA(_xlfn.XLOOKUP(A19,'Price list'!J:J,'Price list'!K:K),0)</f>
        <v>37000</v>
      </c>
      <c r="C19" s="186" t="s">
        <v>9</v>
      </c>
      <c r="E19" s="187"/>
      <c r="F19" s="187"/>
      <c r="G19" s="187" t="s">
        <v>923</v>
      </c>
      <c r="H19" s="187" t="str">
        <f>IF(G19=0,"",_xlfn.XLOOKUP(G19,List_item!A:A,List_item!B:B))</f>
        <v>Karkas Uk 1.0 Karkas Uk 1.0 Frozen Premium</v>
      </c>
      <c r="I19" s="187">
        <v>403.07</v>
      </c>
      <c r="J19" s="189">
        <f t="shared" si="4"/>
        <v>0.11928324109970111</v>
      </c>
      <c r="K19" s="187">
        <f t="shared" si="0"/>
        <v>14913590</v>
      </c>
      <c r="L19" s="191">
        <f t="shared" si="1"/>
        <v>39315.868732964074</v>
      </c>
      <c r="M19" s="187">
        <f t="shared" si="2"/>
        <v>15847047.210195828</v>
      </c>
      <c r="N19" s="187">
        <f t="shared" si="3"/>
        <v>-2315.8687329640743</v>
      </c>
      <c r="O19" s="187">
        <f t="shared" si="5"/>
        <v>-933457.21019582823</v>
      </c>
      <c r="P19" s="187"/>
    </row>
    <row r="20" spans="1:17" s="186" customFormat="1" x14ac:dyDescent="0.35">
      <c r="A20" s="186" t="s">
        <v>3881</v>
      </c>
      <c r="B20" s="187">
        <f>_xlfn.IFNA(_xlfn.XLOOKUP(A20,'Price list'!J:J,'Price list'!K:K),0)</f>
        <v>37000</v>
      </c>
      <c r="C20" s="186" t="s">
        <v>9</v>
      </c>
      <c r="E20" s="187"/>
      <c r="F20" s="187"/>
      <c r="G20" s="187" t="s">
        <v>989</v>
      </c>
      <c r="H20" s="187" t="str">
        <f>IF(G20=0,"",_xlfn.XLOOKUP(G20,List_item!A:A,List_item!B:B))</f>
        <v>Karkas Uk 1.1 Karkas Uk 1.1 Frozen Premium</v>
      </c>
      <c r="I20" s="187">
        <v>443.18</v>
      </c>
      <c r="J20" s="189">
        <f t="shared" si="4"/>
        <v>0.1311532656624545</v>
      </c>
      <c r="K20" s="187">
        <f t="shared" si="0"/>
        <v>16397660</v>
      </c>
      <c r="L20" s="191">
        <f t="shared" si="1"/>
        <v>39315.868732964074</v>
      </c>
      <c r="M20" s="187">
        <f t="shared" si="2"/>
        <v>17424006.705075018</v>
      </c>
      <c r="N20" s="187">
        <f t="shared" si="3"/>
        <v>-2315.8687329640743</v>
      </c>
      <c r="O20" s="187">
        <f t="shared" si="5"/>
        <v>-1026346.7050750181</v>
      </c>
      <c r="P20" s="187"/>
    </row>
    <row r="21" spans="1:17" s="186" customFormat="1" x14ac:dyDescent="0.35">
      <c r="A21" s="186" t="s">
        <v>3882</v>
      </c>
      <c r="B21" s="187">
        <f>_xlfn.IFNA(_xlfn.XLOOKUP(A21,'Price list'!J:J,'Price list'!K:K),0)</f>
        <v>37000</v>
      </c>
      <c r="C21" s="186" t="s">
        <v>9</v>
      </c>
      <c r="E21" s="187"/>
      <c r="F21" s="187"/>
      <c r="G21" s="187" t="s">
        <v>1055</v>
      </c>
      <c r="H21" s="187" t="str">
        <f>IF(G21=0,"",_xlfn.XLOOKUP(G21,List_item!A:A,List_item!B:B))</f>
        <v>Karkas Uk 1.2 Karkas Uk 1.2 Frozen Premium</v>
      </c>
      <c r="I21" s="187">
        <v>251.38</v>
      </c>
      <c r="J21" s="189">
        <f t="shared" si="4"/>
        <v>7.4392589742830931E-2</v>
      </c>
      <c r="K21" s="187">
        <f t="shared" si="0"/>
        <v>9301060</v>
      </c>
      <c r="L21" s="191">
        <f t="shared" si="1"/>
        <v>39315.868732964074</v>
      </c>
      <c r="M21" s="187">
        <f t="shared" si="2"/>
        <v>9883223.0820925087</v>
      </c>
      <c r="N21" s="187">
        <f t="shared" si="3"/>
        <v>-2315.8687329640743</v>
      </c>
      <c r="O21" s="187">
        <f t="shared" si="5"/>
        <v>-582163.08209250867</v>
      </c>
      <c r="P21" s="187"/>
    </row>
    <row r="22" spans="1:17" s="186" customFormat="1" x14ac:dyDescent="0.35">
      <c r="A22" s="186" t="s">
        <v>3883</v>
      </c>
      <c r="B22" s="187">
        <f>_xlfn.IFNA(_xlfn.XLOOKUP(A22,'Price list'!J:J,'Price list'!K:K),0)</f>
        <v>37000</v>
      </c>
      <c r="C22" s="186" t="s">
        <v>9</v>
      </c>
      <c r="E22" s="187"/>
      <c r="F22" s="187"/>
      <c r="G22" s="187" t="s">
        <v>1121</v>
      </c>
      <c r="H22" s="187" t="str">
        <f>IF(G22=0,"",_xlfn.XLOOKUP(G22,List_item!A:A,List_item!B:B))</f>
        <v>Karkas Uk 1.3 Karkas Uk 1.3 Frozen Premium</v>
      </c>
      <c r="I22" s="187">
        <v>105.31</v>
      </c>
      <c r="J22" s="189">
        <f t="shared" si="4"/>
        <v>3.1165103133970584E-2</v>
      </c>
      <c r="K22" s="187">
        <f t="shared" si="0"/>
        <v>3896470</v>
      </c>
      <c r="L22" s="191">
        <f t="shared" si="1"/>
        <v>39315.868732964067</v>
      </c>
      <c r="M22" s="187">
        <f t="shared" si="2"/>
        <v>4140354.1362684458</v>
      </c>
      <c r="N22" s="187">
        <f t="shared" si="3"/>
        <v>-2315.868732964067</v>
      </c>
      <c r="O22" s="187">
        <f t="shared" si="5"/>
        <v>-243884.13626844576</v>
      </c>
      <c r="P22" s="187"/>
    </row>
    <row r="23" spans="1:17" s="186" customFormat="1" x14ac:dyDescent="0.35">
      <c r="A23" s="186" t="s">
        <v>3884</v>
      </c>
      <c r="B23" s="187">
        <f>_xlfn.IFNA(_xlfn.XLOOKUP(A23,'Price list'!J:J,'Price list'!K:K),0)</f>
        <v>37000</v>
      </c>
      <c r="C23" s="186" t="s">
        <v>9</v>
      </c>
      <c r="E23" s="187"/>
      <c r="F23" s="187"/>
      <c r="G23" s="187" t="s">
        <v>1187</v>
      </c>
      <c r="H23" s="187" t="str">
        <f>IF(G23=0,"",_xlfn.XLOOKUP(G23,List_item!A:A,List_item!B:B))</f>
        <v>Karkas Uk 1.4 Karkas Uk 1.4 Frozen Premium</v>
      </c>
      <c r="I23" s="187">
        <v>9.24</v>
      </c>
      <c r="J23" s="189">
        <f t="shared" si="4"/>
        <v>2.7344559202154423E-3</v>
      </c>
      <c r="K23" s="187">
        <f t="shared" si="0"/>
        <v>341880</v>
      </c>
      <c r="L23" s="191">
        <f t="shared" si="1"/>
        <v>39315.868732964074</v>
      </c>
      <c r="M23" s="187">
        <f t="shared" si="2"/>
        <v>363278.62709258805</v>
      </c>
      <c r="N23" s="187">
        <f t="shared" si="3"/>
        <v>-2315.8687329640743</v>
      </c>
      <c r="O23" s="187">
        <f t="shared" si="5"/>
        <v>-21398.627092588053</v>
      </c>
      <c r="P23" s="187"/>
    </row>
    <row r="24" spans="1:17" x14ac:dyDescent="0.35">
      <c r="A24" t="s">
        <v>3849</v>
      </c>
      <c r="B24" s="3">
        <f>_xlfn.IFNA(_xlfn.XLOOKUP(A24,'Price list'!J:J,'Price list'!K:K),0)</f>
        <v>37000</v>
      </c>
      <c r="C24" t="s">
        <v>9</v>
      </c>
      <c r="E24" s="3"/>
      <c r="F24" s="3"/>
      <c r="G24" s="3"/>
      <c r="H24" s="3" t="str">
        <f>IF(G24=0,"",_xlfn.XLOOKUP(G24,List_item!A:A,List_item!B:B))</f>
        <v/>
      </c>
      <c r="I24" s="3">
        <v>0</v>
      </c>
      <c r="J24" s="26">
        <f t="shared" si="4"/>
        <v>0</v>
      </c>
      <c r="K24" s="3">
        <f t="shared" si="0"/>
        <v>0</v>
      </c>
      <c r="L24" s="27">
        <f t="shared" si="1"/>
        <v>0</v>
      </c>
      <c r="M24" s="3">
        <f t="shared" si="2"/>
        <v>0</v>
      </c>
      <c r="N24" s="3">
        <f t="shared" si="3"/>
        <v>0</v>
      </c>
      <c r="O24" s="3">
        <f t="shared" si="5"/>
        <v>0</v>
      </c>
      <c r="P24" s="3"/>
    </row>
    <row r="25" spans="1:17" x14ac:dyDescent="0.35">
      <c r="A25" t="s">
        <v>3885</v>
      </c>
      <c r="B25" s="3">
        <f>_xlfn.IFNA(_xlfn.XLOOKUP(A25,'Price list'!J:J,'Price list'!K:K),0)</f>
        <v>37000</v>
      </c>
      <c r="C25" t="s">
        <v>9</v>
      </c>
      <c r="E25" s="3"/>
      <c r="F25" s="3"/>
      <c r="G25" s="3"/>
      <c r="H25" s="3" t="str">
        <f>IF(G25=0,"",_xlfn.XLOOKUP(G25,List_item!A:A,List_item!B:B))</f>
        <v/>
      </c>
      <c r="I25" s="3">
        <v>0</v>
      </c>
      <c r="J25" s="26">
        <f t="shared" si="4"/>
        <v>0</v>
      </c>
      <c r="K25" s="3">
        <f t="shared" si="0"/>
        <v>0</v>
      </c>
      <c r="L25" s="27">
        <f t="shared" si="1"/>
        <v>0</v>
      </c>
      <c r="M25" s="3">
        <f t="shared" si="2"/>
        <v>0</v>
      </c>
      <c r="N25" s="3">
        <f t="shared" si="3"/>
        <v>0</v>
      </c>
      <c r="O25" s="3">
        <f t="shared" si="5"/>
        <v>0</v>
      </c>
      <c r="P25" s="3"/>
    </row>
    <row r="26" spans="1:17" x14ac:dyDescent="0.35">
      <c r="A26" t="s">
        <v>3886</v>
      </c>
      <c r="B26" s="3">
        <f>_xlfn.IFNA(_xlfn.XLOOKUP(A26,'Price list'!J:J,'Price list'!K:K),0)</f>
        <v>37000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3">
        <v>0</v>
      </c>
      <c r="J26" s="26">
        <f t="shared" si="4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7" x14ac:dyDescent="0.35">
      <c r="A27" t="s">
        <v>3887</v>
      </c>
      <c r="B27" s="3">
        <f>_xlfn.IFNA(_xlfn.XLOOKUP(A27,'Price list'!J:J,'Price list'!K:K),0)</f>
        <v>37000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7" x14ac:dyDescent="0.35">
      <c r="A28" t="s">
        <v>3888</v>
      </c>
      <c r="B28" s="3">
        <f>_xlfn.IFNA(_xlfn.XLOOKUP(A28,'Price list'!J:J,'Price list'!K:K),0)</f>
        <v>37000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7" x14ac:dyDescent="0.35">
      <c r="A29" t="s">
        <v>3889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7" x14ac:dyDescent="0.35">
      <c r="A30" t="s">
        <v>3890</v>
      </c>
      <c r="B30" s="3">
        <f>_xlfn.IFNA(_xlfn.XLOOKUP(A30,'Price list'!J:J,'Price list'!K:K),0)</f>
        <v>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7" x14ac:dyDescent="0.35">
      <c r="A31" t="s">
        <v>8</v>
      </c>
      <c r="B31" s="3">
        <f>_xlfn.IFNA(_xlfn.XLOOKUP(A31,'Price list'!J:J,'Price list'!K:K),0)</f>
        <v>50000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109">
        <f>IFERROR(((K31/$K$11)*$F$11)/(F31+I31),0)+IFERROR(((K31/SUMIF(H:H,"*Boneless*",K:K))*$F$6)/I31,0)</f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>
        <f>IFERROR(((K31/SUMIF(H:H,"*Boneless*",K:K))*$F$6),0)</f>
        <v>0</v>
      </c>
      <c r="Q31">
        <f>SUMIF(H:H,"*Boneless*",K:K)</f>
        <v>3763875</v>
      </c>
    </row>
    <row r="32" spans="1:17" x14ac:dyDescent="0.35">
      <c r="A32" t="s">
        <v>10</v>
      </c>
      <c r="B32" s="3">
        <f>_xlfn.IFNA(_xlfn.XLOOKUP(A32,'Price list'!J:J,'Price list'!K:K),0)</f>
        <v>48000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>IFERROR(((K32/$K$11)*$F$11)/(F32+I32),0)</f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7" x14ac:dyDescent="0.35">
      <c r="A33" t="s">
        <v>12</v>
      </c>
      <c r="B33" s="3">
        <f>_xlfn.IFNA(_xlfn.XLOOKUP(A33,'Price list'!J:J,'Price list'!K:K),0)</f>
        <v>49000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109">
        <f t="shared" ref="L33:L38" si="6">IFERROR(((K33/$K$11)*$F$11)/(F33+I33),0)+IFERROR(((K33/SUMIF(H:H,"*Boneless*",K:K))*$F$6)/I33,0)</f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>
        <f t="shared" ref="P33:P38" si="7">IFERROR(((K33/SUMIF(H:H,"*Boneless*",K:K))*$F$6),0)</f>
        <v>0</v>
      </c>
      <c r="Q33">
        <f t="shared" ref="Q33:Q38" si="8">SUMIF(H:H,"*Boneless*",K:K)</f>
        <v>3763875</v>
      </c>
    </row>
    <row r="34" spans="1:17" x14ac:dyDescent="0.35">
      <c r="A34" t="s">
        <v>2159</v>
      </c>
      <c r="B34" s="3">
        <f>_xlfn.IFNA(_xlfn.XLOOKUP(A34,'Price list'!J:J,'Price list'!K:K),0)</f>
        <v>12500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109">
        <f t="shared" si="6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>
        <f t="shared" si="7"/>
        <v>0</v>
      </c>
      <c r="Q34">
        <f t="shared" si="8"/>
        <v>3763875</v>
      </c>
    </row>
    <row r="35" spans="1:17" x14ac:dyDescent="0.35">
      <c r="A35" t="s">
        <v>3891</v>
      </c>
      <c r="B35" s="3">
        <f>_xlfn.IFNA(_xlfn.XLOOKUP(A35,'Price list'!J:J,'Price list'!K:K),0)</f>
        <v>32000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109">
        <f t="shared" si="6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>
        <f t="shared" si="7"/>
        <v>0</v>
      </c>
      <c r="Q35">
        <f t="shared" si="8"/>
        <v>3763875</v>
      </c>
    </row>
    <row r="36" spans="1:17" x14ac:dyDescent="0.35">
      <c r="A36" t="s">
        <v>2179</v>
      </c>
      <c r="B36" s="3">
        <f>_xlfn.IFNA(_xlfn.XLOOKUP(A36,'Price list'!J:J,'Price list'!K:K),0)</f>
        <v>36000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109">
        <f t="shared" si="6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>
        <f t="shared" si="7"/>
        <v>0</v>
      </c>
      <c r="Q36">
        <f t="shared" si="8"/>
        <v>3763875</v>
      </c>
    </row>
    <row r="37" spans="1:17" x14ac:dyDescent="0.35">
      <c r="A37" t="s">
        <v>3852</v>
      </c>
      <c r="B37" s="3">
        <f>_xlfn.IFNA(_xlfn.XLOOKUP(A37,'Price list'!J:J,'Price list'!K:K),0)</f>
        <v>32000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109">
        <f t="shared" si="6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>
        <f t="shared" si="7"/>
        <v>0</v>
      </c>
      <c r="Q37">
        <f t="shared" si="8"/>
        <v>3763875</v>
      </c>
    </row>
    <row r="38" spans="1:17" x14ac:dyDescent="0.35">
      <c r="A38" t="s">
        <v>17</v>
      </c>
      <c r="B38" s="3">
        <f>_xlfn.IFNA(_xlfn.XLOOKUP(A38,'Price list'!J:J,'Price list'!K:K),0)</f>
        <v>5000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109">
        <f t="shared" si="6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>
        <f t="shared" si="7"/>
        <v>0</v>
      </c>
      <c r="Q38">
        <f t="shared" si="8"/>
        <v>3763875</v>
      </c>
    </row>
    <row r="39" spans="1:17" x14ac:dyDescent="0.35">
      <c r="A39" t="s">
        <v>2199</v>
      </c>
      <c r="B39" s="3">
        <f>_xlfn.IFNA(_xlfn.XLOOKUP(A39,'Price list'!J:J,'Price list'!K:K),0)</f>
        <v>35000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ref="L39:L44" si="9">IFERROR(((K39/$K$11)*$F$11)/(F39+I39),0)</f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7" x14ac:dyDescent="0.35">
      <c r="A40" t="s">
        <v>2161</v>
      </c>
      <c r="B40" s="3">
        <f>_xlfn.IFNA(_xlfn.XLOOKUP(A40,'Price list'!J:J,'Price list'!K:K),0)</f>
        <v>24000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9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7" s="186" customFormat="1" x14ac:dyDescent="0.35">
      <c r="A41" s="186" t="s">
        <v>2162</v>
      </c>
      <c r="B41" s="187">
        <f>_xlfn.IFNA(_xlfn.XLOOKUP(A41,'Price list'!J:J,'Price list'!K:K),0)</f>
        <v>9500</v>
      </c>
      <c r="C41" s="186" t="s">
        <v>9</v>
      </c>
      <c r="E41" s="187"/>
      <c r="F41" s="187"/>
      <c r="G41" s="187" t="s">
        <v>310</v>
      </c>
      <c r="H41" s="187" t="str">
        <f>IF(G41=0,"",_xlfn.XLOOKUP(G41,List_item!A:A,List_item!B:B))</f>
        <v>Boneless BL Frozen Kepala</v>
      </c>
      <c r="I41" s="187">
        <v>142.5</v>
      </c>
      <c r="J41" s="189">
        <f t="shared" si="4"/>
        <v>4.217099227604984E-2</v>
      </c>
      <c r="K41" s="187">
        <f t="shared" si="0"/>
        <v>1353750</v>
      </c>
      <c r="L41" s="191">
        <f t="shared" si="9"/>
        <v>10094.614944950235</v>
      </c>
      <c r="M41" s="187">
        <f t="shared" si="2"/>
        <v>1438482.6296554084</v>
      </c>
      <c r="N41" s="187">
        <f t="shared" si="3"/>
        <v>-594.61494495023544</v>
      </c>
      <c r="O41" s="187">
        <f t="shared" si="5"/>
        <v>-84732.62965540844</v>
      </c>
      <c r="P41" s="187"/>
    </row>
    <row r="42" spans="1:17" s="186" customFormat="1" x14ac:dyDescent="0.35">
      <c r="A42" s="186" t="s">
        <v>0</v>
      </c>
      <c r="B42" s="187">
        <f>_xlfn.IFNA(_xlfn.XLOOKUP(A42,'Price list'!J:J,'Price list'!K:K),0)</f>
        <v>16000</v>
      </c>
      <c r="C42" s="186" t="s">
        <v>9</v>
      </c>
      <c r="E42" s="187"/>
      <c r="F42" s="187"/>
      <c r="G42" s="187" t="s">
        <v>22</v>
      </c>
      <c r="H42" s="187" t="str">
        <f>IF(G42=0,"",_xlfn.XLOOKUP(G42,List_item!A:A,List_item!B:B))</f>
        <v>Boneless BL Frozen Ceker</v>
      </c>
      <c r="I42" s="187">
        <v>103.2</v>
      </c>
      <c r="J42" s="189">
        <f t="shared" si="4"/>
        <v>3.0540676511497146E-2</v>
      </c>
      <c r="K42" s="187">
        <f t="shared" si="0"/>
        <v>1651200</v>
      </c>
      <c r="L42" s="191">
        <f t="shared" si="9"/>
        <v>17001.456749389868</v>
      </c>
      <c r="M42" s="187">
        <f t="shared" si="2"/>
        <v>1754550.3365370345</v>
      </c>
      <c r="N42" s="187">
        <f t="shared" si="3"/>
        <v>-1001.4567493898685</v>
      </c>
      <c r="O42" s="187">
        <f t="shared" si="5"/>
        <v>-103350.33653703448</v>
      </c>
      <c r="P42" s="187"/>
    </row>
    <row r="43" spans="1:17" s="186" customFormat="1" x14ac:dyDescent="0.35">
      <c r="A43" s="186" t="s">
        <v>24</v>
      </c>
      <c r="B43" s="187">
        <f>_xlfn.IFNA(_xlfn.XLOOKUP(A43,'Price list'!J:J,'Price list'!K:K),0)</f>
        <v>4500</v>
      </c>
      <c r="C43" s="186" t="s">
        <v>9</v>
      </c>
      <c r="E43" s="187"/>
      <c r="F43" s="187"/>
      <c r="G43" s="187" t="s">
        <v>286</v>
      </c>
      <c r="H43" s="187" t="str">
        <f>IF(G43=0,"",_xlfn.XLOOKUP(G43,List_item!A:A,List_item!B:B))</f>
        <v>Boneless BL Frozen HJA</v>
      </c>
      <c r="I43" s="187">
        <v>168.65</v>
      </c>
      <c r="J43" s="189">
        <f t="shared" si="4"/>
        <v>4.9909739279689863E-2</v>
      </c>
      <c r="K43" s="187">
        <f t="shared" si="0"/>
        <v>758925</v>
      </c>
      <c r="L43" s="191">
        <f t="shared" si="9"/>
        <v>4781.6597107659009</v>
      </c>
      <c r="M43" s="187">
        <f t="shared" si="2"/>
        <v>806426.91022066923</v>
      </c>
      <c r="N43" s="187">
        <f t="shared" si="3"/>
        <v>-281.65971076590085</v>
      </c>
      <c r="O43" s="187">
        <f t="shared" si="5"/>
        <v>-47501.910220669233</v>
      </c>
      <c r="P43" s="187"/>
    </row>
    <row r="44" spans="1:17" x14ac:dyDescent="0.35">
      <c r="A44" t="s">
        <v>3893</v>
      </c>
      <c r="B44" s="3">
        <f>_xlfn.IFNA(_xlfn.XLOOKUP(A44,'Price list'!J:J,'Price list'!K:K),0)</f>
        <v>1500</v>
      </c>
      <c r="C44" t="s">
        <v>9</v>
      </c>
      <c r="E44" s="3"/>
      <c r="F44" s="3"/>
      <c r="G44" s="3"/>
      <c r="H44" s="3" t="str">
        <f>IF(G44=0,"",_xlfn.XLOOKUP(G44,List_item!A:A,List_item!B:B))</f>
        <v/>
      </c>
      <c r="I44" s="3">
        <v>0</v>
      </c>
      <c r="J44" s="26">
        <f t="shared" si="4"/>
        <v>0</v>
      </c>
      <c r="K44" s="3">
        <f t="shared" si="0"/>
        <v>0</v>
      </c>
      <c r="L44" s="27">
        <f t="shared" si="9"/>
        <v>0</v>
      </c>
      <c r="M44" s="3">
        <f t="shared" si="2"/>
        <v>0</v>
      </c>
      <c r="N44" s="3">
        <f t="shared" si="3"/>
        <v>0</v>
      </c>
      <c r="O44" s="3">
        <f t="shared" si="5"/>
        <v>0</v>
      </c>
      <c r="P44" s="3" t="s">
        <v>3947</v>
      </c>
    </row>
    <row r="45" spans="1:17" x14ac:dyDescent="0.35">
      <c r="A45" t="s">
        <v>2167</v>
      </c>
      <c r="B45" s="3">
        <f>_xlfn.IFNA(_xlfn.XLOOKUP(A45,'Price list'!J:J,'Price list'!K:K),0)</f>
        <v>22000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109">
        <f>IFERROR(((K45/$K$11)*$F$11)/(F45+I45),0)+IFERROR(((K45/SUMIF(H:H,"*Boneless*",K:K))*$F$6)/I45,0)</f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>
        <f>IFERROR(((K45/SUMIF(H:H,"*Boneless*",K:K))*$F$6),0)</f>
        <v>0</v>
      </c>
      <c r="Q45">
        <f>SUMIF(H:H,"*Boneless*",K:K)</f>
        <v>3763875</v>
      </c>
    </row>
    <row r="46" spans="1:17" x14ac:dyDescent="0.35">
      <c r="A46" t="s">
        <v>2168</v>
      </c>
      <c r="B46" s="3">
        <f>_xlfn.IFNA(_xlfn.XLOOKUP(A46,'Price list'!J:J,'Price list'!K:K),0)</f>
        <v>16000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ref="L46:L70" si="10">IFERROR(((K46/$K$11)*$F$11)/(F46+I46),0)</f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7" x14ac:dyDescent="0.35">
      <c r="A47" t="s">
        <v>2169</v>
      </c>
      <c r="B47" s="3">
        <f>_xlfn.IFNA(_xlfn.XLOOKUP(A47,'Price list'!J:J,'Price list'!K:K),0)</f>
        <v>5000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10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7" x14ac:dyDescent="0.35">
      <c r="A48" t="s">
        <v>3894</v>
      </c>
      <c r="B48" s="3">
        <f>_xlfn.IFNA(_xlfn.XLOOKUP(A48,'Price list'!J:J,'Price list'!K:K),0)</f>
        <v>4500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0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2170</v>
      </c>
      <c r="B49" s="3">
        <f>_xlfn.IFNA(_xlfn.XLOOKUP(A49,'Price list'!J:J,'Price list'!K:K),0)</f>
        <v>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0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2171</v>
      </c>
      <c r="B50" s="3">
        <f>_xlfn.IFNA(_xlfn.XLOOKUP(A50,'Price list'!J:J,'Price list'!K:K),0)</f>
        <v>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0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3895</v>
      </c>
      <c r="B51" s="3">
        <f>_xlfn.IFNA(_xlfn.XLOOKUP(A51,'Price list'!J:J,'Price list'!K:K),0)</f>
        <v>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10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3896</v>
      </c>
      <c r="B52" s="3">
        <f>_xlfn.IFNA(_xlfn.XLOOKUP(A52,'Price list'!J:J,'Price list'!K:K),0)</f>
        <v>34000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0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3897</v>
      </c>
      <c r="B53" s="3">
        <f>_xlfn.IFNA(_xlfn.XLOOKUP(A53,'Price list'!J:J,'Price list'!K:K),0)</f>
        <v>34000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10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3898</v>
      </c>
      <c r="B54" s="3">
        <f>_xlfn.IFNA(_xlfn.XLOOKUP(A54,'Price list'!J:J,'Price list'!K:K),0)</f>
        <v>34000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0"/>
        <v>0</v>
      </c>
      <c r="L54" s="27">
        <f t="shared" si="10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s="186" customFormat="1" x14ac:dyDescent="0.35">
      <c r="A55" s="186" t="s">
        <v>3899</v>
      </c>
      <c r="B55" s="187">
        <f>_xlfn.IFNA(_xlfn.XLOOKUP(A55,'Price list'!J:J,'Price list'!K:K),0)</f>
        <v>34000</v>
      </c>
      <c r="C55" s="186" t="s">
        <v>9</v>
      </c>
      <c r="E55" s="187"/>
      <c r="F55" s="187"/>
      <c r="G55" s="187" t="s">
        <v>701</v>
      </c>
      <c r="H55" s="187" t="str">
        <f>IF(G55=0,"",_xlfn.XLOOKUP(G55,List_item!A:A,List_item!B:B))</f>
        <v>Karkas Uk 0.7 Karkas Uk 0.7 Frozen Grade A</v>
      </c>
      <c r="I55" s="187">
        <v>4.95</v>
      </c>
      <c r="J55" s="189">
        <f t="shared" si="4"/>
        <v>1.4648871001154155E-3</v>
      </c>
      <c r="K55" s="187">
        <f t="shared" si="0"/>
        <v>168300</v>
      </c>
      <c r="L55" s="191">
        <f t="shared" si="10"/>
        <v>36128.095592453472</v>
      </c>
      <c r="M55" s="187">
        <f t="shared" si="2"/>
        <v>178834.0731826447</v>
      </c>
      <c r="N55" s="187">
        <f t="shared" si="3"/>
        <v>-2128.0955924534719</v>
      </c>
      <c r="O55" s="187">
        <f t="shared" si="5"/>
        <v>-10534.073182644701</v>
      </c>
      <c r="P55" s="187"/>
    </row>
    <row r="56" spans="1:16" s="186" customFormat="1" x14ac:dyDescent="0.35">
      <c r="A56" s="186" t="s">
        <v>3900</v>
      </c>
      <c r="B56" s="187">
        <f>_xlfn.IFNA(_xlfn.XLOOKUP(A56,'Price list'!J:J,'Price list'!K:K),0)</f>
        <v>34000</v>
      </c>
      <c r="C56" s="186" t="s">
        <v>9</v>
      </c>
      <c r="E56" s="187"/>
      <c r="F56" s="187"/>
      <c r="G56" s="187" t="s">
        <v>766</v>
      </c>
      <c r="H56" s="187" t="str">
        <f>IF(G56=0,"",_xlfn.XLOOKUP(G56,List_item!A:A,List_item!B:B))</f>
        <v>Karkas Uk 0.8 Karkas Uk 0.8 Frozen Grade A</v>
      </c>
      <c r="I56" s="187">
        <v>20.260000000000002</v>
      </c>
      <c r="J56" s="189">
        <f t="shared" si="4"/>
        <v>5.9956793228966299E-3</v>
      </c>
      <c r="K56" s="187">
        <f t="shared" si="0"/>
        <v>688840</v>
      </c>
      <c r="L56" s="191">
        <f t="shared" si="10"/>
        <v>36128.095592453472</v>
      </c>
      <c r="M56" s="187">
        <f t="shared" si="2"/>
        <v>731955.21670310735</v>
      </c>
      <c r="N56" s="187">
        <f t="shared" si="3"/>
        <v>-2128.0955924534719</v>
      </c>
      <c r="O56" s="187">
        <f t="shared" si="5"/>
        <v>-43115.216703107348</v>
      </c>
      <c r="P56" s="187"/>
    </row>
    <row r="57" spans="1:16" s="186" customFormat="1" x14ac:dyDescent="0.35">
      <c r="A57" s="186" t="s">
        <v>3901</v>
      </c>
      <c r="B57" s="187">
        <f>_xlfn.IFNA(_xlfn.XLOOKUP(A57,'Price list'!J:J,'Price list'!K:K),0)</f>
        <v>34000</v>
      </c>
      <c r="C57" s="186" t="s">
        <v>9</v>
      </c>
      <c r="E57" s="187"/>
      <c r="F57" s="187"/>
      <c r="G57" s="187" t="s">
        <v>831</v>
      </c>
      <c r="H57" s="187" t="str">
        <f>IF(G57=0,"",_xlfn.XLOOKUP(G57,List_item!A:A,List_item!B:B))</f>
        <v>Karkas Uk 0.9 Karkas Uk 0.9 Frozen Grade A</v>
      </c>
      <c r="I57" s="187">
        <v>107.09</v>
      </c>
      <c r="J57" s="189">
        <f t="shared" si="4"/>
        <v>3.169187061643633E-2</v>
      </c>
      <c r="K57" s="187">
        <f t="shared" si="0"/>
        <v>3641060</v>
      </c>
      <c r="L57" s="191">
        <f t="shared" si="10"/>
        <v>36128.095592453472</v>
      </c>
      <c r="M57" s="187">
        <f t="shared" si="2"/>
        <v>3868957.7569958423</v>
      </c>
      <c r="N57" s="187">
        <f t="shared" si="3"/>
        <v>-2128.0955924534719</v>
      </c>
      <c r="O57" s="187">
        <f t="shared" si="5"/>
        <v>-227897.75699584233</v>
      </c>
      <c r="P57" s="187"/>
    </row>
    <row r="58" spans="1:16" s="186" customFormat="1" x14ac:dyDescent="0.35">
      <c r="A58" s="186" t="s">
        <v>3902</v>
      </c>
      <c r="B58" s="187">
        <f>_xlfn.IFNA(_xlfn.XLOOKUP(A58,'Price list'!J:J,'Price list'!K:K),0)</f>
        <v>34000</v>
      </c>
      <c r="C58" s="186" t="s">
        <v>9</v>
      </c>
      <c r="E58" s="187"/>
      <c r="F58" s="187"/>
      <c r="G58" s="187" t="s">
        <v>896</v>
      </c>
      <c r="H58" s="187" t="str">
        <f>IF(G58=0,"",_xlfn.XLOOKUP(G58,List_item!A:A,List_item!B:B))</f>
        <v>Karkas Uk 1.0 Karkas Uk 1.0 Frozen Grade A</v>
      </c>
      <c r="I58" s="187">
        <v>317.86</v>
      </c>
      <c r="J58" s="189">
        <f t="shared" si="4"/>
        <v>9.4066467402562817E-2</v>
      </c>
      <c r="K58" s="187">
        <f t="shared" si="0"/>
        <v>10807240</v>
      </c>
      <c r="L58" s="191">
        <f t="shared" si="10"/>
        <v>36128.095592453472</v>
      </c>
      <c r="M58" s="187">
        <f t="shared" si="2"/>
        <v>11483676.465017261</v>
      </c>
      <c r="N58" s="187">
        <f t="shared" si="3"/>
        <v>-2128.0955924534719</v>
      </c>
      <c r="O58" s="187">
        <f t="shared" si="5"/>
        <v>-676436.46501726098</v>
      </c>
      <c r="P58" s="187"/>
    </row>
    <row r="59" spans="1:16" s="186" customFormat="1" x14ac:dyDescent="0.35">
      <c r="A59" s="186" t="s">
        <v>3903</v>
      </c>
      <c r="B59" s="187">
        <f>_xlfn.IFNA(_xlfn.XLOOKUP(A59,'Price list'!J:J,'Price list'!K:K),0)</f>
        <v>34000</v>
      </c>
      <c r="C59" s="186" t="s">
        <v>9</v>
      </c>
      <c r="E59" s="187"/>
      <c r="F59" s="187"/>
      <c r="G59" s="187" t="s">
        <v>962</v>
      </c>
      <c r="H59" s="187" t="str">
        <f>IF(G59=0,"",_xlfn.XLOOKUP(G59,List_item!A:A,List_item!B:B))</f>
        <v>Karkas Uk 1.1 Karkas Uk 1.1 Frozen Grade A</v>
      </c>
      <c r="I59" s="187">
        <v>121.9</v>
      </c>
      <c r="J59" s="189">
        <f t="shared" si="4"/>
        <v>3.6074694445266495E-2</v>
      </c>
      <c r="K59" s="187">
        <f t="shared" si="0"/>
        <v>4144600</v>
      </c>
      <c r="L59" s="191">
        <f t="shared" si="10"/>
        <v>36128.095592453472</v>
      </c>
      <c r="M59" s="187">
        <f t="shared" si="2"/>
        <v>4404014.8527200781</v>
      </c>
      <c r="N59" s="187">
        <f t="shared" si="3"/>
        <v>-2128.0955924534719</v>
      </c>
      <c r="O59" s="187">
        <f t="shared" si="5"/>
        <v>-259414.85272007808</v>
      </c>
      <c r="P59" s="187"/>
    </row>
    <row r="60" spans="1:16" s="186" customFormat="1" x14ac:dyDescent="0.35">
      <c r="A60" s="186" t="s">
        <v>3904</v>
      </c>
      <c r="B60" s="187">
        <f>_xlfn.IFNA(_xlfn.XLOOKUP(A60,'Price list'!J:J,'Price list'!K:K),0)</f>
        <v>34000</v>
      </c>
      <c r="C60" s="186" t="s">
        <v>9</v>
      </c>
      <c r="E60" s="187"/>
      <c r="F60" s="187"/>
      <c r="G60" s="187" t="s">
        <v>1028</v>
      </c>
      <c r="H60" s="187" t="str">
        <f>IF(G60=0,"",_xlfn.XLOOKUP(G60,List_item!A:A,List_item!B:B))</f>
        <v>Karkas Uk 1.2 Karkas Uk 1.2 Frozen Grade A</v>
      </c>
      <c r="I60" s="187">
        <v>121.24</v>
      </c>
      <c r="J60" s="189">
        <f t="shared" si="4"/>
        <v>3.5879376165251102E-2</v>
      </c>
      <c r="K60" s="187">
        <f t="shared" si="0"/>
        <v>4122160</v>
      </c>
      <c r="L60" s="191">
        <f t="shared" si="10"/>
        <v>36128.095592453479</v>
      </c>
      <c r="M60" s="187">
        <f t="shared" si="2"/>
        <v>4380170.3096290594</v>
      </c>
      <c r="N60" s="187">
        <f t="shared" si="3"/>
        <v>-2128.0955924534792</v>
      </c>
      <c r="O60" s="187">
        <f t="shared" si="5"/>
        <v>-258010.3096290594</v>
      </c>
      <c r="P60" s="187"/>
    </row>
    <row r="61" spans="1:16" s="186" customFormat="1" x14ac:dyDescent="0.35">
      <c r="A61" s="186" t="s">
        <v>3905</v>
      </c>
      <c r="B61" s="187">
        <f>_xlfn.IFNA(_xlfn.XLOOKUP(A61,'Price list'!J:J,'Price list'!K:K),0)</f>
        <v>34000</v>
      </c>
      <c r="C61" s="186" t="s">
        <v>9</v>
      </c>
      <c r="E61" s="187"/>
      <c r="F61" s="187"/>
      <c r="G61" s="187" t="s">
        <v>1094</v>
      </c>
      <c r="H61" s="187" t="str">
        <f>IF(G61=0,"",_xlfn.XLOOKUP(G61,List_item!A:A,List_item!B:B))</f>
        <v>Karkas Uk 1.3 Karkas Uk 1.3 Frozen Grade A</v>
      </c>
      <c r="I61" s="187">
        <v>44.81</v>
      </c>
      <c r="J61" s="189">
        <f t="shared" si="4"/>
        <v>1.3260927465893286E-2</v>
      </c>
      <c r="K61" s="187">
        <f t="shared" si="0"/>
        <v>1523540</v>
      </c>
      <c r="L61" s="191">
        <f t="shared" si="10"/>
        <v>36128.095592453472</v>
      </c>
      <c r="M61" s="187">
        <f t="shared" si="2"/>
        <v>1618899.9634978401</v>
      </c>
      <c r="N61" s="187">
        <f t="shared" si="3"/>
        <v>-2128.0955924534719</v>
      </c>
      <c r="O61" s="187">
        <f t="shared" si="5"/>
        <v>-95359.963497840101</v>
      </c>
      <c r="P61" s="187"/>
    </row>
    <row r="62" spans="1:16" s="186" customFormat="1" x14ac:dyDescent="0.35">
      <c r="A62" s="186" t="s">
        <v>3906</v>
      </c>
      <c r="B62" s="187">
        <f>_xlfn.IFNA(_xlfn.XLOOKUP(A62,'Price list'!J:J,'Price list'!K:K),0)</f>
        <v>34000</v>
      </c>
      <c r="C62" s="186" t="s">
        <v>9</v>
      </c>
      <c r="E62" s="187"/>
      <c r="F62" s="187"/>
      <c r="G62" s="187" t="s">
        <v>1160</v>
      </c>
      <c r="H62" s="187" t="str">
        <f>IF(G62=0,"",_xlfn.XLOOKUP(G62,List_item!A:A,List_item!B:B))</f>
        <v>Karkas Uk 1.4 Karkas Uk 1.4 Frozen Grade A</v>
      </c>
      <c r="I62" s="187">
        <v>13.96</v>
      </c>
      <c r="J62" s="189">
        <f t="shared" si="4"/>
        <v>4.1312775591133737E-3</v>
      </c>
      <c r="K62" s="187">
        <f t="shared" si="0"/>
        <v>474640</v>
      </c>
      <c r="L62" s="191">
        <f t="shared" si="10"/>
        <v>36128.095592453472</v>
      </c>
      <c r="M62" s="187">
        <f t="shared" si="2"/>
        <v>504348.21447065048</v>
      </c>
      <c r="N62" s="187">
        <f t="shared" si="3"/>
        <v>-2128.0955924534719</v>
      </c>
      <c r="O62" s="187">
        <f t="shared" si="5"/>
        <v>-29708.214470650477</v>
      </c>
      <c r="P62" s="187"/>
    </row>
    <row r="63" spans="1:16" x14ac:dyDescent="0.35">
      <c r="A63" t="s">
        <v>3907</v>
      </c>
      <c r="B63" s="3">
        <f>_xlfn.IFNA(_xlfn.XLOOKUP(A63,'Price list'!J:J,'Price list'!K:K),0)</f>
        <v>34000</v>
      </c>
      <c r="C63" t="s">
        <v>9</v>
      </c>
      <c r="E63" s="3"/>
      <c r="F63" s="3"/>
      <c r="G63" s="3"/>
      <c r="H63" s="3" t="str">
        <f>IF(G63=0,"",_xlfn.XLOOKUP(G63,List_item!A:A,List_item!B:B))</f>
        <v/>
      </c>
      <c r="I63" s="3">
        <v>0</v>
      </c>
      <c r="J63" s="26">
        <f t="shared" si="4"/>
        <v>0</v>
      </c>
      <c r="K63" s="3">
        <f t="shared" si="0"/>
        <v>0</v>
      </c>
      <c r="L63" s="27">
        <f t="shared" si="10"/>
        <v>0</v>
      </c>
      <c r="M63" s="3">
        <f t="shared" si="2"/>
        <v>0</v>
      </c>
      <c r="N63" s="3">
        <f t="shared" si="3"/>
        <v>0</v>
      </c>
      <c r="O63" s="3">
        <f t="shared" si="5"/>
        <v>0</v>
      </c>
      <c r="P63" s="3"/>
    </row>
    <row r="64" spans="1:16" x14ac:dyDescent="0.35">
      <c r="A64" t="s">
        <v>3908</v>
      </c>
      <c r="B64" s="3">
        <f>_xlfn.IFNA(_xlfn.XLOOKUP(A64,'Price list'!J:J,'Price list'!K:K),0)</f>
        <v>34000</v>
      </c>
      <c r="C64" t="s">
        <v>9</v>
      </c>
      <c r="E64" s="3"/>
      <c r="F64" s="3"/>
      <c r="G64" s="3"/>
      <c r="H64" s="3" t="str">
        <f>IF(G64=0,"",_xlfn.XLOOKUP(G64,List_item!A:A,List_item!B:B))</f>
        <v/>
      </c>
      <c r="I64" s="3">
        <v>0</v>
      </c>
      <c r="J64" s="26">
        <f t="shared" si="4"/>
        <v>0</v>
      </c>
      <c r="K64" s="3">
        <f t="shared" si="0"/>
        <v>0</v>
      </c>
      <c r="L64" s="27">
        <f t="shared" si="10"/>
        <v>0</v>
      </c>
      <c r="M64" s="3">
        <f t="shared" si="2"/>
        <v>0</v>
      </c>
      <c r="N64" s="3">
        <f t="shared" si="3"/>
        <v>0</v>
      </c>
      <c r="O64" s="3">
        <f t="shared" si="5"/>
        <v>0</v>
      </c>
      <c r="P64" s="3"/>
    </row>
    <row r="65" spans="1:17" x14ac:dyDescent="0.35">
      <c r="A65" t="s">
        <v>3909</v>
      </c>
      <c r="B65" s="3">
        <f>_xlfn.IFNA(_xlfn.XLOOKUP(A65,'Price list'!J:J,'Price list'!K:K),0)</f>
        <v>34000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0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7" x14ac:dyDescent="0.35">
      <c r="A66" t="s">
        <v>3945</v>
      </c>
      <c r="B66" s="3">
        <f>_xlfn.IFNA(_xlfn.XLOOKUP(A66,'Price list'!J:J,'Price list'!K:K),0)</f>
        <v>34000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0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7" x14ac:dyDescent="0.35">
      <c r="A67" t="s">
        <v>3911</v>
      </c>
      <c r="B67" s="3">
        <f>_xlfn.IFNA(_xlfn.XLOOKUP(A67,'Price list'!J:J,'Price list'!K:K),0)</f>
        <v>34000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0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7" x14ac:dyDescent="0.35">
      <c r="A68" t="s">
        <v>3912</v>
      </c>
      <c r="B68" s="3">
        <f>_xlfn.IFNA(_xlfn.XLOOKUP(A68,'Price list'!J:J,'Price list'!K:K),0)</f>
        <v>34000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0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7" x14ac:dyDescent="0.35">
      <c r="A69" t="s">
        <v>3913</v>
      </c>
      <c r="B69" s="3">
        <f>_xlfn.IFNA(_xlfn.XLOOKUP(A69,'Price list'!J:J,'Price list'!K:K),0)</f>
        <v>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0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7" x14ac:dyDescent="0.35">
      <c r="A70" t="s">
        <v>3914</v>
      </c>
      <c r="B70" s="3">
        <f>_xlfn.IFNA(_xlfn.XLOOKUP(A70,'Price list'!J:J,'Price list'!K:K),0)</f>
        <v>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0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7" x14ac:dyDescent="0.35">
      <c r="A71" t="s">
        <v>4055</v>
      </c>
      <c r="B71" s="3">
        <f>_xlfn.IFNA(_xlfn.XLOOKUP(A71,'Price list'!J:J,'Price list'!K:K),0)</f>
        <v>45000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109">
        <f>IFERROR(((K71/$K$11)*$F$11)/(F71+I71),0)+IFERROR(((K71/SUMIF(H:H,"*Boneless*",K:K))*$F$6)/I71,0)</f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>
        <f>IFERROR(((K71/SUMIF(H:H,"*Boneless*",K:K))*$F$6),0)</f>
        <v>0</v>
      </c>
      <c r="Q71">
        <f>SUMIF(H:H,"*Boneless*",K:K)</f>
        <v>3763875</v>
      </c>
    </row>
    <row r="72" spans="1:17" x14ac:dyDescent="0.35">
      <c r="A72" t="s">
        <v>3916</v>
      </c>
      <c r="B72" s="3">
        <f>_xlfn.IFNA(_xlfn.XLOOKUP(A72,'Price list'!J:J,'Price list'!K:K),0)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ref="L72:L80" si="11">IFERROR(((K72/$K$11)*$F$11)/(F72+I72),0)</f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7" x14ac:dyDescent="0.35">
      <c r="A73" t="s">
        <v>4062</v>
      </c>
      <c r="B73" s="3">
        <f>_xlfn.IFNA(_xlfn.XLOOKUP(A73,'Price list'!J:J,'Price list'!K:K),0)</f>
        <v>44000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1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7" x14ac:dyDescent="0.35">
      <c r="A74" t="s">
        <v>3918</v>
      </c>
      <c r="B74" s="3">
        <f>_xlfn.IFNA(_xlfn.XLOOKUP(A74,'Price list'!J:J,'Price list'!K:K),0)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1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7" x14ac:dyDescent="0.35">
      <c r="A75" t="s">
        <v>3919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si="11"/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7" x14ac:dyDescent="0.35">
      <c r="A76" t="s">
        <v>3920</v>
      </c>
      <c r="B76" s="3">
        <f>_xlfn.IFNA(_xlfn.XLOOKUP(A76,'Price list'!J:J,'Price list'!K:K),0)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ref="K76:K81" si="12">+B76*(F76+I76)</f>
        <v>0</v>
      </c>
      <c r="L76" s="27">
        <f t="shared" si="11"/>
        <v>0</v>
      </c>
      <c r="M76" s="3">
        <f t="shared" ref="M76:M81" si="13">+L76*(F76+I76)</f>
        <v>0</v>
      </c>
      <c r="N76" s="3">
        <f t="shared" ref="N76:N81" si="14">IF(L76=0,0,B76-L76)</f>
        <v>0</v>
      </c>
      <c r="O76" s="3">
        <f t="shared" si="5"/>
        <v>0</v>
      </c>
      <c r="P76" s="3"/>
    </row>
    <row r="77" spans="1:17" x14ac:dyDescent="0.35">
      <c r="A77" t="s">
        <v>3921</v>
      </c>
      <c r="B77" s="3">
        <f>_xlfn.IFNA(_xlfn.XLOOKUP(A77,'Price list'!J:J,'Price list'!K:K),0)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ref="J77:J81" si="15">IF(F77/J$5&gt;0,F77/J$5,I77/J$5)</f>
        <v>0</v>
      </c>
      <c r="K77" s="3">
        <f t="shared" si="12"/>
        <v>0</v>
      </c>
      <c r="L77" s="27">
        <f t="shared" si="11"/>
        <v>0</v>
      </c>
      <c r="M77" s="3">
        <f t="shared" si="13"/>
        <v>0</v>
      </c>
      <c r="N77" s="3">
        <f t="shared" si="14"/>
        <v>0</v>
      </c>
      <c r="O77" s="3">
        <f t="shared" ref="O77:O81" si="16">+K77-M77</f>
        <v>0</v>
      </c>
      <c r="P77" s="3"/>
    </row>
    <row r="78" spans="1:17" x14ac:dyDescent="0.35">
      <c r="A78" t="s">
        <v>3922</v>
      </c>
      <c r="B78" s="3">
        <f>_xlfn.IFNA(_xlfn.XLOOKUP(A78,'Price list'!J:J,'Price list'!K:K),0)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15"/>
        <v>0</v>
      </c>
      <c r="K78" s="3">
        <f t="shared" si="12"/>
        <v>0</v>
      </c>
      <c r="L78" s="27">
        <f t="shared" si="11"/>
        <v>0</v>
      </c>
      <c r="M78" s="3">
        <f t="shared" si="13"/>
        <v>0</v>
      </c>
      <c r="N78" s="3">
        <f t="shared" si="14"/>
        <v>0</v>
      </c>
      <c r="O78" s="3">
        <f t="shared" si="16"/>
        <v>0</v>
      </c>
      <c r="P78" s="3"/>
    </row>
    <row r="79" spans="1:17" x14ac:dyDescent="0.35">
      <c r="A79" t="s">
        <v>3923</v>
      </c>
      <c r="B79" s="3">
        <f>_xlfn.IFNA(_xlfn.XLOOKUP(A79,'Price list'!J:J,'Price list'!K:K),0)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15"/>
        <v>0</v>
      </c>
      <c r="K79" s="3">
        <f t="shared" si="12"/>
        <v>0</v>
      </c>
      <c r="L79" s="27">
        <f t="shared" si="11"/>
        <v>0</v>
      </c>
      <c r="M79" s="3">
        <f t="shared" si="13"/>
        <v>0</v>
      </c>
      <c r="N79" s="3">
        <f t="shared" si="14"/>
        <v>0</v>
      </c>
      <c r="O79" s="3">
        <f t="shared" si="16"/>
        <v>0</v>
      </c>
      <c r="P79" s="3"/>
    </row>
    <row r="80" spans="1:17" x14ac:dyDescent="0.35">
      <c r="A80" t="s">
        <v>3924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15"/>
        <v>0</v>
      </c>
      <c r="K80" s="3">
        <f t="shared" si="12"/>
        <v>0</v>
      </c>
      <c r="L80" s="27">
        <f t="shared" si="11"/>
        <v>0</v>
      </c>
      <c r="M80" s="3">
        <f t="shared" si="13"/>
        <v>0</v>
      </c>
      <c r="N80" s="3">
        <f t="shared" si="14"/>
        <v>0</v>
      </c>
      <c r="O80" s="3">
        <f t="shared" si="16"/>
        <v>0</v>
      </c>
      <c r="P80" s="3"/>
    </row>
    <row r="81" spans="1:18" x14ac:dyDescent="0.35">
      <c r="A81" t="s">
        <v>4060</v>
      </c>
      <c r="B81" s="3">
        <f>_xlfn.IFNA(_xlfn.XLOOKUP(A81,'Price list'!J:J,'Price list'!K:K),0)</f>
        <v>36000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15"/>
        <v>0</v>
      </c>
      <c r="K81" s="3">
        <f t="shared" si="12"/>
        <v>0</v>
      </c>
      <c r="L81" s="109">
        <f>IFERROR(((K81/$K$11)*$F$11)/(F81+I81),0)+IFERROR(((K81/SUMIF(H:H,"*Boneless*",K:K))*$F$6)/I81,0)</f>
        <v>0</v>
      </c>
      <c r="M81" s="3">
        <f t="shared" si="13"/>
        <v>0</v>
      </c>
      <c r="N81" s="3">
        <f t="shared" si="14"/>
        <v>0</v>
      </c>
      <c r="O81" s="3">
        <f t="shared" si="16"/>
        <v>0</v>
      </c>
      <c r="P81" s="3">
        <f>IFERROR(((K81/SUMIF(H:H,"*Boneless*",K:K))*$F$6),0)</f>
        <v>0</v>
      </c>
      <c r="Q81">
        <f>SUMIF(H:H,"*Boneless*",K:K)</f>
        <v>3763875</v>
      </c>
    </row>
    <row r="83" spans="1:18" s="2" customFormat="1" x14ac:dyDescent="0.35">
      <c r="A83" t="s">
        <v>3929</v>
      </c>
      <c r="B83"/>
      <c r="C83"/>
      <c r="D83"/>
      <c r="E83"/>
      <c r="F83" s="117"/>
      <c r="G83" t="s">
        <v>3930</v>
      </c>
      <c r="Q83"/>
      <c r="R83"/>
    </row>
    <row r="84" spans="1:18" s="2" customFormat="1" x14ac:dyDescent="0.35">
      <c r="A84"/>
      <c r="B84"/>
      <c r="C84"/>
      <c r="D84"/>
      <c r="E84"/>
      <c r="F84" s="117"/>
      <c r="G84"/>
      <c r="Q84"/>
      <c r="R84"/>
    </row>
    <row r="85" spans="1:18" s="2" customFormat="1" x14ac:dyDescent="0.35">
      <c r="A85"/>
      <c r="B85"/>
      <c r="C85"/>
      <c r="D85"/>
      <c r="E85"/>
      <c r="F85" s="117"/>
      <c r="G85"/>
      <c r="Q85"/>
      <c r="R85"/>
    </row>
    <row r="86" spans="1:18" s="2" customFormat="1" x14ac:dyDescent="0.35">
      <c r="A86"/>
      <c r="B86"/>
      <c r="C86"/>
      <c r="D86"/>
      <c r="E86"/>
      <c r="F86" s="117"/>
      <c r="G86"/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 s="118"/>
      <c r="B89"/>
      <c r="C89"/>
      <c r="D89"/>
      <c r="E89"/>
      <c r="F89" s="117"/>
      <c r="G89" s="118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</sheetData>
  <autoFilter ref="A11:P81" xr:uid="{9E3D57EB-0D9F-40FE-B4FE-C94EEFF00F8F}"/>
  <conditionalFormatting sqref="O11">
    <cfRule type="cellIs" dxfId="17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65" max="1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A43A-09FA-41E2-B24D-28C413DEF837}">
  <sheetPr>
    <tabColor theme="3"/>
    <pageSetUpPr fitToPage="1"/>
  </sheetPr>
  <dimension ref="A1:R93"/>
  <sheetViews>
    <sheetView zoomScale="80" zoomScaleNormal="80" workbookViewId="0">
      <pane xSplit="3" ySplit="10" topLeftCell="D52" activePane="bottomRight" state="frozen"/>
      <selection activeCell="A751" sqref="A751"/>
      <selection pane="topRight" activeCell="A751" sqref="A751"/>
      <selection pane="bottomLeft" activeCell="A751" sqref="A751"/>
      <selection pane="bottomRight" activeCell="H67" sqref="H67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5.36328125" style="2" bestFit="1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4.6328125" style="2" bestFit="1" customWidth="1"/>
    <col min="10" max="10" width="11.26953125" style="2" bestFit="1" customWidth="1"/>
    <col min="11" max="11" width="17.81640625" style="2" bestFit="1" customWidth="1"/>
    <col min="12" max="12" width="16.36328125" style="2" bestFit="1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+I9/E11</f>
        <v>3.2896142857142863</v>
      </c>
    </row>
    <row r="2" spans="1:18" x14ac:dyDescent="0.35">
      <c r="A2" s="18" t="s">
        <v>3865</v>
      </c>
      <c r="F2" s="159">
        <v>46290</v>
      </c>
      <c r="G2" s="19" t="s">
        <v>3943</v>
      </c>
    </row>
    <row r="3" spans="1:18" x14ac:dyDescent="0.35">
      <c r="A3" s="101" t="s">
        <v>3866</v>
      </c>
      <c r="B3" s="2">
        <f>(3307+3364.8+3300+3230.6)*25000+(3224.5*25000)</f>
        <v>410672500</v>
      </c>
      <c r="C3" s="19">
        <f>(3224.5*25000)</f>
        <v>80612500</v>
      </c>
      <c r="E3" s="157"/>
      <c r="F3" s="157" t="s">
        <v>4142</v>
      </c>
      <c r="G3" s="156" t="s">
        <v>4077</v>
      </c>
      <c r="H3" s="157" t="s">
        <v>4141</v>
      </c>
      <c r="I3" s="101" t="s">
        <v>3870</v>
      </c>
      <c r="J3" s="2" t="s">
        <v>4076</v>
      </c>
      <c r="Q3" s="25"/>
      <c r="R3" s="2"/>
    </row>
    <row r="4" spans="1:18" x14ac:dyDescent="0.35">
      <c r="A4" s="101" t="s">
        <v>3867</v>
      </c>
      <c r="B4" s="2">
        <f>5*1500000</f>
        <v>7500000</v>
      </c>
      <c r="E4"/>
      <c r="F4" s="157"/>
      <c r="G4" s="157"/>
      <c r="H4" s="157" t="s">
        <v>4071</v>
      </c>
      <c r="I4" s="101" t="s">
        <v>3872</v>
      </c>
      <c r="J4" s="115">
        <v>46290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f>22492950.48+360360</f>
        <v>22853310.48</v>
      </c>
      <c r="C5" s="2">
        <f>22492950.48+432432</f>
        <v>22925382.48</v>
      </c>
      <c r="E5" s="157"/>
      <c r="F5" s="157">
        <v>330050000</v>
      </c>
      <c r="G5" s="157" t="s">
        <v>4138</v>
      </c>
      <c r="H5" s="157" t="s">
        <v>4078</v>
      </c>
      <c r="I5" s="101" t="s">
        <v>3944</v>
      </c>
      <c r="J5" s="19">
        <f>SUM(I6:I7)</f>
        <v>16426.900000000001</v>
      </c>
      <c r="K5" s="2">
        <v>15604.5</v>
      </c>
      <c r="L5" s="2">
        <f>J5-K5</f>
        <v>822.40000000000146</v>
      </c>
      <c r="M5" s="147">
        <f>L5/J5</f>
        <v>5.0064223925390755E-2</v>
      </c>
      <c r="N5" s="2">
        <f>39+10+16+6+6</f>
        <v>77</v>
      </c>
      <c r="O5" s="2">
        <f>48.4+6.6+16.1+1.4+1.4</f>
        <v>73.900000000000006</v>
      </c>
    </row>
    <row r="6" spans="1:18" x14ac:dyDescent="0.35">
      <c r="A6" s="102" t="s">
        <v>3869</v>
      </c>
      <c r="B6" s="19">
        <f>SUBTOTAL(9,B3:B5)</f>
        <v>441025810.48000002</v>
      </c>
      <c r="E6" s="149" t="s">
        <v>4054</v>
      </c>
      <c r="F6" s="93"/>
      <c r="I6" s="154">
        <f>(3307+3364.8+3300+3230.6)</f>
        <v>13202.4</v>
      </c>
      <c r="J6" s="19"/>
      <c r="M6" s="147"/>
    </row>
    <row r="7" spans="1:18" x14ac:dyDescent="0.35">
      <c r="B7" s="2">
        <f>B6+F6</f>
        <v>441025810.48000002</v>
      </c>
      <c r="I7" s="2">
        <f>3224.5</f>
        <v>3224.5</v>
      </c>
      <c r="Q7" s="25"/>
    </row>
    <row r="8" spans="1:18" ht="4.5" customHeight="1" x14ac:dyDescent="0.35">
      <c r="A8" s="101"/>
    </row>
    <row r="9" spans="1:18" x14ac:dyDescent="0.35">
      <c r="A9" s="8"/>
      <c r="B9" s="19"/>
      <c r="C9" s="18"/>
      <c r="E9" s="18"/>
      <c r="I9" s="2">
        <f>J9+3300.2*2</f>
        <v>23027.300000000003</v>
      </c>
      <c r="J9" s="2">
        <f>J5-J7</f>
        <v>16426.900000000001</v>
      </c>
      <c r="K9" s="19" t="s">
        <v>3931</v>
      </c>
      <c r="L9" s="28">
        <f>SUM(K12:K69)/M11-1</f>
        <v>-6.7933903386271366E-3</v>
      </c>
    </row>
    <row r="10" spans="1:18" ht="28.5" customHeight="1" x14ac:dyDescent="0.35">
      <c r="A10" s="112" t="s">
        <v>27</v>
      </c>
      <c r="B10" s="119" t="s">
        <v>3938</v>
      </c>
      <c r="C10" s="112" t="s">
        <v>4</v>
      </c>
      <c r="D10" s="1"/>
      <c r="E10" s="113" t="s">
        <v>28</v>
      </c>
      <c r="F10" s="110" t="s">
        <v>6</v>
      </c>
      <c r="G10" s="110" t="s">
        <v>3937</v>
      </c>
      <c r="H10" s="120" t="s">
        <v>3926</v>
      </c>
      <c r="I10" s="110" t="s">
        <v>3835</v>
      </c>
      <c r="J10" s="119" t="s">
        <v>2177</v>
      </c>
      <c r="K10" s="119" t="s">
        <v>3932</v>
      </c>
      <c r="L10" s="119" t="s">
        <v>3935</v>
      </c>
      <c r="M10" s="120" t="s">
        <v>2173</v>
      </c>
      <c r="N10" s="121" t="s">
        <v>3939</v>
      </c>
      <c r="O10" s="121" t="s">
        <v>3936</v>
      </c>
      <c r="P10" s="110" t="s">
        <v>3826</v>
      </c>
    </row>
    <row r="11" spans="1:18" x14ac:dyDescent="0.35">
      <c r="A11" s="4"/>
      <c r="B11" s="24"/>
      <c r="C11" s="4"/>
      <c r="D11" s="1"/>
      <c r="E11" s="5">
        <v>7000</v>
      </c>
      <c r="F11" s="5">
        <f>+B6</f>
        <v>441025810.48000002</v>
      </c>
      <c r="G11" s="5"/>
      <c r="H11" s="5"/>
      <c r="I11" s="5">
        <f>SUM(I12:I86)</f>
        <v>14348.599999999999</v>
      </c>
      <c r="J11" s="148">
        <f>SUM(J12:J86)</f>
        <v>0.87348191076831294</v>
      </c>
      <c r="K11" s="5">
        <f>SUM(K12:K86)</f>
        <v>438029750</v>
      </c>
      <c r="L11" s="5"/>
      <c r="M11" s="5">
        <f>SUM(M12:M86)</f>
        <v>441025810.48000002</v>
      </c>
      <c r="N11" s="5"/>
      <c r="O11" s="5">
        <f>SUM(O12:O86)</f>
        <v>-2996060.4800000167</v>
      </c>
    </row>
    <row r="12" spans="1:18" x14ac:dyDescent="0.35">
      <c r="A12" t="s">
        <v>3873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>IF(F12/J$5&gt;0,F12/J$5,I12/J$5)</f>
        <v>0</v>
      </c>
      <c r="K12" s="3">
        <f t="shared" ref="K12:K78" si="0">+B12*(F12+I12)</f>
        <v>0</v>
      </c>
      <c r="L12" s="27">
        <f t="shared" ref="L12:L33" si="1">IFERROR(((K12/$K$11)*$F$11)/(F12+I12),0)</f>
        <v>0</v>
      </c>
      <c r="M12" s="3">
        <f t="shared" ref="M12:M78" si="2">+L12*(F12+I12)</f>
        <v>0</v>
      </c>
      <c r="N12" s="3">
        <f t="shared" ref="N12:N78" si="3">IF(L12=0,0,B12-L12)</f>
        <v>0</v>
      </c>
      <c r="O12" s="3">
        <f>+K12-M12</f>
        <v>0</v>
      </c>
      <c r="P12" s="3"/>
    </row>
    <row r="13" spans="1:18" x14ac:dyDescent="0.35">
      <c r="A13" t="s">
        <v>3874</v>
      </c>
      <c r="B13" s="3">
        <f>_xlfn.IFNA(_xlfn.XLOOKUP(A13,'Price list'!J:J,'Price list'!K:K),0)</f>
        <v>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ref="J13:J79" si="4">IF(F13/J$5&gt;0,F13/J$5,I13/J$5)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ref="O13:O79" si="5">+K13-M13</f>
        <v>0</v>
      </c>
      <c r="P13" s="3"/>
      <c r="R13" s="3"/>
    </row>
    <row r="14" spans="1:18" s="186" customFormat="1" x14ac:dyDescent="0.35">
      <c r="A14" s="186" t="s">
        <v>3875</v>
      </c>
      <c r="B14" s="187">
        <f>_xlfn.IFNA(_xlfn.XLOOKUP(A14,'Price list'!J:J,'Price list'!K:K),0)</f>
        <v>37000</v>
      </c>
      <c r="C14" s="186" t="s">
        <v>9</v>
      </c>
      <c r="E14" s="187"/>
      <c r="F14" s="187"/>
      <c r="G14" s="187" t="s">
        <v>2219</v>
      </c>
      <c r="H14" s="187" t="str">
        <f>IF(G14=0,"",_xlfn.XLOOKUP(G14,List_item!A:A,List_item!B:B))</f>
        <v>Karkas Uk 0.5 Karkas Uk 0.5 Frozen Premium</v>
      </c>
      <c r="I14" s="187">
        <v>11.7</v>
      </c>
      <c r="J14" s="189">
        <f t="shared" si="4"/>
        <v>7.1224637637046543E-4</v>
      </c>
      <c r="K14" s="187">
        <f t="shared" si="0"/>
        <v>432900</v>
      </c>
      <c r="L14" s="191">
        <f t="shared" si="1"/>
        <v>37253.074677598954</v>
      </c>
      <c r="M14" s="187">
        <f t="shared" si="2"/>
        <v>435860.97372790775</v>
      </c>
      <c r="N14" s="187">
        <f t="shared" si="3"/>
        <v>-253.07467759895371</v>
      </c>
      <c r="O14" s="187">
        <f t="shared" si="5"/>
        <v>-2960.9737279077526</v>
      </c>
      <c r="P14" s="187"/>
    </row>
    <row r="15" spans="1:18" s="186" customFormat="1" x14ac:dyDescent="0.35">
      <c r="A15" s="186" t="s">
        <v>3876</v>
      </c>
      <c r="B15" s="187">
        <f>_xlfn.IFNA(_xlfn.XLOOKUP(A15,'Price list'!J:J,'Price list'!K:K),0)</f>
        <v>37000</v>
      </c>
      <c r="C15" s="186" t="s">
        <v>9</v>
      </c>
      <c r="E15" s="187"/>
      <c r="F15" s="187"/>
      <c r="G15" s="187" t="s">
        <v>2220</v>
      </c>
      <c r="H15" s="187" t="str">
        <f>IF(G15=0,"",_xlfn.XLOOKUP(G15,List_item!A:A,List_item!B:B))</f>
        <v>Karkas Uk 0.6 Karkas Uk 0.6 Frozen Premium</v>
      </c>
      <c r="I15" s="187">
        <v>74.099999999999994</v>
      </c>
      <c r="J15" s="189">
        <f t="shared" si="4"/>
        <v>4.5108937170129475E-3</v>
      </c>
      <c r="K15" s="187">
        <f t="shared" si="0"/>
        <v>2741700</v>
      </c>
      <c r="L15" s="191">
        <f t="shared" si="1"/>
        <v>37253.074677598954</v>
      </c>
      <c r="M15" s="187">
        <f t="shared" si="2"/>
        <v>2760452.833610082</v>
      </c>
      <c r="N15" s="187">
        <f t="shared" si="3"/>
        <v>-253.07467759895371</v>
      </c>
      <c r="O15" s="187">
        <f t="shared" si="5"/>
        <v>-18752.833610082045</v>
      </c>
      <c r="P15" s="187"/>
    </row>
    <row r="16" spans="1:18" s="186" customFormat="1" x14ac:dyDescent="0.35">
      <c r="A16" s="186" t="s">
        <v>3877</v>
      </c>
      <c r="B16" s="187">
        <f>_xlfn.IFNA(_xlfn.XLOOKUP(A16,'Price list'!J:J,'Price list'!K:K),0)</f>
        <v>37000</v>
      </c>
      <c r="C16" s="186" t="s">
        <v>9</v>
      </c>
      <c r="G16" s="187" t="s">
        <v>2221</v>
      </c>
      <c r="H16" s="187" t="str">
        <f>IF(G16=0,"",_xlfn.XLOOKUP(G16,List_item!A:A,List_item!B:B))</f>
        <v>Karkas Uk 0.7 Karkas Uk 0.7 Frozen Premium</v>
      </c>
      <c r="I16" s="187">
        <v>369.1</v>
      </c>
      <c r="J16" s="189">
        <f t="shared" si="4"/>
        <v>2.2469242522934942E-2</v>
      </c>
      <c r="K16" s="187">
        <f t="shared" si="0"/>
        <v>13656700</v>
      </c>
      <c r="L16" s="191">
        <f t="shared" si="1"/>
        <v>37253.074677598954</v>
      </c>
      <c r="M16" s="187">
        <f t="shared" si="2"/>
        <v>13750109.863501774</v>
      </c>
      <c r="N16" s="187">
        <f t="shared" si="3"/>
        <v>-253.07467759895371</v>
      </c>
      <c r="O16" s="187">
        <f t="shared" si="5"/>
        <v>-93409.863501774147</v>
      </c>
      <c r="P16" s="187"/>
    </row>
    <row r="17" spans="1:16" s="186" customFormat="1" x14ac:dyDescent="0.35">
      <c r="A17" s="186" t="s">
        <v>3878</v>
      </c>
      <c r="B17" s="187">
        <f>_xlfn.IFNA(_xlfn.XLOOKUP(A17,'Price list'!J:J,'Price list'!K:K),0)</f>
        <v>37000</v>
      </c>
      <c r="C17" s="186" t="s">
        <v>9</v>
      </c>
      <c r="E17" s="187"/>
      <c r="G17" s="187" t="s">
        <v>2222</v>
      </c>
      <c r="H17" s="187" t="str">
        <f>IF(G17=0,"",_xlfn.XLOOKUP(G17,List_item!A:A,List_item!B:B))</f>
        <v>Karkas Uk 0.8 Frozen Premium</v>
      </c>
      <c r="I17" s="187">
        <v>392.2</v>
      </c>
      <c r="J17" s="189">
        <f t="shared" si="4"/>
        <v>2.3875472548076627E-2</v>
      </c>
      <c r="K17" s="187">
        <f t="shared" si="0"/>
        <v>14511400</v>
      </c>
      <c r="L17" s="191">
        <f t="shared" si="1"/>
        <v>37253.074677598954</v>
      </c>
      <c r="M17" s="187">
        <f t="shared" si="2"/>
        <v>14610655.888554309</v>
      </c>
      <c r="N17" s="187">
        <f t="shared" si="3"/>
        <v>-253.07467759895371</v>
      </c>
      <c r="O17" s="187">
        <f t="shared" si="5"/>
        <v>-99255.888554308563</v>
      </c>
      <c r="P17" s="187"/>
    </row>
    <row r="18" spans="1:16" s="186" customFormat="1" x14ac:dyDescent="0.35">
      <c r="A18" s="186" t="s">
        <v>3879</v>
      </c>
      <c r="B18" s="187">
        <f>_xlfn.IFNA(_xlfn.XLOOKUP(A18,'Price list'!J:J,'Price list'!K:K),0)</f>
        <v>37000</v>
      </c>
      <c r="C18" s="186" t="s">
        <v>9</v>
      </c>
      <c r="E18" s="187"/>
      <c r="G18" s="187" t="s">
        <v>2223</v>
      </c>
      <c r="H18" s="187" t="str">
        <f>IF(G18=0,"",_xlfn.XLOOKUP(G18,List_item!A:A,List_item!B:B))</f>
        <v>Karkas Uk 0.9 Frozen Premium</v>
      </c>
      <c r="I18" s="187">
        <v>2044.9</v>
      </c>
      <c r="J18" s="189">
        <f t="shared" si="4"/>
        <v>0.12448483889230469</v>
      </c>
      <c r="K18" s="187">
        <f t="shared" si="0"/>
        <v>75661300</v>
      </c>
      <c r="L18" s="191">
        <f t="shared" si="1"/>
        <v>37253.074677598946</v>
      </c>
      <c r="M18" s="187">
        <f t="shared" si="2"/>
        <v>76178812.408222094</v>
      </c>
      <c r="N18" s="187">
        <f t="shared" si="3"/>
        <v>-253.07467759894644</v>
      </c>
      <c r="O18" s="187">
        <f t="shared" si="5"/>
        <v>-517512.40822209418</v>
      </c>
      <c r="P18" s="187"/>
    </row>
    <row r="19" spans="1:16" s="186" customFormat="1" x14ac:dyDescent="0.35">
      <c r="A19" s="186" t="s">
        <v>3879</v>
      </c>
      <c r="B19" s="187">
        <f>_xlfn.IFNA(_xlfn.XLOOKUP(A19,'Price list'!J:J,'Price list'!K:K),0)</f>
        <v>37000</v>
      </c>
      <c r="C19" s="186" t="s">
        <v>9</v>
      </c>
      <c r="E19" s="190"/>
      <c r="G19" s="187" t="s">
        <v>826</v>
      </c>
      <c r="H19" s="187" t="str">
        <f>IF(G19=0,"",_xlfn.XLOOKUP(G19,List_item!A:A,List_item!B:B))</f>
        <v>Karkas Uk 0.9 Karkas Uk 0.9 Fresh Premium</v>
      </c>
      <c r="I19" s="187">
        <v>1393.4</v>
      </c>
      <c r="J19" s="189">
        <f t="shared" si="4"/>
        <v>8.4824282122615946E-2</v>
      </c>
      <c r="K19" s="187">
        <f t="shared" si="0"/>
        <v>51555800</v>
      </c>
      <c r="L19" s="191">
        <f t="shared" si="1"/>
        <v>37253.074677598954</v>
      </c>
      <c r="M19" s="187">
        <f t="shared" si="2"/>
        <v>51908434.255766384</v>
      </c>
      <c r="N19" s="187">
        <f t="shared" si="3"/>
        <v>-253.07467759895371</v>
      </c>
      <c r="O19" s="187">
        <f t="shared" si="5"/>
        <v>-352634.2557663843</v>
      </c>
      <c r="P19" s="187"/>
    </row>
    <row r="20" spans="1:16" s="186" customFormat="1" x14ac:dyDescent="0.35">
      <c r="A20" s="186" t="s">
        <v>3880</v>
      </c>
      <c r="B20" s="187">
        <f>_xlfn.IFNA(_xlfn.XLOOKUP(A20,'Price list'!J:J,'Price list'!K:K),0)</f>
        <v>37000</v>
      </c>
      <c r="C20" s="186" t="s">
        <v>9</v>
      </c>
      <c r="E20" s="190"/>
      <c r="G20" s="187" t="s">
        <v>923</v>
      </c>
      <c r="H20" s="187" t="str">
        <f>IF(G20=0,"",_xlfn.XLOOKUP(G20,List_item!A:A,List_item!B:B))</f>
        <v>Karkas Uk 1.0 Karkas Uk 1.0 Frozen Premium</v>
      </c>
      <c r="I20" s="187">
        <v>1030.5999999999999</v>
      </c>
      <c r="J20" s="189">
        <f t="shared" si="4"/>
        <v>6.2738556879265092E-2</v>
      </c>
      <c r="K20" s="187">
        <f t="shared" si="0"/>
        <v>38132200</v>
      </c>
      <c r="L20" s="191">
        <f t="shared" si="1"/>
        <v>37253.074677598954</v>
      </c>
      <c r="M20" s="187">
        <f t="shared" si="2"/>
        <v>38393018.762733482</v>
      </c>
      <c r="N20" s="187">
        <f t="shared" si="3"/>
        <v>-253.07467759895371</v>
      </c>
      <c r="O20" s="187">
        <f t="shared" si="5"/>
        <v>-260818.76273348182</v>
      </c>
      <c r="P20" s="187"/>
    </row>
    <row r="21" spans="1:16" s="186" customFormat="1" x14ac:dyDescent="0.35">
      <c r="A21" s="186" t="s">
        <v>3880</v>
      </c>
      <c r="B21" s="187">
        <f>_xlfn.IFNA(_xlfn.XLOOKUP(A21,'Price list'!J:J,'Price list'!K:K),0)</f>
        <v>37000</v>
      </c>
      <c r="C21" s="186" t="s">
        <v>9</v>
      </c>
      <c r="E21" s="187"/>
      <c r="F21" s="187"/>
      <c r="G21" s="187" t="s">
        <v>891</v>
      </c>
      <c r="H21" s="187" t="str">
        <f>IF(G21=0,"",_xlfn.XLOOKUP(G21,List_item!A:A,List_item!B:B))</f>
        <v>Karkas Uk 1.0 Karkas Uk 1.0 Fresh Premium</v>
      </c>
      <c r="I21" s="187">
        <v>1062.0999999999999</v>
      </c>
      <c r="J21" s="189">
        <f t="shared" si="4"/>
        <v>6.4656143277185579E-2</v>
      </c>
      <c r="K21" s="187">
        <f t="shared" si="0"/>
        <v>39297700</v>
      </c>
      <c r="L21" s="191">
        <f t="shared" si="1"/>
        <v>37253.074677598961</v>
      </c>
      <c r="M21" s="187">
        <f t="shared" si="2"/>
        <v>39566490.615077853</v>
      </c>
      <c r="N21" s="187">
        <f t="shared" si="3"/>
        <v>-253.07467759896099</v>
      </c>
      <c r="O21" s="187">
        <f t="shared" si="5"/>
        <v>-268790.6150778532</v>
      </c>
      <c r="P21" s="187"/>
    </row>
    <row r="22" spans="1:16" s="186" customFormat="1" x14ac:dyDescent="0.35">
      <c r="A22" s="186" t="s">
        <v>3881</v>
      </c>
      <c r="B22" s="187">
        <f>_xlfn.IFNA(_xlfn.XLOOKUP(A22,'Price list'!J:J,'Price list'!K:K),0)</f>
        <v>37000</v>
      </c>
      <c r="C22" s="186" t="s">
        <v>9</v>
      </c>
      <c r="E22" s="187"/>
      <c r="F22" s="187"/>
      <c r="G22" s="187" t="s">
        <v>989</v>
      </c>
      <c r="H22" s="187" t="str">
        <f>IF(G22=0,"",_xlfn.XLOOKUP(G22,List_item!A:A,List_item!B:B))</f>
        <v>Karkas Uk 1.1 Karkas Uk 1.1 Frozen Premium</v>
      </c>
      <c r="I22" s="187">
        <v>822.7</v>
      </c>
      <c r="J22" s="189">
        <f t="shared" si="4"/>
        <v>5.0082486652989915E-2</v>
      </c>
      <c r="K22" s="187">
        <f t="shared" si="0"/>
        <v>30439900</v>
      </c>
      <c r="L22" s="191">
        <f t="shared" si="1"/>
        <v>37253.074677598954</v>
      </c>
      <c r="M22" s="187">
        <f t="shared" si="2"/>
        <v>30648104.537260663</v>
      </c>
      <c r="N22" s="187">
        <f t="shared" si="3"/>
        <v>-253.07467759895371</v>
      </c>
      <c r="O22" s="187">
        <f t="shared" si="5"/>
        <v>-208204.53726066276</v>
      </c>
      <c r="P22" s="187"/>
    </row>
    <row r="23" spans="1:16" s="186" customFormat="1" x14ac:dyDescent="0.35">
      <c r="A23" s="186" t="s">
        <v>3881</v>
      </c>
      <c r="B23" s="187">
        <f>_xlfn.IFNA(_xlfn.XLOOKUP(A23,'Price list'!J:J,'Price list'!K:K),0)</f>
        <v>37000</v>
      </c>
      <c r="C23" s="186" t="s">
        <v>9</v>
      </c>
      <c r="E23" s="187"/>
      <c r="F23" s="187"/>
      <c r="G23" s="187" t="s">
        <v>957</v>
      </c>
      <c r="H23" s="187" t="str">
        <f>IF(G23=0,"",_xlfn.XLOOKUP(G23,List_item!A:A,List_item!B:B))</f>
        <v>Karkas Uk 1.1 Karkas Uk 1.1 Fresh Premium</v>
      </c>
      <c r="I23" s="187">
        <v>1665</v>
      </c>
      <c r="J23" s="189">
        <f t="shared" si="4"/>
        <v>0.101358138175797</v>
      </c>
      <c r="K23" s="187">
        <f t="shared" si="0"/>
        <v>61605000</v>
      </c>
      <c r="L23" s="191">
        <f t="shared" si="1"/>
        <v>37253.074677598954</v>
      </c>
      <c r="M23" s="187">
        <f t="shared" si="2"/>
        <v>62026369.33820226</v>
      </c>
      <c r="N23" s="187">
        <f t="shared" si="3"/>
        <v>-253.07467759895371</v>
      </c>
      <c r="O23" s="187">
        <f t="shared" si="5"/>
        <v>-421369.33820226043</v>
      </c>
      <c r="P23" s="187"/>
    </row>
    <row r="24" spans="1:16" s="186" customFormat="1" x14ac:dyDescent="0.35">
      <c r="A24" s="186" t="s">
        <v>3882</v>
      </c>
      <c r="B24" s="187">
        <f>_xlfn.IFNA(_xlfn.XLOOKUP(A24,'Price list'!J:J,'Price list'!K:K),0)</f>
        <v>37000</v>
      </c>
      <c r="C24" s="186" t="s">
        <v>9</v>
      </c>
      <c r="E24" s="187"/>
      <c r="F24" s="187"/>
      <c r="G24" s="187" t="s">
        <v>1055</v>
      </c>
      <c r="H24" s="187" t="str">
        <f>IF(G24=0,"",_xlfn.XLOOKUP(G24,List_item!A:A,List_item!B:B))</f>
        <v>Karkas Uk 1.2 Karkas Uk 1.2 Frozen Premium</v>
      </c>
      <c r="I24" s="187">
        <v>1145.0999999999999</v>
      </c>
      <c r="J24" s="189">
        <f t="shared" si="4"/>
        <v>6.9708831246309402E-2</v>
      </c>
      <c r="K24" s="187">
        <f t="shared" si="0"/>
        <v>42368700</v>
      </c>
      <c r="L24" s="191">
        <f t="shared" si="1"/>
        <v>37253.074677598961</v>
      </c>
      <c r="M24" s="187">
        <f t="shared" si="2"/>
        <v>42658495.813318565</v>
      </c>
      <c r="N24" s="187">
        <f t="shared" si="3"/>
        <v>-253.07467759896099</v>
      </c>
      <c r="O24" s="187">
        <f t="shared" si="5"/>
        <v>-289795.81331856549</v>
      </c>
      <c r="P24" s="187"/>
    </row>
    <row r="25" spans="1:16" s="186" customFormat="1" x14ac:dyDescent="0.35">
      <c r="A25" s="186" t="s">
        <v>3883</v>
      </c>
      <c r="B25" s="187">
        <f>_xlfn.IFNA(_xlfn.XLOOKUP(A25,'Price list'!J:J,'Price list'!K:K),0)</f>
        <v>37000</v>
      </c>
      <c r="C25" s="186" t="s">
        <v>9</v>
      </c>
      <c r="E25" s="187"/>
      <c r="F25" s="187"/>
      <c r="G25" s="187" t="s">
        <v>1121</v>
      </c>
      <c r="H25" s="187" t="str">
        <f>IF(G25=0,"",_xlfn.XLOOKUP(G25,List_item!A:A,List_item!B:B))</f>
        <v>Karkas Uk 1.3 Karkas Uk 1.3 Frozen Premium</v>
      </c>
      <c r="I25" s="187">
        <v>421</v>
      </c>
      <c r="J25" s="189">
        <f t="shared" si="4"/>
        <v>2.5628694397603929E-2</v>
      </c>
      <c r="K25" s="187">
        <f t="shared" si="0"/>
        <v>15577000</v>
      </c>
      <c r="L25" s="191">
        <f t="shared" si="1"/>
        <v>37253.074677598954</v>
      </c>
      <c r="M25" s="187">
        <f t="shared" si="2"/>
        <v>15683544.439269159</v>
      </c>
      <c r="N25" s="187">
        <f t="shared" si="3"/>
        <v>-253.07467759895371</v>
      </c>
      <c r="O25" s="187">
        <f t="shared" si="5"/>
        <v>-106544.43926915899</v>
      </c>
      <c r="P25" s="187"/>
    </row>
    <row r="26" spans="1:16" s="186" customFormat="1" x14ac:dyDescent="0.35">
      <c r="A26" s="186" t="s">
        <v>3884</v>
      </c>
      <c r="B26" s="187">
        <f>_xlfn.IFNA(_xlfn.XLOOKUP(A26,'Price list'!J:J,'Price list'!K:K),0)</f>
        <v>37000</v>
      </c>
      <c r="C26" s="186" t="s">
        <v>9</v>
      </c>
      <c r="E26" s="187"/>
      <c r="F26" s="187"/>
      <c r="G26" s="187" t="s">
        <v>1187</v>
      </c>
      <c r="H26" s="187" t="str">
        <f>IF(G26=0,"",_xlfn.XLOOKUP(G26,List_item!A:A,List_item!B:B))</f>
        <v>Karkas Uk 1.4 Karkas Uk 1.4 Frozen Premium</v>
      </c>
      <c r="I26" s="187">
        <v>65.5</v>
      </c>
      <c r="J26" s="189">
        <f t="shared" si="4"/>
        <v>3.9873621925013234E-3</v>
      </c>
      <c r="K26" s="187">
        <f t="shared" si="0"/>
        <v>2423500</v>
      </c>
      <c r="L26" s="191">
        <f t="shared" si="1"/>
        <v>37253.074677598954</v>
      </c>
      <c r="M26" s="187">
        <f t="shared" si="2"/>
        <v>2440076.3913827315</v>
      </c>
      <c r="N26" s="187">
        <f t="shared" si="3"/>
        <v>-253.07467759895371</v>
      </c>
      <c r="O26" s="187">
        <f t="shared" si="5"/>
        <v>-16576.391382731497</v>
      </c>
      <c r="P26" s="187"/>
    </row>
    <row r="27" spans="1:16" x14ac:dyDescent="0.35">
      <c r="A27" t="s">
        <v>3849</v>
      </c>
      <c r="B27" s="3">
        <f>_xlfn.IFNA(_xlfn.XLOOKUP(A27,'Price list'!J:J,'Price list'!K:K),0)</f>
        <v>37000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6" x14ac:dyDescent="0.35">
      <c r="A28" t="s">
        <v>3885</v>
      </c>
      <c r="B28" s="3">
        <f>_xlfn.IFNA(_xlfn.XLOOKUP(A28,'Price list'!J:J,'Price list'!K:K),0)</f>
        <v>37000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6" x14ac:dyDescent="0.35">
      <c r="A29" t="s">
        <v>3886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3887</v>
      </c>
      <c r="B30" s="3">
        <f>_xlfn.IFNA(_xlfn.XLOOKUP(A30,'Price list'!J:J,'Price list'!K:K),0)</f>
        <v>37000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3888</v>
      </c>
      <c r="B31" s="3">
        <f>_xlfn.IFNA(_xlfn.XLOOKUP(A31,'Price list'!J:J,'Price list'!K:K),0)</f>
        <v>37000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3889</v>
      </c>
      <c r="B32" s="3">
        <f>_xlfn.IFNA(_xlfn.XLOOKUP(A32,'Price list'!J:J,'Price list'!K:K),0)</f>
        <v>37000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7" x14ac:dyDescent="0.35">
      <c r="A33" t="s">
        <v>3890</v>
      </c>
      <c r="B33" s="3">
        <f>_xlfn.IFNA(_xlfn.XLOOKUP(A33,'Price list'!J:J,'Price list'!K:K),0)</f>
        <v>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7" x14ac:dyDescent="0.35">
      <c r="A34" t="s">
        <v>8</v>
      </c>
      <c r="B34" s="3">
        <f>_xlfn.IFNA(_xlfn.XLOOKUP(A34,'Price list'!J:J,'Price list'!K:K),0)</f>
        <v>50000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109">
        <f>IFERROR(((K34/$K$11)*$F$11)/(F34+I34),0)+IFERROR(((K34/SUMIF(H:H,"*Boneless*",K:K))*$F$6)/I34,0)</f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>
        <f>IFERROR(((K34/SUMIF(H:H,"*Boneless*",K:K))*$F$6),0)</f>
        <v>0</v>
      </c>
      <c r="Q34">
        <f>SUMIF(H:H,"*Boneless*",K:K)</f>
        <v>22289950</v>
      </c>
    </row>
    <row r="35" spans="1:17" x14ac:dyDescent="0.35">
      <c r="A35" t="s">
        <v>10</v>
      </c>
      <c r="B35" s="3">
        <f>_xlfn.IFNA(_xlfn.XLOOKUP(A35,'Price list'!J:J,'Price list'!K:K),0)</f>
        <v>48000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>IFERROR(((K35/$K$11)*$F$11)/(F35+I35),0)</f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7" x14ac:dyDescent="0.35">
      <c r="A36" t="s">
        <v>12</v>
      </c>
      <c r="B36" s="3">
        <f>_xlfn.IFNA(_xlfn.XLOOKUP(A36,'Price list'!J:J,'Price list'!K:K),0)</f>
        <v>49000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109">
        <f t="shared" ref="L36:L41" si="6">IFERROR(((K36/$K$11)*$F$11)/(F36+I36),0)+IFERROR(((K36/SUMIF(H:H,"*Boneless*",K:K))*$F$6)/I36,0)</f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>
        <f t="shared" ref="P36:P41" si="7">IFERROR(((K36/SUMIF(H:H,"*Boneless*",K:K))*$F$6),0)</f>
        <v>0</v>
      </c>
      <c r="Q36">
        <f t="shared" ref="Q36:Q41" si="8">SUMIF(H:H,"*Boneless*",K:K)</f>
        <v>22289950</v>
      </c>
    </row>
    <row r="37" spans="1:17" x14ac:dyDescent="0.35">
      <c r="A37" t="s">
        <v>2159</v>
      </c>
      <c r="B37" s="3">
        <f>_xlfn.IFNA(_xlfn.XLOOKUP(A37,'Price list'!J:J,'Price list'!K:K),0)</f>
        <v>12500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109">
        <f t="shared" si="6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>
        <f t="shared" si="7"/>
        <v>0</v>
      </c>
      <c r="Q37">
        <f t="shared" si="8"/>
        <v>22289950</v>
      </c>
    </row>
    <row r="38" spans="1:17" x14ac:dyDescent="0.35">
      <c r="A38" t="s">
        <v>3891</v>
      </c>
      <c r="B38" s="3">
        <f>_xlfn.IFNA(_xlfn.XLOOKUP(A38,'Price list'!J:J,'Price list'!K:K),0)</f>
        <v>32000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109">
        <f t="shared" si="6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>
        <f t="shared" si="7"/>
        <v>0</v>
      </c>
      <c r="Q38">
        <f t="shared" si="8"/>
        <v>22289950</v>
      </c>
    </row>
    <row r="39" spans="1:17" x14ac:dyDescent="0.35">
      <c r="A39" t="s">
        <v>2179</v>
      </c>
      <c r="B39" s="3">
        <f>_xlfn.IFNA(_xlfn.XLOOKUP(A39,'Price list'!J:J,'Price list'!K:K),0)</f>
        <v>36000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109">
        <f t="shared" si="6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>
        <f t="shared" si="7"/>
        <v>0</v>
      </c>
      <c r="Q39">
        <f t="shared" si="8"/>
        <v>22289950</v>
      </c>
    </row>
    <row r="40" spans="1:17" x14ac:dyDescent="0.35">
      <c r="A40" t="s">
        <v>3852</v>
      </c>
      <c r="B40" s="3">
        <f>_xlfn.IFNA(_xlfn.XLOOKUP(A40,'Price list'!J:J,'Price list'!K:K),0)</f>
        <v>32000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109">
        <f t="shared" si="6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>
        <f t="shared" si="7"/>
        <v>0</v>
      </c>
      <c r="Q40">
        <f t="shared" si="8"/>
        <v>22289950</v>
      </c>
    </row>
    <row r="41" spans="1:17" x14ac:dyDescent="0.35">
      <c r="A41" t="s">
        <v>17</v>
      </c>
      <c r="B41" s="3">
        <f>_xlfn.IFNA(_xlfn.XLOOKUP(A41,'Price list'!J:J,'Price list'!K:K),0)</f>
        <v>5000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3">
        <v>0</v>
      </c>
      <c r="J41" s="26">
        <f t="shared" si="4"/>
        <v>0</v>
      </c>
      <c r="K41" s="3">
        <f t="shared" si="0"/>
        <v>0</v>
      </c>
      <c r="L41" s="109">
        <f t="shared" si="6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>
        <f t="shared" si="7"/>
        <v>0</v>
      </c>
      <c r="Q41">
        <f t="shared" si="8"/>
        <v>22289950</v>
      </c>
    </row>
    <row r="42" spans="1:17" x14ac:dyDescent="0.35">
      <c r="A42" t="s">
        <v>2199</v>
      </c>
      <c r="B42" s="3">
        <f>_xlfn.IFNA(_xlfn.XLOOKUP(A42,'Price list'!J:J,'Price list'!K:K),0)</f>
        <v>35000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3">
        <v>0</v>
      </c>
      <c r="J42" s="26">
        <f t="shared" si="4"/>
        <v>0</v>
      </c>
      <c r="K42" s="3">
        <f t="shared" si="0"/>
        <v>0</v>
      </c>
      <c r="L42" s="27">
        <f t="shared" ref="L42:L47" si="9">IFERROR(((K42/$K$11)*$F$11)/(F42+I42),0)</f>
        <v>0</v>
      </c>
      <c r="M42" s="3">
        <f t="shared" si="2"/>
        <v>0</v>
      </c>
      <c r="N42" s="3">
        <f t="shared" si="3"/>
        <v>0</v>
      </c>
      <c r="O42" s="3">
        <f t="shared" si="5"/>
        <v>0</v>
      </c>
      <c r="P42" s="3"/>
    </row>
    <row r="43" spans="1:17" s="186" customFormat="1" x14ac:dyDescent="0.35">
      <c r="A43" s="186" t="s">
        <v>2161</v>
      </c>
      <c r="B43" s="187">
        <f>_xlfn.IFNA(_xlfn.XLOOKUP(A43,'Price list'!J:J,'Price list'!K:K),0)</f>
        <v>24000</v>
      </c>
      <c r="C43" s="186" t="s">
        <v>9</v>
      </c>
      <c r="E43" s="187"/>
      <c r="F43" s="187"/>
      <c r="G43" s="187" t="s">
        <v>19</v>
      </c>
      <c r="H43" s="187" t="str">
        <f>IF(G43=0,"",_xlfn.XLOOKUP(G43,List_item!A:A,List_item!B:B))</f>
        <v>Boneless BL Frozen Lemak</v>
      </c>
      <c r="I43" s="187">
        <v>56.9</v>
      </c>
      <c r="J43" s="189">
        <f t="shared" si="4"/>
        <v>3.4638306679896994E-3</v>
      </c>
      <c r="K43" s="187">
        <f t="shared" si="0"/>
        <v>1365600</v>
      </c>
      <c r="L43" s="191">
        <f t="shared" si="9"/>
        <v>24164.156547631756</v>
      </c>
      <c r="M43" s="187">
        <f t="shared" si="2"/>
        <v>1374940.5075602469</v>
      </c>
      <c r="N43" s="187">
        <f t="shared" si="3"/>
        <v>-164.15654763175553</v>
      </c>
      <c r="O43" s="187">
        <f t="shared" si="5"/>
        <v>-9340.5075602468569</v>
      </c>
      <c r="P43" s="187"/>
    </row>
    <row r="44" spans="1:17" s="186" customFormat="1" x14ac:dyDescent="0.35">
      <c r="A44" s="186" t="s">
        <v>2162</v>
      </c>
      <c r="B44" s="187">
        <f>_xlfn.IFNA(_xlfn.XLOOKUP(A44,'Price list'!J:J,'Price list'!K:K),0)</f>
        <v>9500</v>
      </c>
      <c r="C44" s="186" t="s">
        <v>9</v>
      </c>
      <c r="E44" s="187"/>
      <c r="F44" s="187"/>
      <c r="G44" s="187" t="s">
        <v>20</v>
      </c>
      <c r="H44" s="187" t="str">
        <f>IF(G44=0,"",_xlfn.XLOOKUP(G44,List_item!A:A,List_item!B:B))</f>
        <v>Boneless BL Fresh Kepala</v>
      </c>
      <c r="I44" s="187">
        <v>758</v>
      </c>
      <c r="J44" s="189">
        <f t="shared" si="4"/>
        <v>4.6143825067419895E-2</v>
      </c>
      <c r="K44" s="187">
        <f t="shared" si="0"/>
        <v>7201000</v>
      </c>
      <c r="L44" s="191">
        <f t="shared" si="9"/>
        <v>9564.9786334375694</v>
      </c>
      <c r="M44" s="187">
        <f t="shared" si="2"/>
        <v>7250253.8041456779</v>
      </c>
      <c r="N44" s="187">
        <f t="shared" si="3"/>
        <v>-64.978633437569442</v>
      </c>
      <c r="O44" s="187">
        <f t="shared" si="5"/>
        <v>-49253.804145677947</v>
      </c>
      <c r="P44" s="187"/>
    </row>
    <row r="45" spans="1:17" s="186" customFormat="1" x14ac:dyDescent="0.35">
      <c r="A45" s="186" t="s">
        <v>0</v>
      </c>
      <c r="B45" s="187">
        <f>_xlfn.IFNA(_xlfn.XLOOKUP(A45,'Price list'!J:J,'Price list'!K:K),0)</f>
        <v>16000</v>
      </c>
      <c r="C45" s="186" t="s">
        <v>9</v>
      </c>
      <c r="E45" s="187"/>
      <c r="F45" s="187"/>
      <c r="G45" s="187" t="s">
        <v>21</v>
      </c>
      <c r="H45" s="187" t="str">
        <f>IF(G45=0,"",_xlfn.XLOOKUP(G45,List_item!A:A,List_item!B:B))</f>
        <v>Boneless BL Fresh Ceker</v>
      </c>
      <c r="I45" s="187">
        <v>526.20000000000005</v>
      </c>
      <c r="J45" s="189">
        <f t="shared" si="4"/>
        <v>3.2032824209071706E-2</v>
      </c>
      <c r="K45" s="187">
        <f t="shared" si="0"/>
        <v>8419200</v>
      </c>
      <c r="L45" s="191">
        <f t="shared" si="9"/>
        <v>16109.437698421167</v>
      </c>
      <c r="M45" s="187">
        <f t="shared" si="2"/>
        <v>8476786.116909219</v>
      </c>
      <c r="N45" s="187">
        <f t="shared" si="3"/>
        <v>-109.43769842116671</v>
      </c>
      <c r="O45" s="187">
        <f t="shared" si="5"/>
        <v>-57586.116909218952</v>
      </c>
      <c r="P45" s="187"/>
    </row>
    <row r="46" spans="1:17" x14ac:dyDescent="0.35">
      <c r="A46" t="s">
        <v>24</v>
      </c>
      <c r="B46" s="3">
        <f>_xlfn.IFNA(_xlfn.XLOOKUP(A46,'Price list'!J:J,'Price list'!K:K),0)</f>
        <v>4500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9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7" s="186" customFormat="1" x14ac:dyDescent="0.35">
      <c r="A47" s="186" t="s">
        <v>3893</v>
      </c>
      <c r="B47" s="187">
        <f>_xlfn.IFNA(_xlfn.XLOOKUP(A47,'Price list'!J:J,'Price list'!K:K),0)</f>
        <v>1500</v>
      </c>
      <c r="C47" s="186" t="s">
        <v>9</v>
      </c>
      <c r="E47" s="187"/>
      <c r="F47" s="187"/>
      <c r="G47" s="187" t="s">
        <v>25</v>
      </c>
      <c r="H47" s="187" t="str">
        <f>IF(G47=0,"",_xlfn.XLOOKUP(G47,List_item!A:A,List_item!B:B))</f>
        <v>Boneless BL Fresh Usus Kotor</v>
      </c>
      <c r="I47" s="187">
        <v>791.1</v>
      </c>
      <c r="J47" s="189">
        <f t="shared" si="4"/>
        <v>4.8158812679203009E-2</v>
      </c>
      <c r="K47" s="187">
        <f t="shared" si="0"/>
        <v>1186650</v>
      </c>
      <c r="L47" s="191">
        <f t="shared" si="9"/>
        <v>1510.2597842269845</v>
      </c>
      <c r="M47" s="187">
        <f t="shared" si="2"/>
        <v>1194766.5153019675</v>
      </c>
      <c r="N47" s="187">
        <f t="shared" si="3"/>
        <v>-10.259784226984493</v>
      </c>
      <c r="O47" s="187">
        <f t="shared" si="5"/>
        <v>-8116.5153019675054</v>
      </c>
      <c r="P47" s="187" t="s">
        <v>3947</v>
      </c>
    </row>
    <row r="48" spans="1:17" x14ac:dyDescent="0.35">
      <c r="A48" t="s">
        <v>2167</v>
      </c>
      <c r="B48" s="3">
        <f>_xlfn.IFNA(_xlfn.XLOOKUP(A48,'Price list'!J:J,'Price list'!K:K),0)</f>
        <v>22000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109">
        <f>IFERROR(((K48/$K$11)*$F$11)/(F48+I48),0)+IFERROR(((K48/SUMIF(H:H,"*Boneless*",K:K))*$F$6)/I48,0)</f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>
        <f>IFERROR(((K48/SUMIF(H:H,"*Boneless*",K:K))*$F$6),0)</f>
        <v>0</v>
      </c>
      <c r="Q48">
        <f>SUMIF(H:H,"*Boneless*",K:K)</f>
        <v>22289950</v>
      </c>
    </row>
    <row r="49" spans="1:16" x14ac:dyDescent="0.35">
      <c r="A49" t="s">
        <v>2168</v>
      </c>
      <c r="B49" s="3">
        <f>_xlfn.IFNA(_xlfn.XLOOKUP(A49,'Price list'!J:J,'Price list'!K:K),0)</f>
        <v>16000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ref="L49:L73" si="10">IFERROR(((K49/$K$11)*$F$11)/(F49+I49),0)</f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2169</v>
      </c>
      <c r="B50" s="3">
        <f>_xlfn.IFNA(_xlfn.XLOOKUP(A50,'Price list'!J:J,'Price list'!K:K),0)</f>
        <v>5000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0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s="186" customFormat="1" x14ac:dyDescent="0.35">
      <c r="A51" s="186" t="s">
        <v>3894</v>
      </c>
      <c r="B51" s="187">
        <f>_xlfn.IFNA(_xlfn.XLOOKUP(A51,'Price list'!J:J,'Price list'!K:K),0)</f>
        <v>4500</v>
      </c>
      <c r="C51" s="186" t="s">
        <v>9</v>
      </c>
      <c r="E51" s="187"/>
      <c r="F51" s="187"/>
      <c r="G51" s="187" t="s">
        <v>23</v>
      </c>
      <c r="H51" s="187" t="str">
        <f>IF(G51=0,"",_xlfn.XLOOKUP(G51,List_item!A:A,List_item!B:B))</f>
        <v>Boneless BL Fresh HJA</v>
      </c>
      <c r="I51" s="187">
        <v>915</v>
      </c>
      <c r="J51" s="189">
        <f t="shared" si="4"/>
        <v>5.5701319177690244E-2</v>
      </c>
      <c r="K51" s="187">
        <f t="shared" si="0"/>
        <v>4117500</v>
      </c>
      <c r="L51" s="191">
        <f t="shared" si="10"/>
        <v>4530.7793526809546</v>
      </c>
      <c r="M51" s="187">
        <f t="shared" si="2"/>
        <v>4145663.1077030734</v>
      </c>
      <c r="N51" s="187">
        <f t="shared" si="3"/>
        <v>-30.779352680954617</v>
      </c>
      <c r="O51" s="187">
        <f t="shared" si="5"/>
        <v>-28163.107703073416</v>
      </c>
      <c r="P51" s="187"/>
    </row>
    <row r="52" spans="1:16" x14ac:dyDescent="0.35">
      <c r="A52" t="s">
        <v>2170</v>
      </c>
      <c r="B52" s="3">
        <f>_xlfn.IFNA(_xlfn.XLOOKUP(A52,'Price list'!J:J,'Price list'!K:K),0)</f>
        <v>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0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2171</v>
      </c>
      <c r="B53" s="3">
        <f>_xlfn.IFNA(_xlfn.XLOOKUP(A53,'Price list'!J:J,'Price list'!K:K),0)</f>
        <v>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10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3895</v>
      </c>
      <c r="B54" s="3">
        <f>_xlfn.IFNA(_xlfn.XLOOKUP(A54,'Price list'!J:J,'Price list'!K:K),0)</f>
        <v>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0"/>
        <v>0</v>
      </c>
      <c r="L54" s="27">
        <f t="shared" si="10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x14ac:dyDescent="0.35">
      <c r="A55" t="s">
        <v>3896</v>
      </c>
      <c r="B55" s="3">
        <f>_xlfn.IFNA(_xlfn.XLOOKUP(A55,'Price list'!J:J,'Price list'!K:K),0)</f>
        <v>34000</v>
      </c>
      <c r="C55" t="s">
        <v>9</v>
      </c>
      <c r="E55" s="3"/>
      <c r="F55" s="3"/>
      <c r="G55" s="3"/>
      <c r="H55" s="3" t="str">
        <f>IF(G55=0,"",_xlfn.XLOOKUP(G55,List_item!A:A,List_item!B:B))</f>
        <v/>
      </c>
      <c r="I55" s="3">
        <v>0</v>
      </c>
      <c r="J55" s="26">
        <f t="shared" si="4"/>
        <v>0</v>
      </c>
      <c r="K55" s="3">
        <f t="shared" si="0"/>
        <v>0</v>
      </c>
      <c r="L55" s="27">
        <f t="shared" si="10"/>
        <v>0</v>
      </c>
      <c r="M55" s="3">
        <f t="shared" si="2"/>
        <v>0</v>
      </c>
      <c r="N55" s="3">
        <f t="shared" si="3"/>
        <v>0</v>
      </c>
      <c r="O55" s="3">
        <f t="shared" si="5"/>
        <v>0</v>
      </c>
      <c r="P55" s="3"/>
    </row>
    <row r="56" spans="1:16" s="186" customFormat="1" x14ac:dyDescent="0.35">
      <c r="A56" s="186" t="s">
        <v>3897</v>
      </c>
      <c r="B56" s="187">
        <f>_xlfn.IFNA(_xlfn.XLOOKUP(A56,'Price list'!J:J,'Price list'!K:K),0)</f>
        <v>34000</v>
      </c>
      <c r="C56" s="186" t="s">
        <v>9</v>
      </c>
      <c r="E56" s="187"/>
      <c r="F56" s="187"/>
      <c r="G56" s="187" t="s">
        <v>571</v>
      </c>
      <c r="H56" s="187" t="str">
        <f>IF(G56=0,"",_xlfn.XLOOKUP(G56,List_item!A:A,List_item!B:B))</f>
        <v>Karkas Uk 0.5 Karkas Uk 0.5 Frozen Grade A</v>
      </c>
      <c r="I56" s="187">
        <v>3.8</v>
      </c>
      <c r="J56" s="189">
        <f t="shared" si="4"/>
        <v>2.313278829237409E-4</v>
      </c>
      <c r="K56" s="187">
        <f t="shared" si="0"/>
        <v>129200</v>
      </c>
      <c r="L56" s="191">
        <f t="shared" si="10"/>
        <v>34232.555109144989</v>
      </c>
      <c r="M56" s="187">
        <f t="shared" si="2"/>
        <v>130083.70941475095</v>
      </c>
      <c r="N56" s="187">
        <f t="shared" si="3"/>
        <v>-232.55510914498882</v>
      </c>
      <c r="O56" s="187">
        <f t="shared" si="5"/>
        <v>-883.70941475094878</v>
      </c>
      <c r="P56" s="187"/>
    </row>
    <row r="57" spans="1:16" s="186" customFormat="1" x14ac:dyDescent="0.35">
      <c r="A57" s="186" t="s">
        <v>3898</v>
      </c>
      <c r="B57" s="187">
        <f>_xlfn.IFNA(_xlfn.XLOOKUP(A57,'Price list'!J:J,'Price list'!K:K),0)</f>
        <v>34000</v>
      </c>
      <c r="C57" s="186" t="s">
        <v>9</v>
      </c>
      <c r="E57" s="187"/>
      <c r="F57" s="187"/>
      <c r="G57" s="187" t="s">
        <v>636</v>
      </c>
      <c r="H57" s="187" t="str">
        <f>IF(G57=0,"",_xlfn.XLOOKUP(G57,List_item!A:A,List_item!B:B))</f>
        <v>Karkas Uk 0.6 Karkas Uk 0.6 Frozen Grade A</v>
      </c>
      <c r="I57" s="187">
        <v>7.4</v>
      </c>
      <c r="J57" s="189">
        <f t="shared" si="4"/>
        <v>4.504806141146534E-4</v>
      </c>
      <c r="K57" s="187">
        <f t="shared" si="0"/>
        <v>251600</v>
      </c>
      <c r="L57" s="191">
        <f t="shared" si="10"/>
        <v>34232.555109144982</v>
      </c>
      <c r="M57" s="187">
        <f t="shared" si="2"/>
        <v>253320.90780767286</v>
      </c>
      <c r="N57" s="187">
        <f t="shared" si="3"/>
        <v>-232.55510914498154</v>
      </c>
      <c r="O57" s="187">
        <f t="shared" si="5"/>
        <v>-1720.907807672862</v>
      </c>
      <c r="P57" s="187"/>
    </row>
    <row r="58" spans="1:16" s="186" customFormat="1" x14ac:dyDescent="0.35">
      <c r="A58" s="186" t="s">
        <v>3899</v>
      </c>
      <c r="B58" s="187">
        <f>_xlfn.IFNA(_xlfn.XLOOKUP(A58,'Price list'!J:J,'Price list'!K:K),0)</f>
        <v>34000</v>
      </c>
      <c r="C58" s="186" t="s">
        <v>9</v>
      </c>
      <c r="E58" s="187"/>
      <c r="F58" s="187"/>
      <c r="G58" s="187" t="s">
        <v>701</v>
      </c>
      <c r="H58" s="187" t="str">
        <f>IF(G58=0,"",_xlfn.XLOOKUP(G58,List_item!A:A,List_item!B:B))</f>
        <v>Karkas Uk 0.7 Karkas Uk 0.7 Frozen Grade A</v>
      </c>
      <c r="I58" s="187">
        <v>30.2</v>
      </c>
      <c r="J58" s="189">
        <f t="shared" si="4"/>
        <v>1.8384479116570988E-3</v>
      </c>
      <c r="K58" s="187">
        <f t="shared" si="0"/>
        <v>1026800</v>
      </c>
      <c r="L58" s="191">
        <f t="shared" si="10"/>
        <v>34232.555109144982</v>
      </c>
      <c r="M58" s="187">
        <f t="shared" si="2"/>
        <v>1033823.1642961784</v>
      </c>
      <c r="N58" s="187">
        <f t="shared" si="3"/>
        <v>-232.55510914498154</v>
      </c>
      <c r="O58" s="187">
        <f t="shared" si="5"/>
        <v>-7023.16429617838</v>
      </c>
      <c r="P58" s="187"/>
    </row>
    <row r="59" spans="1:16" s="186" customFormat="1" x14ac:dyDescent="0.35">
      <c r="A59" s="186" t="s">
        <v>3900</v>
      </c>
      <c r="B59" s="187">
        <f>_xlfn.IFNA(_xlfn.XLOOKUP(A59,'Price list'!J:J,'Price list'!K:K),0)</f>
        <v>34000</v>
      </c>
      <c r="C59" s="186" t="s">
        <v>9</v>
      </c>
      <c r="E59" s="187"/>
      <c r="F59" s="187"/>
      <c r="G59" s="187" t="s">
        <v>766</v>
      </c>
      <c r="H59" s="187" t="str">
        <f>IF(G59=0,"",_xlfn.XLOOKUP(G59,List_item!A:A,List_item!B:B))</f>
        <v>Karkas Uk 0.8 Karkas Uk 0.8 Frozen Grade A</v>
      </c>
      <c r="I59" s="187">
        <v>106.1</v>
      </c>
      <c r="J59" s="189">
        <f t="shared" si="4"/>
        <v>6.458917994265503E-3</v>
      </c>
      <c r="K59" s="187">
        <f t="shared" si="0"/>
        <v>3607400</v>
      </c>
      <c r="L59" s="191">
        <f t="shared" si="10"/>
        <v>34232.555109144989</v>
      </c>
      <c r="M59" s="187">
        <f t="shared" si="2"/>
        <v>3632074.0970802833</v>
      </c>
      <c r="N59" s="187">
        <f t="shared" si="3"/>
        <v>-232.55510914498882</v>
      </c>
      <c r="O59" s="187">
        <f t="shared" si="5"/>
        <v>-24674.097080283333</v>
      </c>
      <c r="P59" s="187"/>
    </row>
    <row r="60" spans="1:16" s="186" customFormat="1" x14ac:dyDescent="0.35">
      <c r="A60" s="186" t="s">
        <v>3901</v>
      </c>
      <c r="B60" s="187">
        <f>_xlfn.IFNA(_xlfn.XLOOKUP(A60,'Price list'!J:J,'Price list'!K:K),0)</f>
        <v>34000</v>
      </c>
      <c r="C60" s="186" t="s">
        <v>9</v>
      </c>
      <c r="E60" s="187"/>
      <c r="F60" s="187"/>
      <c r="G60" s="187" t="s">
        <v>831</v>
      </c>
      <c r="H60" s="187" t="str">
        <f>IF(G60=0,"",_xlfn.XLOOKUP(G60,List_item!A:A,List_item!B:B))</f>
        <v>Karkas Uk 0.9 Karkas Uk 0.9 Frozen Grade A</v>
      </c>
      <c r="I60" s="187">
        <v>248.8</v>
      </c>
      <c r="J60" s="189">
        <f t="shared" si="4"/>
        <v>1.5145888755638617E-2</v>
      </c>
      <c r="K60" s="187">
        <f t="shared" si="0"/>
        <v>8459200</v>
      </c>
      <c r="L60" s="191">
        <f t="shared" si="10"/>
        <v>34232.555109144982</v>
      </c>
      <c r="M60" s="187">
        <f t="shared" si="2"/>
        <v>8517059.7111552712</v>
      </c>
      <c r="N60" s="187">
        <f t="shared" si="3"/>
        <v>-232.55510914498154</v>
      </c>
      <c r="O60" s="187">
        <f t="shared" si="5"/>
        <v>-57859.711155271158</v>
      </c>
      <c r="P60" s="187"/>
    </row>
    <row r="61" spans="1:16" s="186" customFormat="1" x14ac:dyDescent="0.35">
      <c r="A61" s="186" t="s">
        <v>3902</v>
      </c>
      <c r="B61" s="187">
        <f>_xlfn.IFNA(_xlfn.XLOOKUP(A61,'Price list'!J:J,'Price list'!K:K),0)</f>
        <v>34000</v>
      </c>
      <c r="C61" s="186" t="s">
        <v>9</v>
      </c>
      <c r="E61" s="187"/>
      <c r="F61" s="187"/>
      <c r="G61" s="187" t="s">
        <v>896</v>
      </c>
      <c r="H61" s="187" t="str">
        <f>IF(G61=0,"",_xlfn.XLOOKUP(G61,List_item!A:A,List_item!B:B))</f>
        <v>Karkas Uk 1.0 Karkas Uk 1.0 Frozen Grade A</v>
      </c>
      <c r="I61" s="187">
        <v>173.8</v>
      </c>
      <c r="J61" s="189">
        <f t="shared" si="4"/>
        <v>1.058020685582794E-2</v>
      </c>
      <c r="K61" s="187">
        <f t="shared" si="0"/>
        <v>5909200</v>
      </c>
      <c r="L61" s="191">
        <f t="shared" si="10"/>
        <v>34232.555109144982</v>
      </c>
      <c r="M61" s="187">
        <f t="shared" si="2"/>
        <v>5949618.0779693983</v>
      </c>
      <c r="N61" s="187">
        <f t="shared" si="3"/>
        <v>-232.55510914498154</v>
      </c>
      <c r="O61" s="187">
        <f t="shared" si="5"/>
        <v>-40418.07796939835</v>
      </c>
      <c r="P61" s="187"/>
    </row>
    <row r="62" spans="1:16" s="186" customFormat="1" x14ac:dyDescent="0.35">
      <c r="A62" s="186" t="s">
        <v>3903</v>
      </c>
      <c r="B62" s="187">
        <f>_xlfn.IFNA(_xlfn.XLOOKUP(A62,'Price list'!J:J,'Price list'!K:K),0)</f>
        <v>34000</v>
      </c>
      <c r="C62" s="186" t="s">
        <v>9</v>
      </c>
      <c r="E62" s="187"/>
      <c r="F62" s="187"/>
      <c r="G62" s="187" t="s">
        <v>962</v>
      </c>
      <c r="H62" s="187" t="str">
        <f>IF(G62=0,"",_xlfn.XLOOKUP(G62,List_item!A:A,List_item!B:B))</f>
        <v>Karkas Uk 1.1 Karkas Uk 1.1 Frozen Grade A</v>
      </c>
      <c r="I62" s="187">
        <v>140.30000000000001</v>
      </c>
      <c r="J62" s="189">
        <f t="shared" si="4"/>
        <v>8.5408689405791719E-3</v>
      </c>
      <c r="K62" s="187">
        <f t="shared" si="0"/>
        <v>4770200</v>
      </c>
      <c r="L62" s="191">
        <f t="shared" si="10"/>
        <v>34232.555109144982</v>
      </c>
      <c r="M62" s="187">
        <f t="shared" si="2"/>
        <v>4802827.4818130415</v>
      </c>
      <c r="N62" s="187">
        <f t="shared" si="3"/>
        <v>-232.55510914498154</v>
      </c>
      <c r="O62" s="187">
        <f t="shared" si="5"/>
        <v>-32627.481813041493</v>
      </c>
      <c r="P62" s="187"/>
    </row>
    <row r="63" spans="1:16" s="186" customFormat="1" x14ac:dyDescent="0.35">
      <c r="A63" s="186" t="s">
        <v>3904</v>
      </c>
      <c r="B63" s="187">
        <f>_xlfn.IFNA(_xlfn.XLOOKUP(A63,'Price list'!J:J,'Price list'!K:K),0)</f>
        <v>34000</v>
      </c>
      <c r="C63" s="186" t="s">
        <v>9</v>
      </c>
      <c r="E63" s="187"/>
      <c r="F63" s="187"/>
      <c r="G63" s="187" t="s">
        <v>1028</v>
      </c>
      <c r="H63" s="187" t="str">
        <f>IF(G63=0,"",_xlfn.XLOOKUP(G63,List_item!A:A,List_item!B:B))</f>
        <v>Karkas Uk 1.2 Karkas Uk 1.2 Frozen Grade A</v>
      </c>
      <c r="I63" s="187">
        <v>68.7</v>
      </c>
      <c r="J63" s="189">
        <f t="shared" si="4"/>
        <v>4.1821646202265797E-3</v>
      </c>
      <c r="K63" s="187">
        <f t="shared" si="0"/>
        <v>2335800</v>
      </c>
      <c r="L63" s="191">
        <f t="shared" si="10"/>
        <v>34232.555109144989</v>
      </c>
      <c r="M63" s="187">
        <f t="shared" si="2"/>
        <v>2351776.5359982606</v>
      </c>
      <c r="N63" s="187">
        <f t="shared" si="3"/>
        <v>-232.55510914498882</v>
      </c>
      <c r="O63" s="187">
        <f t="shared" si="5"/>
        <v>-15976.535998260602</v>
      </c>
      <c r="P63" s="187"/>
    </row>
    <row r="64" spans="1:16" s="186" customFormat="1" x14ac:dyDescent="0.35">
      <c r="A64" s="186" t="s">
        <v>3905</v>
      </c>
      <c r="B64" s="187">
        <f>_xlfn.IFNA(_xlfn.XLOOKUP(A64,'Price list'!J:J,'Price list'!K:K),0)</f>
        <v>34000</v>
      </c>
      <c r="C64" s="186" t="s">
        <v>9</v>
      </c>
      <c r="E64" s="187"/>
      <c r="F64" s="187"/>
      <c r="G64" s="187" t="s">
        <v>1094</v>
      </c>
      <c r="H64" s="187" t="str">
        <f>IF(G64=0,"",_xlfn.XLOOKUP(G64,List_item!A:A,List_item!B:B))</f>
        <v>Karkas Uk 1.3 Karkas Uk 1.3 Frozen Grade A</v>
      </c>
      <c r="I64" s="187">
        <v>24.9</v>
      </c>
      <c r="J64" s="189">
        <f t="shared" si="4"/>
        <v>1.5158063907371444E-3</v>
      </c>
      <c r="K64" s="187">
        <f t="shared" si="0"/>
        <v>846600</v>
      </c>
      <c r="L64" s="191">
        <f t="shared" si="10"/>
        <v>34232.555109144989</v>
      </c>
      <c r="M64" s="187">
        <f t="shared" si="2"/>
        <v>852390.62221771013</v>
      </c>
      <c r="N64" s="187">
        <f t="shared" si="3"/>
        <v>-232.55510914498882</v>
      </c>
      <c r="O64" s="187">
        <f t="shared" si="5"/>
        <v>-5790.6222177101299</v>
      </c>
      <c r="P64" s="187"/>
    </row>
    <row r="65" spans="1:17" x14ac:dyDescent="0.35">
      <c r="A65" t="s">
        <v>3906</v>
      </c>
      <c r="B65" s="3">
        <f>_xlfn.IFNA(_xlfn.XLOOKUP(A65,'Price list'!J:J,'Price list'!K:K),0)</f>
        <v>34000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0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7" x14ac:dyDescent="0.35">
      <c r="A66" t="s">
        <v>3907</v>
      </c>
      <c r="B66" s="3">
        <f>_xlfn.IFNA(_xlfn.XLOOKUP(A66,'Price list'!J:J,'Price list'!K:K),0)</f>
        <v>34000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0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7" x14ac:dyDescent="0.35">
      <c r="A67" t="s">
        <v>3908</v>
      </c>
      <c r="B67" s="3">
        <f>_xlfn.IFNA(_xlfn.XLOOKUP(A67,'Price list'!J:J,'Price list'!K:K),0)</f>
        <v>34000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0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7" x14ac:dyDescent="0.35">
      <c r="A68" t="s">
        <v>3909</v>
      </c>
      <c r="B68" s="3">
        <f>_xlfn.IFNA(_xlfn.XLOOKUP(A68,'Price list'!J:J,'Price list'!K:K),0)</f>
        <v>34000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0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7" x14ac:dyDescent="0.35">
      <c r="A69" t="s">
        <v>3945</v>
      </c>
      <c r="B69" s="3">
        <f>_xlfn.IFNA(_xlfn.XLOOKUP(A69,'Price list'!J:J,'Price list'!K:K),0)</f>
        <v>34000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0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7" x14ac:dyDescent="0.35">
      <c r="A70" t="s">
        <v>3911</v>
      </c>
      <c r="B70" s="3">
        <f>_xlfn.IFNA(_xlfn.XLOOKUP(A70,'Price list'!J:J,'Price list'!K:K),0)</f>
        <v>34000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0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7" x14ac:dyDescent="0.35">
      <c r="A71" t="s">
        <v>3912</v>
      </c>
      <c r="B71" s="3">
        <f>_xlfn.IFNA(_xlfn.XLOOKUP(A71,'Price list'!J:J,'Price list'!K:K),0)</f>
        <v>34000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10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7" x14ac:dyDescent="0.35">
      <c r="A72" t="s">
        <v>3913</v>
      </c>
      <c r="B72" s="3">
        <f>_xlfn.IFNA(_xlfn.XLOOKUP(A72,'Price list'!J:J,'Price list'!K:K),0)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10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7" x14ac:dyDescent="0.35">
      <c r="A73" t="s">
        <v>3914</v>
      </c>
      <c r="B73" s="3">
        <f>_xlfn.IFNA(_xlfn.XLOOKUP(A73,'Price list'!J:J,'Price list'!K:K),0)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0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7" x14ac:dyDescent="0.35">
      <c r="A74" t="s">
        <v>4055</v>
      </c>
      <c r="B74" s="3">
        <f>_xlfn.IFNA(_xlfn.XLOOKUP(A74,'Price list'!J:J,'Price list'!K:K),0)</f>
        <v>45000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109">
        <f>IFERROR(((K74/$K$11)*$F$11)/(F74+I74),0)+IFERROR(((K74/SUMIF(H:H,"*Boneless*",K:K))*$F$6)/I74,0)</f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>
        <f>IFERROR(((K74/SUMIF(H:H,"*Boneless*",K:K))*$F$6),0)</f>
        <v>0</v>
      </c>
      <c r="Q74">
        <f>SUMIF(H:H,"*Boneless*",K:K)</f>
        <v>22289950</v>
      </c>
    </row>
    <row r="75" spans="1:17" x14ac:dyDescent="0.35">
      <c r="A75" t="s">
        <v>3916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ref="L75:L83" si="11">IFERROR(((K75/$K$11)*$F$11)/(F75+I75),0)</f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7" x14ac:dyDescent="0.35">
      <c r="A76" t="s">
        <v>4062</v>
      </c>
      <c r="B76" s="3">
        <f>_xlfn.IFNA(_xlfn.XLOOKUP(A76,'Price list'!J:J,'Price list'!K:K),0)</f>
        <v>44000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si="0"/>
        <v>0</v>
      </c>
      <c r="L76" s="27">
        <f t="shared" si="11"/>
        <v>0</v>
      </c>
      <c r="M76" s="3">
        <f t="shared" si="2"/>
        <v>0</v>
      </c>
      <c r="N76" s="3">
        <f t="shared" si="3"/>
        <v>0</v>
      </c>
      <c r="O76" s="3">
        <f t="shared" si="5"/>
        <v>0</v>
      </c>
      <c r="P76" s="3"/>
    </row>
    <row r="77" spans="1:17" x14ac:dyDescent="0.35">
      <c r="A77" t="s">
        <v>3918</v>
      </c>
      <c r="B77" s="3">
        <f>_xlfn.IFNA(_xlfn.XLOOKUP(A77,'Price list'!J:J,'Price list'!K:K),0)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4"/>
        <v>0</v>
      </c>
      <c r="K77" s="3">
        <f t="shared" si="0"/>
        <v>0</v>
      </c>
      <c r="L77" s="27">
        <f t="shared" si="11"/>
        <v>0</v>
      </c>
      <c r="M77" s="3">
        <f t="shared" si="2"/>
        <v>0</v>
      </c>
      <c r="N77" s="3">
        <f t="shared" si="3"/>
        <v>0</v>
      </c>
      <c r="O77" s="3">
        <f t="shared" si="5"/>
        <v>0</v>
      </c>
      <c r="P77" s="3"/>
    </row>
    <row r="78" spans="1:17" x14ac:dyDescent="0.35">
      <c r="A78" t="s">
        <v>3919</v>
      </c>
      <c r="B78" s="3">
        <f>_xlfn.IFNA(_xlfn.XLOOKUP(A78,'Price list'!J:J,'Price list'!K:K),0)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4"/>
        <v>0</v>
      </c>
      <c r="K78" s="3">
        <f t="shared" si="0"/>
        <v>0</v>
      </c>
      <c r="L78" s="27">
        <f t="shared" si="11"/>
        <v>0</v>
      </c>
      <c r="M78" s="3">
        <f t="shared" si="2"/>
        <v>0</v>
      </c>
      <c r="N78" s="3">
        <f t="shared" si="3"/>
        <v>0</v>
      </c>
      <c r="O78" s="3">
        <f t="shared" si="5"/>
        <v>0</v>
      </c>
      <c r="P78" s="3"/>
    </row>
    <row r="79" spans="1:17" x14ac:dyDescent="0.35">
      <c r="A79" t="s">
        <v>3920</v>
      </c>
      <c r="B79" s="3">
        <f>_xlfn.IFNA(_xlfn.XLOOKUP(A79,'Price list'!J:J,'Price list'!K:K),0)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4"/>
        <v>0</v>
      </c>
      <c r="K79" s="3">
        <f t="shared" ref="K79:K84" si="12">+B79*(F79+I79)</f>
        <v>0</v>
      </c>
      <c r="L79" s="27">
        <f t="shared" si="11"/>
        <v>0</v>
      </c>
      <c r="M79" s="3">
        <f t="shared" ref="M79:M84" si="13">+L79*(F79+I79)</f>
        <v>0</v>
      </c>
      <c r="N79" s="3">
        <f t="shared" ref="N79:N84" si="14">IF(L79=0,0,B79-L79)</f>
        <v>0</v>
      </c>
      <c r="O79" s="3">
        <f t="shared" si="5"/>
        <v>0</v>
      </c>
      <c r="P79" s="3"/>
    </row>
    <row r="80" spans="1:17" x14ac:dyDescent="0.35">
      <c r="A80" t="s">
        <v>3921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ref="J80:J84" si="15">IF(F80/J$5&gt;0,F80/J$5,I80/J$5)</f>
        <v>0</v>
      </c>
      <c r="K80" s="3">
        <f t="shared" si="12"/>
        <v>0</v>
      </c>
      <c r="L80" s="27">
        <f t="shared" si="11"/>
        <v>0</v>
      </c>
      <c r="M80" s="3">
        <f t="shared" si="13"/>
        <v>0</v>
      </c>
      <c r="N80" s="3">
        <f t="shared" si="14"/>
        <v>0</v>
      </c>
      <c r="O80" s="3">
        <f t="shared" ref="O80:O84" si="16">+K80-M80</f>
        <v>0</v>
      </c>
      <c r="P80" s="3"/>
    </row>
    <row r="81" spans="1:18" x14ac:dyDescent="0.35">
      <c r="A81" t="s">
        <v>3922</v>
      </c>
      <c r="B81" s="3">
        <f>_xlfn.IFNA(_xlfn.XLOOKUP(A81,'Price list'!J:J,'Price list'!K:K),0)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15"/>
        <v>0</v>
      </c>
      <c r="K81" s="3">
        <f t="shared" si="12"/>
        <v>0</v>
      </c>
      <c r="L81" s="27">
        <f t="shared" si="11"/>
        <v>0</v>
      </c>
      <c r="M81" s="3">
        <f t="shared" si="13"/>
        <v>0</v>
      </c>
      <c r="N81" s="3">
        <f t="shared" si="14"/>
        <v>0</v>
      </c>
      <c r="O81" s="3">
        <f t="shared" si="16"/>
        <v>0</v>
      </c>
      <c r="P81" s="3"/>
    </row>
    <row r="82" spans="1:18" x14ac:dyDescent="0.35">
      <c r="A82" t="s">
        <v>3923</v>
      </c>
      <c r="B82" s="3">
        <f>_xlfn.IFNA(_xlfn.XLOOKUP(A82,'Price list'!J:J,'Price list'!K:K),0)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3">
        <v>0</v>
      </c>
      <c r="J82" s="26">
        <f t="shared" si="15"/>
        <v>0</v>
      </c>
      <c r="K82" s="3">
        <f t="shared" si="12"/>
        <v>0</v>
      </c>
      <c r="L82" s="27">
        <f t="shared" si="11"/>
        <v>0</v>
      </c>
      <c r="M82" s="3">
        <f t="shared" si="13"/>
        <v>0</v>
      </c>
      <c r="N82" s="3">
        <f t="shared" si="14"/>
        <v>0</v>
      </c>
      <c r="O82" s="3">
        <f t="shared" si="16"/>
        <v>0</v>
      </c>
      <c r="P82" s="3"/>
    </row>
    <row r="83" spans="1:18" x14ac:dyDescent="0.35">
      <c r="A83" t="s">
        <v>3924</v>
      </c>
      <c r="B83" s="3">
        <f>_xlfn.IFNA(_xlfn.XLOOKUP(A83,'Price list'!J:J,'Price list'!K:K),0)</f>
        <v>0</v>
      </c>
      <c r="C83" t="s">
        <v>9</v>
      </c>
      <c r="E83" s="3"/>
      <c r="F83" s="3"/>
      <c r="G83" s="3"/>
      <c r="H83" s="3" t="str">
        <f>IF(G83=0,"",_xlfn.XLOOKUP(G83,List_item!A:A,List_item!B:B))</f>
        <v/>
      </c>
      <c r="I83" s="3">
        <v>0</v>
      </c>
      <c r="J83" s="26">
        <f t="shared" si="15"/>
        <v>0</v>
      </c>
      <c r="K83" s="3">
        <f t="shared" si="12"/>
        <v>0</v>
      </c>
      <c r="L83" s="27">
        <f t="shared" si="11"/>
        <v>0</v>
      </c>
      <c r="M83" s="3">
        <f t="shared" si="13"/>
        <v>0</v>
      </c>
      <c r="N83" s="3">
        <f t="shared" si="14"/>
        <v>0</v>
      </c>
      <c r="O83" s="3">
        <f t="shared" si="16"/>
        <v>0</v>
      </c>
      <c r="P83" s="3"/>
    </row>
    <row r="84" spans="1:18" x14ac:dyDescent="0.35">
      <c r="A84" t="s">
        <v>4060</v>
      </c>
      <c r="B84" s="3">
        <f>_xlfn.IFNA(_xlfn.XLOOKUP(A84,'Price list'!J:J,'Price list'!K:K),0)</f>
        <v>36000</v>
      </c>
      <c r="C84" t="s">
        <v>9</v>
      </c>
      <c r="E84" s="3"/>
      <c r="F84" s="3"/>
      <c r="G84" s="3"/>
      <c r="H84" s="3" t="str">
        <f>IF(G84=0,"",_xlfn.XLOOKUP(G84,List_item!A:A,List_item!B:B))</f>
        <v/>
      </c>
      <c r="I84" s="3">
        <v>0</v>
      </c>
      <c r="J84" s="26">
        <f t="shared" si="15"/>
        <v>0</v>
      </c>
      <c r="K84" s="3">
        <f t="shared" si="12"/>
        <v>0</v>
      </c>
      <c r="L84" s="109">
        <f>IFERROR(((K84/$K$11)*$F$11)/(F84+I84),0)+IFERROR(((K84/SUMIF(H:H,"*Boneless*",K:K))*$F$6)/I84,0)</f>
        <v>0</v>
      </c>
      <c r="M84" s="3">
        <f t="shared" si="13"/>
        <v>0</v>
      </c>
      <c r="N84" s="3">
        <f t="shared" si="14"/>
        <v>0</v>
      </c>
      <c r="O84" s="3">
        <f t="shared" si="16"/>
        <v>0</v>
      </c>
      <c r="P84" s="3">
        <f>IFERROR(((K84/SUMIF(H:H,"*Boneless*",K:K))*$F$6),0)</f>
        <v>0</v>
      </c>
      <c r="Q84">
        <f>SUMIF(H:H,"*Boneless*",K:K)</f>
        <v>22289950</v>
      </c>
    </row>
    <row r="86" spans="1:18" s="2" customFormat="1" x14ac:dyDescent="0.35">
      <c r="A86" t="s">
        <v>3929</v>
      </c>
      <c r="B86"/>
      <c r="C86"/>
      <c r="D86"/>
      <c r="E86"/>
      <c r="F86" s="117"/>
      <c r="G86" t="s">
        <v>3930</v>
      </c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/>
      <c r="B89"/>
      <c r="C89"/>
      <c r="D89"/>
      <c r="E89"/>
      <c r="F89" s="117"/>
      <c r="G89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  <row r="91" spans="1:18" s="2" customFormat="1" x14ac:dyDescent="0.35">
      <c r="A91"/>
      <c r="B91"/>
      <c r="C91"/>
      <c r="D91"/>
      <c r="E91"/>
      <c r="F91" s="117"/>
      <c r="G91"/>
      <c r="Q91"/>
      <c r="R91"/>
    </row>
    <row r="92" spans="1:18" s="2" customFormat="1" x14ac:dyDescent="0.35">
      <c r="A92" s="118"/>
      <c r="B92"/>
      <c r="C92"/>
      <c r="D92"/>
      <c r="E92"/>
      <c r="F92" s="117"/>
      <c r="G92" s="118"/>
      <c r="Q92"/>
      <c r="R92"/>
    </row>
    <row r="93" spans="1:18" s="2" customFormat="1" x14ac:dyDescent="0.35">
      <c r="A93"/>
      <c r="B93"/>
      <c r="C93"/>
      <c r="D93"/>
      <c r="E93"/>
      <c r="F93" s="117"/>
      <c r="G93"/>
      <c r="Q93"/>
      <c r="R93"/>
    </row>
  </sheetData>
  <autoFilter ref="A11:P84" xr:uid="{9E3D57EB-0D9F-40FE-B4FE-C94EEFF00F8F}"/>
  <conditionalFormatting sqref="O11">
    <cfRule type="cellIs" dxfId="16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68" max="1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CAC9B-0754-4F8C-85E6-1170BA95586D}">
  <sheetPr>
    <tabColor theme="3"/>
    <pageSetUpPr fitToPage="1"/>
  </sheetPr>
  <dimension ref="A1:R90"/>
  <sheetViews>
    <sheetView zoomScale="80" zoomScaleNormal="80" workbookViewId="0">
      <pane xSplit="3" ySplit="10" topLeftCell="D11" activePane="bottomRight" state="frozen"/>
      <selection activeCell="A751" sqref="A751"/>
      <selection pane="topRight" activeCell="A751" sqref="A751"/>
      <selection pane="bottomLeft" activeCell="A751" sqref="A751"/>
      <selection pane="bottomRight" activeCell="G20" sqref="A20:XFD20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4.6328125" style="2" bestFit="1" customWidth="1"/>
    <col min="10" max="10" width="11.26953125" style="2" bestFit="1" customWidth="1"/>
    <col min="11" max="11" width="17.81640625" style="2" bestFit="1" customWidth="1"/>
    <col min="12" max="12" width="16.36328125" style="2" bestFit="1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+I9/E11</f>
        <v>2.3429285714285712</v>
      </c>
    </row>
    <row r="2" spans="1:18" x14ac:dyDescent="0.35">
      <c r="A2" s="18" t="s">
        <v>3865</v>
      </c>
      <c r="G2" s="19" t="s">
        <v>3943</v>
      </c>
    </row>
    <row r="3" spans="1:18" x14ac:dyDescent="0.35">
      <c r="A3" s="101" t="s">
        <v>3866</v>
      </c>
      <c r="B3" s="2">
        <f>(3400*25500)*2+(3000.1*25500)</f>
        <v>249902550</v>
      </c>
      <c r="C3" s="19"/>
      <c r="G3" s="3" t="s">
        <v>4064</v>
      </c>
      <c r="H3" s="2" t="s">
        <v>4068</v>
      </c>
      <c r="I3" s="101" t="s">
        <v>3870</v>
      </c>
      <c r="J3" s="2" t="s">
        <v>3950</v>
      </c>
      <c r="Q3" s="25"/>
      <c r="R3" s="2"/>
    </row>
    <row r="4" spans="1:18" x14ac:dyDescent="0.35">
      <c r="A4" s="101" t="s">
        <v>3867</v>
      </c>
      <c r="B4" s="2">
        <f>3*2000000</f>
        <v>6000000</v>
      </c>
      <c r="E4"/>
      <c r="G4" s="2" t="s">
        <v>4066</v>
      </c>
      <c r="I4" s="101" t="s">
        <v>3872</v>
      </c>
      <c r="J4" s="115">
        <v>46289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13634730</v>
      </c>
      <c r="G5" s="2" t="s">
        <v>4067</v>
      </c>
      <c r="I5" s="101" t="s">
        <v>3944</v>
      </c>
      <c r="J5" s="19">
        <f>3400*2+3000.1</f>
        <v>9800.1</v>
      </c>
      <c r="K5" s="2">
        <v>9089.82</v>
      </c>
      <c r="L5" s="2">
        <f>J5-K5</f>
        <v>710.28000000000065</v>
      </c>
      <c r="M5" s="147">
        <f>L5/J5</f>
        <v>7.2476811461107599E-2</v>
      </c>
    </row>
    <row r="6" spans="1:18" x14ac:dyDescent="0.35">
      <c r="A6" s="102" t="s">
        <v>3869</v>
      </c>
      <c r="B6" s="19">
        <f>SUBTOTAL(9,B3:B5)</f>
        <v>269537280</v>
      </c>
      <c r="E6" s="149" t="s">
        <v>4054</v>
      </c>
      <c r="F6" s="93"/>
      <c r="I6" s="101"/>
      <c r="J6" s="19"/>
      <c r="M6" s="147"/>
    </row>
    <row r="7" spans="1:18" x14ac:dyDescent="0.35">
      <c r="B7" s="2">
        <f>B6+F6</f>
        <v>269537280</v>
      </c>
      <c r="Q7" s="25"/>
    </row>
    <row r="8" spans="1:18" ht="4.5" customHeight="1" x14ac:dyDescent="0.35">
      <c r="A8" s="101"/>
    </row>
    <row r="9" spans="1:18" x14ac:dyDescent="0.35">
      <c r="A9" s="8"/>
      <c r="B9" s="19"/>
      <c r="C9" s="18"/>
      <c r="E9" s="18"/>
      <c r="I9" s="2">
        <f>J9+3300.2*2</f>
        <v>16400.5</v>
      </c>
      <c r="J9" s="2">
        <f>J5-J7</f>
        <v>9800.1</v>
      </c>
      <c r="K9" s="19" t="s">
        <v>3931</v>
      </c>
      <c r="L9" s="28">
        <f>SUM(K12:K66)/M11-1</f>
        <v>-8.3220770054517113E-2</v>
      </c>
    </row>
    <row r="10" spans="1:18" ht="28.5" customHeight="1" x14ac:dyDescent="0.35">
      <c r="A10" s="112" t="s">
        <v>27</v>
      </c>
      <c r="B10" s="119" t="s">
        <v>3938</v>
      </c>
      <c r="C10" s="112" t="s">
        <v>4</v>
      </c>
      <c r="D10" s="1"/>
      <c r="E10" s="113" t="s">
        <v>28</v>
      </c>
      <c r="F10" s="110" t="s">
        <v>6</v>
      </c>
      <c r="G10" s="110" t="s">
        <v>3937</v>
      </c>
      <c r="H10" s="120" t="s">
        <v>3926</v>
      </c>
      <c r="I10" s="110" t="s">
        <v>3835</v>
      </c>
      <c r="J10" s="119" t="s">
        <v>2177</v>
      </c>
      <c r="K10" s="119" t="s">
        <v>3932</v>
      </c>
      <c r="L10" s="119" t="s">
        <v>3935</v>
      </c>
      <c r="M10" s="120" t="s">
        <v>2173</v>
      </c>
      <c r="N10" s="121" t="s">
        <v>3939</v>
      </c>
      <c r="O10" s="121" t="s">
        <v>3936</v>
      </c>
      <c r="P10" s="110" t="s">
        <v>3826</v>
      </c>
    </row>
    <row r="11" spans="1:18" x14ac:dyDescent="0.35">
      <c r="A11" s="4"/>
      <c r="B11" s="24"/>
      <c r="C11" s="4"/>
      <c r="D11" s="1"/>
      <c r="E11" s="5">
        <v>7000</v>
      </c>
      <c r="F11" s="5">
        <f>+B6</f>
        <v>269537280</v>
      </c>
      <c r="G11" s="5"/>
      <c r="H11" s="5"/>
      <c r="I11" s="5">
        <f>SUM(I12:I83)</f>
        <v>7754.1399999999994</v>
      </c>
      <c r="J11" s="148">
        <f>SUM(J12:J83)</f>
        <v>0.7912307017275334</v>
      </c>
      <c r="K11" s="5">
        <f>SUM(K12:K83)</f>
        <v>247106180</v>
      </c>
      <c r="L11" s="5"/>
      <c r="M11" s="5">
        <f>SUM(M12:M83)</f>
        <v>269537280</v>
      </c>
      <c r="N11" s="5"/>
      <c r="O11" s="5">
        <f>SUM(O12:O83)</f>
        <v>-22431099.999999985</v>
      </c>
    </row>
    <row r="12" spans="1:18" x14ac:dyDescent="0.35">
      <c r="A12" t="s">
        <v>3873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>IF(F12/J$5&gt;0,F12/J$5,I12/J$5)</f>
        <v>0</v>
      </c>
      <c r="K12" s="3">
        <f t="shared" ref="K12:K75" si="0">+B12*(F12+I12)</f>
        <v>0</v>
      </c>
      <c r="L12" s="27">
        <f t="shared" ref="L12:L30" si="1">IFERROR(((K12/$K$11)*$F$11)/(F12+I12),0)</f>
        <v>0</v>
      </c>
      <c r="M12" s="3">
        <f t="shared" ref="M12:M75" si="2">+L12*(F12+I12)</f>
        <v>0</v>
      </c>
      <c r="N12" s="3">
        <f t="shared" ref="N12:N75" si="3">IF(L12=0,0,B12-L12)</f>
        <v>0</v>
      </c>
      <c r="O12" s="3">
        <f>+K12-M12</f>
        <v>0</v>
      </c>
      <c r="P12" s="3"/>
    </row>
    <row r="13" spans="1:18" x14ac:dyDescent="0.35">
      <c r="A13" t="s">
        <v>3874</v>
      </c>
      <c r="B13" s="3">
        <f>_xlfn.IFNA(_xlfn.XLOOKUP(A13,'Price list'!J:J,'Price list'!K:K),0)</f>
        <v>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ref="J13:J76" si="4">IF(F13/J$5&gt;0,F13/J$5,I13/J$5)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ref="O13:O76" si="5">+K13-M13</f>
        <v>0</v>
      </c>
      <c r="P13" s="3"/>
      <c r="R13" s="3"/>
    </row>
    <row r="14" spans="1:18" s="186" customFormat="1" x14ac:dyDescent="0.35">
      <c r="A14" s="186" t="s">
        <v>3875</v>
      </c>
      <c r="B14" s="187">
        <f>_xlfn.IFNA(_xlfn.XLOOKUP(A14,'Price list'!J:J,'Price list'!K:K),0)</f>
        <v>37000</v>
      </c>
      <c r="C14" s="186" t="s">
        <v>9</v>
      </c>
      <c r="E14" s="187"/>
      <c r="F14" s="187"/>
      <c r="G14" s="187" t="s">
        <v>2219</v>
      </c>
      <c r="H14" s="187" t="str">
        <f>IF(G14=0,"",_xlfn.XLOOKUP(G14,List_item!A:A,List_item!B:B))</f>
        <v>Karkas Uk 0.5 Karkas Uk 0.5 Frozen Premium</v>
      </c>
      <c r="I14" s="187">
        <v>0.52</v>
      </c>
      <c r="J14" s="189">
        <f t="shared" si="4"/>
        <v>5.3060683054254546E-5</v>
      </c>
      <c r="K14" s="187">
        <f t="shared" si="0"/>
        <v>19240</v>
      </c>
      <c r="L14" s="191">
        <f t="shared" si="1"/>
        <v>40358.680466834143</v>
      </c>
      <c r="M14" s="187">
        <f t="shared" si="2"/>
        <v>20986.513842753757</v>
      </c>
      <c r="N14" s="187">
        <f t="shared" si="3"/>
        <v>-3358.6804668341429</v>
      </c>
      <c r="O14" s="187">
        <f t="shared" si="5"/>
        <v>-1746.5138427537568</v>
      </c>
      <c r="P14" s="187"/>
    </row>
    <row r="15" spans="1:18" s="186" customFormat="1" x14ac:dyDescent="0.35">
      <c r="A15" s="186" t="s">
        <v>3876</v>
      </c>
      <c r="B15" s="187">
        <f>_xlfn.IFNA(_xlfn.XLOOKUP(A15,'Price list'!J:J,'Price list'!K:K),0)</f>
        <v>37000</v>
      </c>
      <c r="C15" s="186" t="s">
        <v>9</v>
      </c>
      <c r="E15" s="187"/>
      <c r="F15" s="187"/>
      <c r="G15" s="187" t="s">
        <v>2220</v>
      </c>
      <c r="H15" s="187" t="str">
        <f>IF(G15=0,"",_xlfn.XLOOKUP(G15,List_item!A:A,List_item!B:B))</f>
        <v>Karkas Uk 0.6 Karkas Uk 0.6 Frozen Premium</v>
      </c>
      <c r="I15" s="187">
        <v>55.89</v>
      </c>
      <c r="J15" s="189">
        <f t="shared" si="4"/>
        <v>5.7030030305813204E-3</v>
      </c>
      <c r="K15" s="187">
        <f t="shared" si="0"/>
        <v>2067930</v>
      </c>
      <c r="L15" s="191">
        <f t="shared" si="1"/>
        <v>40358.680466834136</v>
      </c>
      <c r="M15" s="187">
        <f t="shared" si="2"/>
        <v>2255646.6512913597</v>
      </c>
      <c r="N15" s="187">
        <f t="shared" si="3"/>
        <v>-3358.6804668341356</v>
      </c>
      <c r="O15" s="187">
        <f t="shared" si="5"/>
        <v>-187716.65129135968</v>
      </c>
      <c r="P15" s="187"/>
    </row>
    <row r="16" spans="1:18" x14ac:dyDescent="0.35">
      <c r="A16" t="s">
        <v>3877</v>
      </c>
      <c r="B16" s="3">
        <f>_xlfn.IFNA(_xlfn.XLOOKUP(A16,'Price list'!J:J,'Price list'!K:K),0)</f>
        <v>37000</v>
      </c>
      <c r="C16" t="s">
        <v>9</v>
      </c>
      <c r="E16"/>
      <c r="F16"/>
      <c r="G16" s="3"/>
      <c r="H16" s="3" t="str">
        <f>IF(G16=0,"",_xlfn.XLOOKUP(G16,List_item!A:A,List_item!B:B))</f>
        <v/>
      </c>
      <c r="I16" s="3">
        <v>0</v>
      </c>
      <c r="J16" s="26">
        <f t="shared" si="4"/>
        <v>0</v>
      </c>
      <c r="K16" s="3">
        <f t="shared" si="0"/>
        <v>0</v>
      </c>
      <c r="L16" s="27">
        <f t="shared" si="1"/>
        <v>0</v>
      </c>
      <c r="M16" s="3">
        <f t="shared" si="2"/>
        <v>0</v>
      </c>
      <c r="N16" s="3">
        <f t="shared" si="3"/>
        <v>0</v>
      </c>
      <c r="O16" s="3">
        <f t="shared" si="5"/>
        <v>0</v>
      </c>
      <c r="P16" s="3"/>
    </row>
    <row r="17" spans="1:17" s="186" customFormat="1" x14ac:dyDescent="0.35">
      <c r="A17" s="186" t="s">
        <v>3878</v>
      </c>
      <c r="B17" s="187">
        <f>_xlfn.IFNA(_xlfn.XLOOKUP(A17,'Price list'!J:J,'Price list'!K:K),0)</f>
        <v>37000</v>
      </c>
      <c r="C17" s="186" t="s">
        <v>9</v>
      </c>
      <c r="E17" s="187"/>
      <c r="G17" s="187" t="s">
        <v>2222</v>
      </c>
      <c r="H17" s="187" t="str">
        <f>IF(G17=0,"",_xlfn.XLOOKUP(G17,List_item!A:A,List_item!B:B))</f>
        <v>Karkas Uk 0.8 Frozen Premium</v>
      </c>
      <c r="I17" s="187">
        <v>687.98</v>
      </c>
      <c r="J17" s="189">
        <f t="shared" si="4"/>
        <v>7.0201324476280857E-2</v>
      </c>
      <c r="K17" s="187">
        <f t="shared" si="0"/>
        <v>25455260</v>
      </c>
      <c r="L17" s="191">
        <f t="shared" si="1"/>
        <v>40358.680466834136</v>
      </c>
      <c r="M17" s="187">
        <f t="shared" si="2"/>
        <v>27765964.987572551</v>
      </c>
      <c r="N17" s="187">
        <f t="shared" si="3"/>
        <v>-3358.6804668341356</v>
      </c>
      <c r="O17" s="187">
        <f t="shared" si="5"/>
        <v>-2310704.9875725508</v>
      </c>
      <c r="P17" s="187"/>
    </row>
    <row r="18" spans="1:17" s="186" customFormat="1" x14ac:dyDescent="0.35">
      <c r="A18" s="186" t="s">
        <v>3879</v>
      </c>
      <c r="B18" s="187">
        <f>_xlfn.IFNA(_xlfn.XLOOKUP(A18,'Price list'!J:J,'Price list'!K:K),0)</f>
        <v>37000</v>
      </c>
      <c r="C18" s="186" t="s">
        <v>9</v>
      </c>
      <c r="E18" s="190"/>
      <c r="G18" s="187" t="s">
        <v>2223</v>
      </c>
      <c r="H18" s="187" t="str">
        <f>IF(G18=0,"",_xlfn.XLOOKUP(G18,List_item!A:A,List_item!B:B))</f>
        <v>Karkas Uk 0.9 Frozen Premium</v>
      </c>
      <c r="I18" s="187">
        <v>1283.2</v>
      </c>
      <c r="J18" s="189">
        <f t="shared" si="4"/>
        <v>0.13093743941388353</v>
      </c>
      <c r="K18" s="187">
        <f t="shared" si="0"/>
        <v>47478400</v>
      </c>
      <c r="L18" s="191">
        <f t="shared" si="1"/>
        <v>40358.680466834136</v>
      </c>
      <c r="M18" s="187">
        <f t="shared" si="2"/>
        <v>51788258.775041565</v>
      </c>
      <c r="N18" s="187">
        <f t="shared" si="3"/>
        <v>-3358.6804668341356</v>
      </c>
      <c r="O18" s="187">
        <f t="shared" si="5"/>
        <v>-4309858.7750415653</v>
      </c>
      <c r="P18" s="187"/>
    </row>
    <row r="19" spans="1:17" s="186" customFormat="1" x14ac:dyDescent="0.35">
      <c r="A19" s="186" t="s">
        <v>3880</v>
      </c>
      <c r="B19" s="187">
        <f>_xlfn.IFNA(_xlfn.XLOOKUP(A19,'Price list'!J:J,'Price list'!K:K),0)</f>
        <v>37000</v>
      </c>
      <c r="C19" s="186" t="s">
        <v>9</v>
      </c>
      <c r="E19" s="187"/>
      <c r="F19" s="187"/>
      <c r="G19" s="187" t="s">
        <v>891</v>
      </c>
      <c r="H19" s="187" t="str">
        <f>IF(G19=0,"",_xlfn.XLOOKUP(G19,List_item!A:A,List_item!B:B))</f>
        <v>Karkas Uk 1.0 Karkas Uk 1.0 Fresh Premium</v>
      </c>
      <c r="I19" s="187">
        <v>1999</v>
      </c>
      <c r="J19" s="189">
        <f t="shared" si="4"/>
        <v>0.20397751043356699</v>
      </c>
      <c r="K19" s="187">
        <f t="shared" si="0"/>
        <v>73963000</v>
      </c>
      <c r="L19" s="191">
        <f t="shared" si="1"/>
        <v>40358.680466834128</v>
      </c>
      <c r="M19" s="187">
        <f t="shared" si="2"/>
        <v>80677002.253201425</v>
      </c>
      <c r="N19" s="187">
        <f t="shared" si="3"/>
        <v>-3358.6804668341283</v>
      </c>
      <c r="O19" s="187">
        <f t="shared" si="5"/>
        <v>-6714002.2532014251</v>
      </c>
      <c r="P19" s="187"/>
    </row>
    <row r="20" spans="1:17" s="186" customFormat="1" x14ac:dyDescent="0.35">
      <c r="A20" s="186" t="s">
        <v>3881</v>
      </c>
      <c r="B20" s="187">
        <f>_xlfn.IFNA(_xlfn.XLOOKUP(A20,'Price list'!J:J,'Price list'!K:K),0)</f>
        <v>37000</v>
      </c>
      <c r="C20" s="186" t="s">
        <v>9</v>
      </c>
      <c r="E20" s="187"/>
      <c r="F20" s="187"/>
      <c r="G20" s="187" t="s">
        <v>989</v>
      </c>
      <c r="H20" s="187" t="str">
        <f>IF(G20=0,"",_xlfn.XLOOKUP(G20,List_item!A:A,List_item!B:B))</f>
        <v>Karkas Uk 1.1 Karkas Uk 1.1 Frozen Premium</v>
      </c>
      <c r="I20" s="187">
        <v>906.48</v>
      </c>
      <c r="J20" s="189">
        <f t="shared" si="4"/>
        <v>9.2497015336578198E-2</v>
      </c>
      <c r="K20" s="187">
        <f t="shared" si="0"/>
        <v>33539760</v>
      </c>
      <c r="L20" s="191">
        <f t="shared" si="1"/>
        <v>40358.680466834128</v>
      </c>
      <c r="M20" s="187">
        <f t="shared" si="2"/>
        <v>36584336.669575803</v>
      </c>
      <c r="N20" s="187">
        <f t="shared" si="3"/>
        <v>-3358.6804668341283</v>
      </c>
      <c r="O20" s="187">
        <f t="shared" si="5"/>
        <v>-3044576.669575803</v>
      </c>
      <c r="P20" s="187"/>
    </row>
    <row r="21" spans="1:17" s="186" customFormat="1" x14ac:dyDescent="0.35">
      <c r="A21" s="186" t="s">
        <v>3882</v>
      </c>
      <c r="B21" s="187">
        <f>_xlfn.IFNA(_xlfn.XLOOKUP(A21,'Price list'!J:J,'Price list'!K:K),0)</f>
        <v>37000</v>
      </c>
      <c r="C21" s="186" t="s">
        <v>9</v>
      </c>
      <c r="E21" s="187"/>
      <c r="F21" s="187"/>
      <c r="G21" s="187" t="s">
        <v>1055</v>
      </c>
      <c r="H21" s="187" t="str">
        <f>IF(G21=0,"",_xlfn.XLOOKUP(G21,List_item!A:A,List_item!B:B))</f>
        <v>Karkas Uk 1.2 Karkas Uk 1.2 Frozen Premium</v>
      </c>
      <c r="I21" s="187">
        <v>198.46</v>
      </c>
      <c r="J21" s="189">
        <f t="shared" si="4"/>
        <v>2.0250813767206458E-2</v>
      </c>
      <c r="K21" s="187">
        <f t="shared" si="0"/>
        <v>7343020</v>
      </c>
      <c r="L21" s="191">
        <f t="shared" si="1"/>
        <v>40358.680466834136</v>
      </c>
      <c r="M21" s="187">
        <f t="shared" si="2"/>
        <v>8009583.7254479025</v>
      </c>
      <c r="N21" s="187">
        <f t="shared" si="3"/>
        <v>-3358.6804668341356</v>
      </c>
      <c r="O21" s="187">
        <f t="shared" si="5"/>
        <v>-666563.72544790246</v>
      </c>
      <c r="P21" s="187"/>
    </row>
    <row r="22" spans="1:17" s="186" customFormat="1" x14ac:dyDescent="0.35">
      <c r="A22" s="186" t="s">
        <v>3883</v>
      </c>
      <c r="B22" s="187">
        <f>_xlfn.IFNA(_xlfn.XLOOKUP(A22,'Price list'!J:J,'Price list'!K:K),0)</f>
        <v>37000</v>
      </c>
      <c r="C22" s="186" t="s">
        <v>9</v>
      </c>
      <c r="E22" s="187"/>
      <c r="F22" s="187"/>
      <c r="G22" s="187" t="s">
        <v>1121</v>
      </c>
      <c r="H22" s="187" t="str">
        <f>IF(G22=0,"",_xlfn.XLOOKUP(G22,List_item!A:A,List_item!B:B))</f>
        <v>Karkas Uk 1.3 Karkas Uk 1.3 Frozen Premium</v>
      </c>
      <c r="I22" s="187">
        <v>30.26</v>
      </c>
      <c r="J22" s="189">
        <f t="shared" si="4"/>
        <v>3.0877235946571973E-3</v>
      </c>
      <c r="K22" s="187">
        <f t="shared" si="0"/>
        <v>1119620</v>
      </c>
      <c r="L22" s="191">
        <f t="shared" si="1"/>
        <v>40358.680466834136</v>
      </c>
      <c r="M22" s="187">
        <f t="shared" si="2"/>
        <v>1221253.6709264009</v>
      </c>
      <c r="N22" s="187">
        <f t="shared" si="3"/>
        <v>-3358.6804668341356</v>
      </c>
      <c r="O22" s="187">
        <f t="shared" si="5"/>
        <v>-101633.67092640093</v>
      </c>
      <c r="P22" s="187"/>
    </row>
    <row r="23" spans="1:17" x14ac:dyDescent="0.35">
      <c r="A23" t="s">
        <v>3884</v>
      </c>
      <c r="B23" s="3">
        <f>_xlfn.IFNA(_xlfn.XLOOKUP(A23,'Price list'!J:J,'Price list'!K:K),0)</f>
        <v>37000</v>
      </c>
      <c r="C23" t="s">
        <v>9</v>
      </c>
      <c r="E23" s="3"/>
      <c r="F23" s="3"/>
      <c r="G23" s="3"/>
      <c r="H23" s="3" t="str">
        <f>IF(G23=0,"",_xlfn.XLOOKUP(G23,List_item!A:A,List_item!B:B))</f>
        <v/>
      </c>
      <c r="I23" s="3">
        <v>0</v>
      </c>
      <c r="J23" s="26">
        <f t="shared" si="4"/>
        <v>0</v>
      </c>
      <c r="K23" s="3">
        <f t="shared" si="0"/>
        <v>0</v>
      </c>
      <c r="L23" s="27">
        <f t="shared" si="1"/>
        <v>0</v>
      </c>
      <c r="M23" s="3">
        <f t="shared" si="2"/>
        <v>0</v>
      </c>
      <c r="N23" s="3">
        <f t="shared" si="3"/>
        <v>0</v>
      </c>
      <c r="O23" s="3">
        <f t="shared" si="5"/>
        <v>0</v>
      </c>
      <c r="P23" s="3"/>
    </row>
    <row r="24" spans="1:17" x14ac:dyDescent="0.35">
      <c r="A24" t="s">
        <v>3849</v>
      </c>
      <c r="B24" s="3">
        <f>_xlfn.IFNA(_xlfn.XLOOKUP(A24,'Price list'!J:J,'Price list'!K:K),0)</f>
        <v>37000</v>
      </c>
      <c r="C24" t="s">
        <v>9</v>
      </c>
      <c r="E24" s="3"/>
      <c r="F24" s="3"/>
      <c r="G24" s="3"/>
      <c r="H24" s="3" t="str">
        <f>IF(G24=0,"",_xlfn.XLOOKUP(G24,List_item!A:A,List_item!B:B))</f>
        <v/>
      </c>
      <c r="I24" s="3">
        <v>0</v>
      </c>
      <c r="J24" s="26">
        <f t="shared" si="4"/>
        <v>0</v>
      </c>
      <c r="K24" s="3">
        <f t="shared" si="0"/>
        <v>0</v>
      </c>
      <c r="L24" s="27">
        <f t="shared" si="1"/>
        <v>0</v>
      </c>
      <c r="M24" s="3">
        <f t="shared" si="2"/>
        <v>0</v>
      </c>
      <c r="N24" s="3">
        <f t="shared" si="3"/>
        <v>0</v>
      </c>
      <c r="O24" s="3">
        <f t="shared" si="5"/>
        <v>0</v>
      </c>
      <c r="P24" s="3"/>
    </row>
    <row r="25" spans="1:17" x14ac:dyDescent="0.35">
      <c r="A25" t="s">
        <v>3885</v>
      </c>
      <c r="B25" s="3">
        <f>_xlfn.IFNA(_xlfn.XLOOKUP(A25,'Price list'!J:J,'Price list'!K:K),0)</f>
        <v>37000</v>
      </c>
      <c r="C25" t="s">
        <v>9</v>
      </c>
      <c r="E25" s="3"/>
      <c r="F25" s="3"/>
      <c r="G25" s="3"/>
      <c r="H25" s="3" t="str">
        <f>IF(G25=0,"",_xlfn.XLOOKUP(G25,List_item!A:A,List_item!B:B))</f>
        <v/>
      </c>
      <c r="I25" s="3">
        <v>0</v>
      </c>
      <c r="J25" s="26">
        <f t="shared" si="4"/>
        <v>0</v>
      </c>
      <c r="K25" s="3">
        <f t="shared" si="0"/>
        <v>0</v>
      </c>
      <c r="L25" s="27">
        <f t="shared" si="1"/>
        <v>0</v>
      </c>
      <c r="M25" s="3">
        <f t="shared" si="2"/>
        <v>0</v>
      </c>
      <c r="N25" s="3">
        <f t="shared" si="3"/>
        <v>0</v>
      </c>
      <c r="O25" s="3">
        <f t="shared" si="5"/>
        <v>0</v>
      </c>
      <c r="P25" s="3"/>
    </row>
    <row r="26" spans="1:17" x14ac:dyDescent="0.35">
      <c r="A26" t="s">
        <v>3886</v>
      </c>
      <c r="B26" s="3">
        <f>_xlfn.IFNA(_xlfn.XLOOKUP(A26,'Price list'!J:J,'Price list'!K:K),0)</f>
        <v>37000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3">
        <v>0</v>
      </c>
      <c r="J26" s="26">
        <f t="shared" si="4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7" x14ac:dyDescent="0.35">
      <c r="A27" t="s">
        <v>3887</v>
      </c>
      <c r="B27" s="3">
        <f>_xlfn.IFNA(_xlfn.XLOOKUP(A27,'Price list'!J:J,'Price list'!K:K),0)</f>
        <v>37000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7" x14ac:dyDescent="0.35">
      <c r="A28" t="s">
        <v>3888</v>
      </c>
      <c r="B28" s="3">
        <f>_xlfn.IFNA(_xlfn.XLOOKUP(A28,'Price list'!J:J,'Price list'!K:K),0)</f>
        <v>37000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7" x14ac:dyDescent="0.35">
      <c r="A29" t="s">
        <v>3889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7" x14ac:dyDescent="0.35">
      <c r="A30" t="s">
        <v>3890</v>
      </c>
      <c r="B30" s="3">
        <f>_xlfn.IFNA(_xlfn.XLOOKUP(A30,'Price list'!J:J,'Price list'!K:K),0)</f>
        <v>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7" x14ac:dyDescent="0.35">
      <c r="A31" t="s">
        <v>8</v>
      </c>
      <c r="B31" s="3">
        <f>_xlfn.IFNA(_xlfn.XLOOKUP(A31,'Price list'!J:J,'Price list'!K:K),0)</f>
        <v>50000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109">
        <f>IFERROR(((K31/$K$11)*$F$11)/(F31+I31),0)+IFERROR(((K31/SUMIF(H:H,"*Boneless*",K:K))*$F$6)/I31,0)</f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>
        <f>IFERROR(((K31/SUMIF(H:H,"*Boneless*",K:K))*$F$6),0)</f>
        <v>0</v>
      </c>
      <c r="Q31">
        <f>SUMIF(H:H,"*Boneless*",K:K)</f>
        <v>11568050</v>
      </c>
    </row>
    <row r="32" spans="1:17" x14ac:dyDescent="0.35">
      <c r="A32" t="s">
        <v>10</v>
      </c>
      <c r="B32" s="3">
        <f>_xlfn.IFNA(_xlfn.XLOOKUP(A32,'Price list'!J:J,'Price list'!K:K),0)</f>
        <v>48000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>IFERROR(((K32/$K$11)*$F$11)/(F32+I32),0)</f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7" x14ac:dyDescent="0.35">
      <c r="A33" t="s">
        <v>12</v>
      </c>
      <c r="B33" s="3">
        <f>_xlfn.IFNA(_xlfn.XLOOKUP(A33,'Price list'!J:J,'Price list'!K:K),0)</f>
        <v>49000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109">
        <f t="shared" ref="L33:L38" si="6">IFERROR(((K33/$K$11)*$F$11)/(F33+I33),0)+IFERROR(((K33/SUMIF(H:H,"*Boneless*",K:K))*$F$6)/I33,0)</f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>
        <f t="shared" ref="P33:P38" si="7">IFERROR(((K33/SUMIF(H:H,"*Boneless*",K:K))*$F$6),0)</f>
        <v>0</v>
      </c>
      <c r="Q33">
        <f t="shared" ref="Q33:Q38" si="8">SUMIF(H:H,"*Boneless*",K:K)</f>
        <v>11568050</v>
      </c>
    </row>
    <row r="34" spans="1:17" x14ac:dyDescent="0.35">
      <c r="A34" t="s">
        <v>2159</v>
      </c>
      <c r="B34" s="3">
        <f>_xlfn.IFNA(_xlfn.XLOOKUP(A34,'Price list'!J:J,'Price list'!K:K),0)</f>
        <v>12500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109">
        <f t="shared" si="6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>
        <f t="shared" si="7"/>
        <v>0</v>
      </c>
      <c r="Q34">
        <f t="shared" si="8"/>
        <v>11568050</v>
      </c>
    </row>
    <row r="35" spans="1:17" x14ac:dyDescent="0.35">
      <c r="A35" t="s">
        <v>3891</v>
      </c>
      <c r="B35" s="3">
        <f>_xlfn.IFNA(_xlfn.XLOOKUP(A35,'Price list'!J:J,'Price list'!K:K),0)</f>
        <v>32000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109">
        <f t="shared" si="6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>
        <f t="shared" si="7"/>
        <v>0</v>
      </c>
      <c r="Q35">
        <f t="shared" si="8"/>
        <v>11568050</v>
      </c>
    </row>
    <row r="36" spans="1:17" x14ac:dyDescent="0.35">
      <c r="A36" t="s">
        <v>2179</v>
      </c>
      <c r="B36" s="3">
        <f>_xlfn.IFNA(_xlfn.XLOOKUP(A36,'Price list'!J:J,'Price list'!K:K),0)</f>
        <v>36000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109">
        <f t="shared" si="6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>
        <f t="shared" si="7"/>
        <v>0</v>
      </c>
      <c r="Q36">
        <f t="shared" si="8"/>
        <v>11568050</v>
      </c>
    </row>
    <row r="37" spans="1:17" x14ac:dyDescent="0.35">
      <c r="A37" t="s">
        <v>3852</v>
      </c>
      <c r="B37" s="3">
        <f>_xlfn.IFNA(_xlfn.XLOOKUP(A37,'Price list'!J:J,'Price list'!K:K),0)</f>
        <v>32000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109">
        <f t="shared" si="6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>
        <f t="shared" si="7"/>
        <v>0</v>
      </c>
      <c r="Q37">
        <f t="shared" si="8"/>
        <v>11568050</v>
      </c>
    </row>
    <row r="38" spans="1:17" x14ac:dyDescent="0.35">
      <c r="A38" t="s">
        <v>17</v>
      </c>
      <c r="B38" s="3">
        <f>_xlfn.IFNA(_xlfn.XLOOKUP(A38,'Price list'!J:J,'Price list'!K:K),0)</f>
        <v>5000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109">
        <f t="shared" si="6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>
        <f t="shared" si="7"/>
        <v>0</v>
      </c>
      <c r="Q38">
        <f t="shared" si="8"/>
        <v>11568050</v>
      </c>
    </row>
    <row r="39" spans="1:17" x14ac:dyDescent="0.35">
      <c r="A39" t="s">
        <v>2199</v>
      </c>
      <c r="B39" s="3">
        <f>_xlfn.IFNA(_xlfn.XLOOKUP(A39,'Price list'!J:J,'Price list'!K:K),0)</f>
        <v>35000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ref="L39:L44" si="9">IFERROR(((K39/$K$11)*$F$11)/(F39+I39),0)</f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7" x14ac:dyDescent="0.35">
      <c r="A40" t="s">
        <v>2161</v>
      </c>
      <c r="B40" s="3">
        <f>_xlfn.IFNA(_xlfn.XLOOKUP(A40,'Price list'!J:J,'Price list'!K:K),0)</f>
        <v>24000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9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7" s="186" customFormat="1" x14ac:dyDescent="0.35">
      <c r="A41" s="186" t="s">
        <v>2162</v>
      </c>
      <c r="B41" s="187">
        <f>_xlfn.IFNA(_xlfn.XLOOKUP(A41,'Price list'!J:J,'Price list'!K:K),0)</f>
        <v>9500</v>
      </c>
      <c r="C41" s="186" t="s">
        <v>9</v>
      </c>
      <c r="E41" s="187"/>
      <c r="F41" s="187"/>
      <c r="G41" s="187" t="s">
        <v>20</v>
      </c>
      <c r="H41" s="187" t="str">
        <f>IF(G41=0,"",_xlfn.XLOOKUP(G41,List_item!A:A,List_item!B:B))</f>
        <v>Boneless BL Fresh Kepala</v>
      </c>
      <c r="I41" s="187">
        <v>404.95</v>
      </c>
      <c r="J41" s="189">
        <f t="shared" si="4"/>
        <v>4.1321006928500728E-2</v>
      </c>
      <c r="K41" s="187">
        <f t="shared" si="0"/>
        <v>3847025</v>
      </c>
      <c r="L41" s="191">
        <f t="shared" si="9"/>
        <v>10362.363903646603</v>
      </c>
      <c r="M41" s="187">
        <f t="shared" si="2"/>
        <v>4196239.2627816917</v>
      </c>
      <c r="N41" s="187">
        <f t="shared" si="3"/>
        <v>-862.36390364660292</v>
      </c>
      <c r="O41" s="187">
        <f t="shared" si="5"/>
        <v>-349214.26278169174</v>
      </c>
      <c r="P41" s="187"/>
    </row>
    <row r="42" spans="1:17" s="186" customFormat="1" x14ac:dyDescent="0.35">
      <c r="A42" s="186" t="s">
        <v>0</v>
      </c>
      <c r="B42" s="187">
        <f>_xlfn.IFNA(_xlfn.XLOOKUP(A42,'Price list'!J:J,'Price list'!K:K),0)</f>
        <v>16000</v>
      </c>
      <c r="C42" s="186" t="s">
        <v>9</v>
      </c>
      <c r="E42" s="187"/>
      <c r="F42" s="187"/>
      <c r="G42" s="187" t="s">
        <v>21</v>
      </c>
      <c r="H42" s="187" t="str">
        <f>IF(G42=0,"",_xlfn.XLOOKUP(G42,List_item!A:A,List_item!B:B))</f>
        <v>Boneless BL Fresh Ceker</v>
      </c>
      <c r="I42" s="187">
        <v>296.89999999999998</v>
      </c>
      <c r="J42" s="189">
        <f t="shared" si="4"/>
        <v>3.0295609228477256E-2</v>
      </c>
      <c r="K42" s="187">
        <f t="shared" si="0"/>
        <v>4750400</v>
      </c>
      <c r="L42" s="191">
        <f t="shared" si="9"/>
        <v>17452.402364036385</v>
      </c>
      <c r="M42" s="187">
        <f t="shared" si="2"/>
        <v>5181618.261882402</v>
      </c>
      <c r="N42" s="187">
        <f t="shared" si="3"/>
        <v>-1452.4023640363848</v>
      </c>
      <c r="O42" s="187">
        <f t="shared" si="5"/>
        <v>-431218.261882402</v>
      </c>
      <c r="P42" s="187"/>
    </row>
    <row r="43" spans="1:17" s="186" customFormat="1" x14ac:dyDescent="0.35">
      <c r="A43" s="186" t="s">
        <v>24</v>
      </c>
      <c r="B43" s="187">
        <f>_xlfn.IFNA(_xlfn.XLOOKUP(A43,'Price list'!J:J,'Price list'!K:K),0)</f>
        <v>4500</v>
      </c>
      <c r="C43" s="186" t="s">
        <v>9</v>
      </c>
      <c r="E43" s="187"/>
      <c r="F43" s="187"/>
      <c r="G43" s="187" t="s">
        <v>23</v>
      </c>
      <c r="H43" s="187" t="str">
        <f>IF(G43=0,"",_xlfn.XLOOKUP(G43,List_item!A:A,List_item!B:B))</f>
        <v>Boneless BL Fresh HJA</v>
      </c>
      <c r="I43" s="187">
        <v>548.85</v>
      </c>
      <c r="J43" s="189">
        <f t="shared" si="4"/>
        <v>5.6004530566014635E-2</v>
      </c>
      <c r="K43" s="187">
        <f t="shared" si="0"/>
        <v>2469825</v>
      </c>
      <c r="L43" s="191">
        <f t="shared" si="9"/>
        <v>4908.4881648852333</v>
      </c>
      <c r="M43" s="187">
        <f t="shared" si="2"/>
        <v>2694023.7292972603</v>
      </c>
      <c r="N43" s="187">
        <f t="shared" si="3"/>
        <v>-408.48816488523335</v>
      </c>
      <c r="O43" s="187">
        <f t="shared" si="5"/>
        <v>-224198.72929726029</v>
      </c>
      <c r="P43" s="187"/>
    </row>
    <row r="44" spans="1:17" x14ac:dyDescent="0.35">
      <c r="A44" t="s">
        <v>3893</v>
      </c>
      <c r="B44" s="3">
        <f>_xlfn.IFNA(_xlfn.XLOOKUP(A44,'Price list'!J:J,'Price list'!K:K),0)</f>
        <v>1500</v>
      </c>
      <c r="C44" t="s">
        <v>9</v>
      </c>
      <c r="E44" s="3"/>
      <c r="F44" s="3"/>
      <c r="G44" s="3"/>
      <c r="H44" s="3" t="str">
        <f>IF(G44=0,"",_xlfn.XLOOKUP(G44,List_item!A:A,List_item!B:B))</f>
        <v/>
      </c>
      <c r="I44" s="3">
        <v>0</v>
      </c>
      <c r="J44" s="26">
        <f t="shared" si="4"/>
        <v>0</v>
      </c>
      <c r="K44" s="3">
        <f t="shared" si="0"/>
        <v>0</v>
      </c>
      <c r="L44" s="27">
        <f t="shared" si="9"/>
        <v>0</v>
      </c>
      <c r="M44" s="3">
        <f t="shared" si="2"/>
        <v>0</v>
      </c>
      <c r="N44" s="3">
        <f t="shared" si="3"/>
        <v>0</v>
      </c>
      <c r="O44" s="3">
        <f t="shared" si="5"/>
        <v>0</v>
      </c>
      <c r="P44" s="3" t="s">
        <v>3947</v>
      </c>
    </row>
    <row r="45" spans="1:17" x14ac:dyDescent="0.35">
      <c r="A45" t="s">
        <v>2167</v>
      </c>
      <c r="B45" s="3">
        <f>_xlfn.IFNA(_xlfn.XLOOKUP(A45,'Price list'!J:J,'Price list'!K:K),0)</f>
        <v>22000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109">
        <f>IFERROR(((K45/$K$11)*$F$11)/(F45+I45),0)+IFERROR(((K45/SUMIF(H:H,"*Boneless*",K:K))*$F$6)/I45,0)</f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>
        <f>IFERROR(((K45/SUMIF(H:H,"*Boneless*",K:K))*$F$6),0)</f>
        <v>0</v>
      </c>
      <c r="Q45">
        <f>SUMIF(H:H,"*Boneless*",K:K)</f>
        <v>11568050</v>
      </c>
    </row>
    <row r="46" spans="1:17" s="186" customFormat="1" x14ac:dyDescent="0.35">
      <c r="A46" s="186" t="s">
        <v>2168</v>
      </c>
      <c r="B46" s="187">
        <f>_xlfn.IFNA(_xlfn.XLOOKUP(A46,'Price list'!J:J,'Price list'!K:K),0)</f>
        <v>16000</v>
      </c>
      <c r="C46" s="186" t="s">
        <v>9</v>
      </c>
      <c r="E46" s="187"/>
      <c r="F46" s="187"/>
      <c r="G46" s="187" t="s">
        <v>186</v>
      </c>
      <c r="H46" s="187" t="str">
        <f>IF(G46=0,"",_xlfn.XLOOKUP(G46,List_item!A:A,List_item!B:B))</f>
        <v>Boneless BL Fresh HJA - Jantung</v>
      </c>
      <c r="I46" s="187">
        <v>31.3</v>
      </c>
      <c r="J46" s="189">
        <f t="shared" si="4"/>
        <v>3.1938449607657065E-3</v>
      </c>
      <c r="K46" s="187">
        <f t="shared" si="0"/>
        <v>500800</v>
      </c>
      <c r="L46" s="191">
        <f t="shared" ref="L46:L70" si="10">IFERROR(((K46/$K$11)*$F$11)/(F46+I46),0)</f>
        <v>17452.402364036381</v>
      </c>
      <c r="M46" s="187">
        <f t="shared" si="2"/>
        <v>546260.19399433874</v>
      </c>
      <c r="N46" s="187">
        <f t="shared" si="3"/>
        <v>-1452.4023640363812</v>
      </c>
      <c r="O46" s="187">
        <f t="shared" si="5"/>
        <v>-45460.193994338741</v>
      </c>
      <c r="P46" s="187"/>
    </row>
    <row r="47" spans="1:17" x14ac:dyDescent="0.35">
      <c r="A47" t="s">
        <v>2169</v>
      </c>
      <c r="B47" s="3">
        <f>_xlfn.IFNA(_xlfn.XLOOKUP(A47,'Price list'!J:J,'Price list'!K:K),0)</f>
        <v>5000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10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7" x14ac:dyDescent="0.35">
      <c r="A48" t="s">
        <v>3894</v>
      </c>
      <c r="B48" s="3">
        <f>_xlfn.IFNA(_xlfn.XLOOKUP(A48,'Price list'!J:J,'Price list'!K:K),0)</f>
        <v>4500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0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2170</v>
      </c>
      <c r="B49" s="3">
        <f>_xlfn.IFNA(_xlfn.XLOOKUP(A49,'Price list'!J:J,'Price list'!K:K),0)</f>
        <v>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0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2171</v>
      </c>
      <c r="B50" s="3">
        <f>_xlfn.IFNA(_xlfn.XLOOKUP(A50,'Price list'!J:J,'Price list'!K:K),0)</f>
        <v>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0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3895</v>
      </c>
      <c r="B51" s="3">
        <f>_xlfn.IFNA(_xlfn.XLOOKUP(A51,'Price list'!J:J,'Price list'!K:K),0)</f>
        <v>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10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3896</v>
      </c>
      <c r="B52" s="3">
        <f>_xlfn.IFNA(_xlfn.XLOOKUP(A52,'Price list'!J:J,'Price list'!K:K),0)</f>
        <v>34000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0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s="186" customFormat="1" x14ac:dyDescent="0.35">
      <c r="A53" s="186" t="s">
        <v>3897</v>
      </c>
      <c r="B53" s="187">
        <f>_xlfn.IFNA(_xlfn.XLOOKUP(A53,'Price list'!J:J,'Price list'!K:K),0)</f>
        <v>34000</v>
      </c>
      <c r="C53" s="186" t="s">
        <v>9</v>
      </c>
      <c r="E53" s="187"/>
      <c r="F53" s="187"/>
      <c r="G53" s="187" t="s">
        <v>571</v>
      </c>
      <c r="H53" s="187" t="str">
        <f>IF(G53=0,"",_xlfn.XLOOKUP(G53,List_item!A:A,List_item!B:B))</f>
        <v>Karkas Uk 0.5 Karkas Uk 0.5 Frozen Grade A</v>
      </c>
      <c r="I53" s="187">
        <v>0.57999999999999996</v>
      </c>
      <c r="J53" s="189">
        <f t="shared" si="4"/>
        <v>5.9183069560514682E-5</v>
      </c>
      <c r="K53" s="187">
        <f t="shared" si="0"/>
        <v>19720</v>
      </c>
      <c r="L53" s="191">
        <f t="shared" si="10"/>
        <v>37086.355023577322</v>
      </c>
      <c r="M53" s="187">
        <f t="shared" si="2"/>
        <v>21510.085913674844</v>
      </c>
      <c r="N53" s="187">
        <f t="shared" si="3"/>
        <v>-3086.3550235773218</v>
      </c>
      <c r="O53" s="187">
        <f t="shared" si="5"/>
        <v>-1790.0859136748441</v>
      </c>
      <c r="P53" s="187"/>
    </row>
    <row r="54" spans="1:16" s="186" customFormat="1" x14ac:dyDescent="0.35">
      <c r="A54" s="186" t="s">
        <v>3898</v>
      </c>
      <c r="B54" s="187">
        <f>_xlfn.IFNA(_xlfn.XLOOKUP(A54,'Price list'!J:J,'Price list'!K:K),0)</f>
        <v>34000</v>
      </c>
      <c r="C54" s="186" t="s">
        <v>9</v>
      </c>
      <c r="E54" s="187"/>
      <c r="F54" s="187"/>
      <c r="G54" s="187" t="s">
        <v>636</v>
      </c>
      <c r="H54" s="187" t="str">
        <f>IF(G54=0,"",_xlfn.XLOOKUP(G54,List_item!A:A,List_item!B:B))</f>
        <v>Karkas Uk 0.6 Karkas Uk 0.6 Frozen Grade A</v>
      </c>
      <c r="I54" s="187">
        <v>15.42</v>
      </c>
      <c r="J54" s="189">
        <f t="shared" si="4"/>
        <v>1.5734533321088559E-3</v>
      </c>
      <c r="K54" s="187">
        <f t="shared" si="0"/>
        <v>524280</v>
      </c>
      <c r="L54" s="191">
        <f t="shared" si="10"/>
        <v>37086.355023577315</v>
      </c>
      <c r="M54" s="187">
        <f t="shared" si="2"/>
        <v>571871.59446356224</v>
      </c>
      <c r="N54" s="187">
        <f t="shared" si="3"/>
        <v>-3086.3550235773146</v>
      </c>
      <c r="O54" s="187">
        <f t="shared" si="5"/>
        <v>-47591.594463562244</v>
      </c>
      <c r="P54" s="187"/>
    </row>
    <row r="55" spans="1:16" s="186" customFormat="1" x14ac:dyDescent="0.35">
      <c r="A55" s="186" t="s">
        <v>3899</v>
      </c>
      <c r="B55" s="187">
        <f>_xlfn.IFNA(_xlfn.XLOOKUP(A55,'Price list'!J:J,'Price list'!K:K),0)</f>
        <v>34000</v>
      </c>
      <c r="C55" s="186" t="s">
        <v>9</v>
      </c>
      <c r="E55" s="187"/>
      <c r="F55" s="187"/>
      <c r="G55" s="187" t="s">
        <v>701</v>
      </c>
      <c r="H55" s="187" t="str">
        <f>IF(G55=0,"",_xlfn.XLOOKUP(G55,List_item!A:A,List_item!B:B))</f>
        <v>Karkas Uk 0.7 Karkas Uk 0.7 Frozen Grade A</v>
      </c>
      <c r="I55" s="187">
        <v>53.98</v>
      </c>
      <c r="J55" s="189">
        <f t="shared" si="4"/>
        <v>5.508107060132039E-3</v>
      </c>
      <c r="K55" s="187">
        <f t="shared" si="0"/>
        <v>1835320</v>
      </c>
      <c r="L55" s="191">
        <f t="shared" si="10"/>
        <v>37086.355023577315</v>
      </c>
      <c r="M55" s="187">
        <f t="shared" si="2"/>
        <v>2001921.4441727034</v>
      </c>
      <c r="N55" s="187">
        <f t="shared" si="3"/>
        <v>-3086.3550235773146</v>
      </c>
      <c r="O55" s="187">
        <f t="shared" si="5"/>
        <v>-166601.44417270343</v>
      </c>
      <c r="P55" s="187"/>
    </row>
    <row r="56" spans="1:16" s="186" customFormat="1" x14ac:dyDescent="0.35">
      <c r="A56" s="186" t="s">
        <v>3900</v>
      </c>
      <c r="B56" s="187">
        <f>_xlfn.IFNA(_xlfn.XLOOKUP(A56,'Price list'!J:J,'Price list'!K:K),0)</f>
        <v>34000</v>
      </c>
      <c r="C56" s="186" t="s">
        <v>9</v>
      </c>
      <c r="E56" s="187"/>
      <c r="F56" s="187"/>
      <c r="G56" s="187" t="s">
        <v>766</v>
      </c>
      <c r="H56" s="187" t="str">
        <f>IF(G56=0,"",_xlfn.XLOOKUP(G56,List_item!A:A,List_item!B:B))</f>
        <v>Karkas Uk 0.8 Karkas Uk 0.8 Frozen Grade A</v>
      </c>
      <c r="I56" s="187">
        <v>134.26</v>
      </c>
      <c r="J56" s="189">
        <f t="shared" si="4"/>
        <v>1.3699860205508105E-2</v>
      </c>
      <c r="K56" s="187">
        <f t="shared" si="0"/>
        <v>4564840</v>
      </c>
      <c r="L56" s="191">
        <f t="shared" si="10"/>
        <v>37086.355023577315</v>
      </c>
      <c r="M56" s="187">
        <f t="shared" si="2"/>
        <v>4979214.0254654903</v>
      </c>
      <c r="N56" s="187">
        <f t="shared" si="3"/>
        <v>-3086.3550235773146</v>
      </c>
      <c r="O56" s="187">
        <f t="shared" si="5"/>
        <v>-414374.0254654903</v>
      </c>
      <c r="P56" s="187"/>
    </row>
    <row r="57" spans="1:16" s="186" customFormat="1" x14ac:dyDescent="0.35">
      <c r="A57" s="186" t="s">
        <v>3901</v>
      </c>
      <c r="B57" s="187">
        <f>_xlfn.IFNA(_xlfn.XLOOKUP(A57,'Price list'!J:J,'Price list'!K:K),0)</f>
        <v>34000</v>
      </c>
      <c r="C57" s="186" t="s">
        <v>9</v>
      </c>
      <c r="E57" s="187"/>
      <c r="F57" s="187"/>
      <c r="G57" s="187" t="s">
        <v>831</v>
      </c>
      <c r="H57" s="187" t="str">
        <f>IF(G57=0,"",_xlfn.XLOOKUP(G57,List_item!A:A,List_item!B:B))</f>
        <v>Karkas Uk 0.9 Karkas Uk 0.9 Frozen Grade A</v>
      </c>
      <c r="I57" s="187">
        <v>551.02</v>
      </c>
      <c r="J57" s="189">
        <f t="shared" si="4"/>
        <v>5.6225956877991035E-2</v>
      </c>
      <c r="K57" s="187">
        <f t="shared" si="0"/>
        <v>18734680</v>
      </c>
      <c r="L57" s="191">
        <f t="shared" si="10"/>
        <v>37086.355023577322</v>
      </c>
      <c r="M57" s="187">
        <f t="shared" si="2"/>
        <v>20435323.345091574</v>
      </c>
      <c r="N57" s="187">
        <f t="shared" si="3"/>
        <v>-3086.3550235773218</v>
      </c>
      <c r="O57" s="187">
        <f t="shared" si="5"/>
        <v>-1700643.3450915739</v>
      </c>
      <c r="P57" s="187"/>
    </row>
    <row r="58" spans="1:16" s="186" customFormat="1" x14ac:dyDescent="0.35">
      <c r="A58" s="186" t="s">
        <v>3902</v>
      </c>
      <c r="B58" s="187">
        <f>_xlfn.IFNA(_xlfn.XLOOKUP(A58,'Price list'!J:J,'Price list'!K:K),0)</f>
        <v>34000</v>
      </c>
      <c r="C58" s="186" t="s">
        <v>9</v>
      </c>
      <c r="E58" s="187"/>
      <c r="F58" s="187"/>
      <c r="G58" s="187" t="s">
        <v>896</v>
      </c>
      <c r="H58" s="187" t="str">
        <f>IF(G58=0,"",_xlfn.XLOOKUP(G58,List_item!A:A,List_item!B:B))</f>
        <v>Karkas Uk 1.0 Karkas Uk 1.0 Frozen Grade A</v>
      </c>
      <c r="I58" s="187">
        <v>353.79</v>
      </c>
      <c r="J58" s="189">
        <f t="shared" si="4"/>
        <v>3.6100652034162919E-2</v>
      </c>
      <c r="K58" s="187">
        <f t="shared" si="0"/>
        <v>12028860</v>
      </c>
      <c r="L58" s="191">
        <f t="shared" si="10"/>
        <v>37086.355023577315</v>
      </c>
      <c r="M58" s="187">
        <f t="shared" si="2"/>
        <v>13120781.543791419</v>
      </c>
      <c r="N58" s="187">
        <f t="shared" si="3"/>
        <v>-3086.3550235773146</v>
      </c>
      <c r="O58" s="187">
        <f t="shared" si="5"/>
        <v>-1091921.5437914189</v>
      </c>
      <c r="P58" s="187"/>
    </row>
    <row r="59" spans="1:16" s="186" customFormat="1" x14ac:dyDescent="0.35">
      <c r="A59" s="186" t="s">
        <v>3903</v>
      </c>
      <c r="B59" s="187">
        <f>_xlfn.IFNA(_xlfn.XLOOKUP(A59,'Price list'!J:J,'Price list'!K:K),0)</f>
        <v>34000</v>
      </c>
      <c r="C59" s="186" t="s">
        <v>9</v>
      </c>
      <c r="E59" s="187"/>
      <c r="F59" s="187"/>
      <c r="G59" s="187" t="s">
        <v>962</v>
      </c>
      <c r="H59" s="187" t="str">
        <f>IF(G59=0,"",_xlfn.XLOOKUP(G59,List_item!A:A,List_item!B:B))</f>
        <v>Karkas Uk 1.1 Karkas Uk 1.1 Frozen Grade A</v>
      </c>
      <c r="I59" s="187">
        <v>146.62</v>
      </c>
      <c r="J59" s="189">
        <f t="shared" si="4"/>
        <v>1.4961071825797695E-2</v>
      </c>
      <c r="K59" s="187">
        <f t="shared" si="0"/>
        <v>4985080</v>
      </c>
      <c r="L59" s="191">
        <f t="shared" si="10"/>
        <v>37086.355023577315</v>
      </c>
      <c r="M59" s="187">
        <f t="shared" si="2"/>
        <v>5437601.3735569064</v>
      </c>
      <c r="N59" s="187">
        <f t="shared" si="3"/>
        <v>-3086.3550235773146</v>
      </c>
      <c r="O59" s="187">
        <f t="shared" si="5"/>
        <v>-452521.37355690636</v>
      </c>
      <c r="P59" s="187"/>
    </row>
    <row r="60" spans="1:16" s="186" customFormat="1" x14ac:dyDescent="0.35">
      <c r="A60" s="186" t="s">
        <v>3904</v>
      </c>
      <c r="B60" s="187">
        <f>_xlfn.IFNA(_xlfn.XLOOKUP(A60,'Price list'!J:J,'Price list'!K:K),0)</f>
        <v>34000</v>
      </c>
      <c r="C60" s="186" t="s">
        <v>9</v>
      </c>
      <c r="E60" s="187"/>
      <c r="F60" s="187"/>
      <c r="G60" s="187" t="s">
        <v>1028</v>
      </c>
      <c r="H60" s="187" t="str">
        <f>IF(G60=0,"",_xlfn.XLOOKUP(G60,List_item!A:A,List_item!B:B))</f>
        <v>Karkas Uk 1.2 Karkas Uk 1.2 Frozen Grade A</v>
      </c>
      <c r="I60" s="187">
        <v>46.42</v>
      </c>
      <c r="J60" s="189">
        <f t="shared" si="4"/>
        <v>4.7366863603432617E-3</v>
      </c>
      <c r="K60" s="187">
        <f t="shared" si="0"/>
        <v>1578280</v>
      </c>
      <c r="L60" s="191">
        <f t="shared" si="10"/>
        <v>37086.355023577315</v>
      </c>
      <c r="M60" s="187">
        <f t="shared" si="2"/>
        <v>1721548.6001944591</v>
      </c>
      <c r="N60" s="187">
        <f t="shared" si="3"/>
        <v>-3086.3550235773146</v>
      </c>
      <c r="O60" s="187">
        <f t="shared" si="5"/>
        <v>-143268.60019445908</v>
      </c>
      <c r="P60" s="187"/>
    </row>
    <row r="61" spans="1:16" s="186" customFormat="1" x14ac:dyDescent="0.35">
      <c r="A61" s="186" t="s">
        <v>3905</v>
      </c>
      <c r="B61" s="187">
        <f>_xlfn.IFNA(_xlfn.XLOOKUP(A61,'Price list'!J:J,'Price list'!K:K),0)</f>
        <v>34000</v>
      </c>
      <c r="C61" s="186" t="s">
        <v>9</v>
      </c>
      <c r="E61" s="187"/>
      <c r="F61" s="187"/>
      <c r="G61" s="187" t="s">
        <v>1094</v>
      </c>
      <c r="H61" s="187" t="str">
        <f>IF(G61=0,"",_xlfn.XLOOKUP(G61,List_item!A:A,List_item!B:B))</f>
        <v>Karkas Uk 1.3 Karkas Uk 1.3 Frozen Grade A</v>
      </c>
      <c r="I61" s="187">
        <v>8.26</v>
      </c>
      <c r="J61" s="189">
        <f t="shared" si="4"/>
        <v>8.4284854236181257E-4</v>
      </c>
      <c r="K61" s="187">
        <f t="shared" si="0"/>
        <v>280840</v>
      </c>
      <c r="L61" s="191">
        <f t="shared" si="10"/>
        <v>37086.355023577322</v>
      </c>
      <c r="M61" s="187">
        <f t="shared" si="2"/>
        <v>306333.29249474866</v>
      </c>
      <c r="N61" s="187">
        <f t="shared" si="3"/>
        <v>-3086.3550235773218</v>
      </c>
      <c r="O61" s="187">
        <f t="shared" si="5"/>
        <v>-25493.292494748661</v>
      </c>
      <c r="P61" s="187"/>
    </row>
    <row r="62" spans="1:16" x14ac:dyDescent="0.35">
      <c r="A62" t="s">
        <v>3906</v>
      </c>
      <c r="B62" s="3">
        <f>_xlfn.IFNA(_xlfn.XLOOKUP(A62,'Price list'!J:J,'Price list'!K:K),0)</f>
        <v>34000</v>
      </c>
      <c r="C62" t="s">
        <v>9</v>
      </c>
      <c r="E62" s="3"/>
      <c r="F62" s="3"/>
      <c r="G62" s="3"/>
      <c r="H62" s="3" t="str">
        <f>IF(G62=0,"",_xlfn.XLOOKUP(G62,List_item!A:A,List_item!B:B))</f>
        <v/>
      </c>
      <c r="I62" s="3">
        <v>0</v>
      </c>
      <c r="J62" s="26">
        <f t="shared" si="4"/>
        <v>0</v>
      </c>
      <c r="K62" s="3">
        <f t="shared" si="0"/>
        <v>0</v>
      </c>
      <c r="L62" s="27">
        <f t="shared" si="10"/>
        <v>0</v>
      </c>
      <c r="M62" s="3">
        <f t="shared" si="2"/>
        <v>0</v>
      </c>
      <c r="N62" s="3">
        <f t="shared" si="3"/>
        <v>0</v>
      </c>
      <c r="O62" s="3">
        <f t="shared" si="5"/>
        <v>0</v>
      </c>
      <c r="P62" s="3"/>
    </row>
    <row r="63" spans="1:16" x14ac:dyDescent="0.35">
      <c r="A63" t="s">
        <v>3907</v>
      </c>
      <c r="B63" s="3">
        <f>_xlfn.IFNA(_xlfn.XLOOKUP(A63,'Price list'!J:J,'Price list'!K:K),0)</f>
        <v>34000</v>
      </c>
      <c r="C63" t="s">
        <v>9</v>
      </c>
      <c r="E63" s="3"/>
      <c r="F63" s="3"/>
      <c r="G63" s="3"/>
      <c r="H63" s="3" t="str">
        <f>IF(G63=0,"",_xlfn.XLOOKUP(G63,List_item!A:A,List_item!B:B))</f>
        <v/>
      </c>
      <c r="I63" s="3">
        <v>0</v>
      </c>
      <c r="J63" s="26">
        <f t="shared" si="4"/>
        <v>0</v>
      </c>
      <c r="K63" s="3">
        <f t="shared" si="0"/>
        <v>0</v>
      </c>
      <c r="L63" s="27">
        <f t="shared" si="10"/>
        <v>0</v>
      </c>
      <c r="M63" s="3">
        <f t="shared" si="2"/>
        <v>0</v>
      </c>
      <c r="N63" s="3">
        <f t="shared" si="3"/>
        <v>0</v>
      </c>
      <c r="O63" s="3">
        <f t="shared" si="5"/>
        <v>0</v>
      </c>
      <c r="P63" s="3"/>
    </row>
    <row r="64" spans="1:16" x14ac:dyDescent="0.35">
      <c r="A64" t="s">
        <v>3908</v>
      </c>
      <c r="B64" s="3">
        <f>_xlfn.IFNA(_xlfn.XLOOKUP(A64,'Price list'!J:J,'Price list'!K:K),0)</f>
        <v>34000</v>
      </c>
      <c r="C64" t="s">
        <v>9</v>
      </c>
      <c r="E64" s="3"/>
      <c r="F64" s="3"/>
      <c r="G64" s="3"/>
      <c r="H64" s="3" t="str">
        <f>IF(G64=0,"",_xlfn.XLOOKUP(G64,List_item!A:A,List_item!B:B))</f>
        <v/>
      </c>
      <c r="I64" s="3">
        <v>0</v>
      </c>
      <c r="J64" s="26">
        <f t="shared" si="4"/>
        <v>0</v>
      </c>
      <c r="K64" s="3">
        <f t="shared" si="0"/>
        <v>0</v>
      </c>
      <c r="L64" s="27">
        <f t="shared" si="10"/>
        <v>0</v>
      </c>
      <c r="M64" s="3">
        <f t="shared" si="2"/>
        <v>0</v>
      </c>
      <c r="N64" s="3">
        <f t="shared" si="3"/>
        <v>0</v>
      </c>
      <c r="O64" s="3">
        <f t="shared" si="5"/>
        <v>0</v>
      </c>
      <c r="P64" s="3"/>
    </row>
    <row r="65" spans="1:17" x14ac:dyDescent="0.35">
      <c r="A65" t="s">
        <v>3909</v>
      </c>
      <c r="B65" s="3">
        <f>_xlfn.IFNA(_xlfn.XLOOKUP(A65,'Price list'!J:J,'Price list'!K:K),0)</f>
        <v>34000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0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7" x14ac:dyDescent="0.35">
      <c r="A66" t="s">
        <v>3945</v>
      </c>
      <c r="B66" s="3">
        <f>_xlfn.IFNA(_xlfn.XLOOKUP(A66,'Price list'!J:J,'Price list'!K:K),0)</f>
        <v>34000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0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7" x14ac:dyDescent="0.35">
      <c r="A67" t="s">
        <v>3911</v>
      </c>
      <c r="B67" s="3">
        <f>_xlfn.IFNA(_xlfn.XLOOKUP(A67,'Price list'!J:J,'Price list'!K:K),0)</f>
        <v>34000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0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7" x14ac:dyDescent="0.35">
      <c r="A68" t="s">
        <v>3912</v>
      </c>
      <c r="B68" s="3">
        <f>_xlfn.IFNA(_xlfn.XLOOKUP(A68,'Price list'!J:J,'Price list'!K:K),0)</f>
        <v>34000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0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7" x14ac:dyDescent="0.35">
      <c r="A69" t="s">
        <v>3913</v>
      </c>
      <c r="B69" s="3">
        <f>_xlfn.IFNA(_xlfn.XLOOKUP(A69,'Price list'!J:J,'Price list'!K:K),0)</f>
        <v>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0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7" x14ac:dyDescent="0.35">
      <c r="A70" t="s">
        <v>3914</v>
      </c>
      <c r="B70" s="3">
        <f>_xlfn.IFNA(_xlfn.XLOOKUP(A70,'Price list'!J:J,'Price list'!K:K),0)</f>
        <v>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0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7" x14ac:dyDescent="0.35">
      <c r="A71" t="s">
        <v>4055</v>
      </c>
      <c r="B71" s="3">
        <f>_xlfn.IFNA(_xlfn.XLOOKUP(A71,'Price list'!J:J,'Price list'!K:K),0)</f>
        <v>45000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109">
        <f>IFERROR(((K71/$K$11)*$F$11)/(F71+I71),0)+IFERROR(((K71/SUMIF(H:H,"*Boneless*",K:K))*$F$6)/I71,0)</f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>
        <f>IFERROR(((K71/SUMIF(H:H,"*Boneless*",K:K))*$F$6),0)</f>
        <v>0</v>
      </c>
      <c r="Q71">
        <f>SUMIF(H:H,"*Boneless*",K:K)</f>
        <v>11568050</v>
      </c>
    </row>
    <row r="72" spans="1:17" x14ac:dyDescent="0.35">
      <c r="A72" t="s">
        <v>3916</v>
      </c>
      <c r="B72" s="3">
        <f>_xlfn.IFNA(_xlfn.XLOOKUP(A72,'Price list'!J:J,'Price list'!K:K),0)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ref="L72:L80" si="11">IFERROR(((K72/$K$11)*$F$11)/(F72+I72),0)</f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7" x14ac:dyDescent="0.35">
      <c r="A73" t="s">
        <v>4062</v>
      </c>
      <c r="B73" s="3">
        <f>_xlfn.IFNA(_xlfn.XLOOKUP(A73,'Price list'!J:J,'Price list'!K:K),0)</f>
        <v>44000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1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7" x14ac:dyDescent="0.35">
      <c r="A74" t="s">
        <v>3918</v>
      </c>
      <c r="B74" s="3">
        <f>_xlfn.IFNA(_xlfn.XLOOKUP(A74,'Price list'!J:J,'Price list'!K:K),0)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1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7" x14ac:dyDescent="0.35">
      <c r="A75" t="s">
        <v>3919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si="11"/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7" x14ac:dyDescent="0.35">
      <c r="A76" t="s">
        <v>3920</v>
      </c>
      <c r="B76" s="3">
        <f>_xlfn.IFNA(_xlfn.XLOOKUP(A76,'Price list'!J:J,'Price list'!K:K),0)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ref="K76:K81" si="12">+B76*(F76+I76)</f>
        <v>0</v>
      </c>
      <c r="L76" s="27">
        <f t="shared" si="11"/>
        <v>0</v>
      </c>
      <c r="M76" s="3">
        <f t="shared" ref="M76:M81" si="13">+L76*(F76+I76)</f>
        <v>0</v>
      </c>
      <c r="N76" s="3">
        <f t="shared" ref="N76:N81" si="14">IF(L76=0,0,B76-L76)</f>
        <v>0</v>
      </c>
      <c r="O76" s="3">
        <f t="shared" si="5"/>
        <v>0</v>
      </c>
      <c r="P76" s="3"/>
    </row>
    <row r="77" spans="1:17" x14ac:dyDescent="0.35">
      <c r="A77" t="s">
        <v>3921</v>
      </c>
      <c r="B77" s="3">
        <f>_xlfn.IFNA(_xlfn.XLOOKUP(A77,'Price list'!J:J,'Price list'!K:K),0)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ref="J77:J81" si="15">IF(F77/J$5&gt;0,F77/J$5,I77/J$5)</f>
        <v>0</v>
      </c>
      <c r="K77" s="3">
        <f t="shared" si="12"/>
        <v>0</v>
      </c>
      <c r="L77" s="27">
        <f t="shared" si="11"/>
        <v>0</v>
      </c>
      <c r="M77" s="3">
        <f t="shared" si="13"/>
        <v>0</v>
      </c>
      <c r="N77" s="3">
        <f t="shared" si="14"/>
        <v>0</v>
      </c>
      <c r="O77" s="3">
        <f t="shared" ref="O77:O81" si="16">+K77-M77</f>
        <v>0</v>
      </c>
      <c r="P77" s="3"/>
    </row>
    <row r="78" spans="1:17" x14ac:dyDescent="0.35">
      <c r="A78" t="s">
        <v>3922</v>
      </c>
      <c r="B78" s="3">
        <f>_xlfn.IFNA(_xlfn.XLOOKUP(A78,'Price list'!J:J,'Price list'!K:K),0)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15"/>
        <v>0</v>
      </c>
      <c r="K78" s="3">
        <f t="shared" si="12"/>
        <v>0</v>
      </c>
      <c r="L78" s="27">
        <f t="shared" si="11"/>
        <v>0</v>
      </c>
      <c r="M78" s="3">
        <f t="shared" si="13"/>
        <v>0</v>
      </c>
      <c r="N78" s="3">
        <f t="shared" si="14"/>
        <v>0</v>
      </c>
      <c r="O78" s="3">
        <f t="shared" si="16"/>
        <v>0</v>
      </c>
      <c r="P78" s="3"/>
    </row>
    <row r="79" spans="1:17" x14ac:dyDescent="0.35">
      <c r="A79" t="s">
        <v>3923</v>
      </c>
      <c r="B79" s="3">
        <f>_xlfn.IFNA(_xlfn.XLOOKUP(A79,'Price list'!J:J,'Price list'!K:K),0)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15"/>
        <v>0</v>
      </c>
      <c r="K79" s="3">
        <f t="shared" si="12"/>
        <v>0</v>
      </c>
      <c r="L79" s="27">
        <f t="shared" si="11"/>
        <v>0</v>
      </c>
      <c r="M79" s="3">
        <f t="shared" si="13"/>
        <v>0</v>
      </c>
      <c r="N79" s="3">
        <f t="shared" si="14"/>
        <v>0</v>
      </c>
      <c r="O79" s="3">
        <f t="shared" si="16"/>
        <v>0</v>
      </c>
      <c r="P79" s="3"/>
    </row>
    <row r="80" spans="1:17" x14ac:dyDescent="0.35">
      <c r="A80" t="s">
        <v>3924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15"/>
        <v>0</v>
      </c>
      <c r="K80" s="3">
        <f t="shared" si="12"/>
        <v>0</v>
      </c>
      <c r="L80" s="27">
        <f t="shared" si="11"/>
        <v>0</v>
      </c>
      <c r="M80" s="3">
        <f t="shared" si="13"/>
        <v>0</v>
      </c>
      <c r="N80" s="3">
        <f t="shared" si="14"/>
        <v>0</v>
      </c>
      <c r="O80" s="3">
        <f t="shared" si="16"/>
        <v>0</v>
      </c>
      <c r="P80" s="3"/>
    </row>
    <row r="81" spans="1:18" x14ac:dyDescent="0.35">
      <c r="A81" t="s">
        <v>4060</v>
      </c>
      <c r="B81" s="3">
        <f>_xlfn.IFNA(_xlfn.XLOOKUP(A81,'Price list'!J:J,'Price list'!K:K),0)</f>
        <v>36000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15"/>
        <v>0</v>
      </c>
      <c r="K81" s="3">
        <f t="shared" si="12"/>
        <v>0</v>
      </c>
      <c r="L81" s="109">
        <f>IFERROR(((K81/$K$11)*$F$11)/(F81+I81),0)+IFERROR(((K81/SUMIF(H:H,"*Boneless*",K:K))*$F$6)/I81,0)</f>
        <v>0</v>
      </c>
      <c r="M81" s="3">
        <f t="shared" si="13"/>
        <v>0</v>
      </c>
      <c r="N81" s="3">
        <f t="shared" si="14"/>
        <v>0</v>
      </c>
      <c r="O81" s="3">
        <f t="shared" si="16"/>
        <v>0</v>
      </c>
      <c r="P81" s="3">
        <f>IFERROR(((K81/SUMIF(H:H,"*Boneless*",K:K))*$F$6),0)</f>
        <v>0</v>
      </c>
      <c r="Q81">
        <f>SUMIF(H:H,"*Boneless*",K:K)</f>
        <v>11568050</v>
      </c>
    </row>
    <row r="83" spans="1:18" s="2" customFormat="1" x14ac:dyDescent="0.35">
      <c r="A83" t="s">
        <v>3929</v>
      </c>
      <c r="B83"/>
      <c r="C83"/>
      <c r="D83"/>
      <c r="E83"/>
      <c r="F83" s="117"/>
      <c r="G83" t="s">
        <v>3930</v>
      </c>
      <c r="Q83"/>
      <c r="R83"/>
    </row>
    <row r="84" spans="1:18" s="2" customFormat="1" x14ac:dyDescent="0.35">
      <c r="A84"/>
      <c r="B84"/>
      <c r="C84"/>
      <c r="D84"/>
      <c r="E84"/>
      <c r="F84" s="117"/>
      <c r="G84"/>
      <c r="Q84"/>
      <c r="R84"/>
    </row>
    <row r="85" spans="1:18" s="2" customFormat="1" x14ac:dyDescent="0.35">
      <c r="A85"/>
      <c r="B85"/>
      <c r="C85"/>
      <c r="D85"/>
      <c r="E85"/>
      <c r="F85" s="117"/>
      <c r="G85"/>
      <c r="Q85"/>
      <c r="R85"/>
    </row>
    <row r="86" spans="1:18" s="2" customFormat="1" x14ac:dyDescent="0.35">
      <c r="A86"/>
      <c r="B86"/>
      <c r="C86"/>
      <c r="D86"/>
      <c r="E86"/>
      <c r="F86" s="117"/>
      <c r="G86"/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 s="118"/>
      <c r="B89"/>
      <c r="C89"/>
      <c r="D89"/>
      <c r="E89"/>
      <c r="F89" s="117"/>
      <c r="G89" s="118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</sheetData>
  <autoFilter ref="A11:P81" xr:uid="{9E3D57EB-0D9F-40FE-B4FE-C94EEFF00F8F}"/>
  <conditionalFormatting sqref="O11">
    <cfRule type="cellIs" dxfId="15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65" max="1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C028-16E0-4D27-91F8-AEF00C46CC13}">
  <sheetPr>
    <tabColor theme="3"/>
    <pageSetUpPr fitToPage="1"/>
  </sheetPr>
  <dimension ref="A1:R96"/>
  <sheetViews>
    <sheetView zoomScale="80" zoomScaleNormal="80" workbookViewId="0">
      <pane xSplit="3" ySplit="10" topLeftCell="D52" activePane="bottomRight" state="frozen"/>
      <selection activeCell="A751" sqref="A751"/>
      <selection pane="topRight" activeCell="A751" sqref="A751"/>
      <selection pane="bottomLeft" activeCell="A751" sqref="A751"/>
      <selection pane="bottomRight" activeCell="H56" sqref="A56:XFD68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4.6328125" style="2" bestFit="1" customWidth="1"/>
    <col min="10" max="10" width="11.26953125" style="2" bestFit="1" customWidth="1"/>
    <col min="11" max="11" width="17.81640625" style="2" bestFit="1" customWidth="1"/>
    <col min="12" max="12" width="16.36328125" style="2" bestFit="1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+I9/E11</f>
        <v>3.7412428571428569</v>
      </c>
    </row>
    <row r="2" spans="1:18" x14ac:dyDescent="0.35">
      <c r="A2" s="18" t="s">
        <v>3865</v>
      </c>
      <c r="E2" s="159"/>
      <c r="F2" s="159">
        <v>46289</v>
      </c>
      <c r="G2" s="19" t="s">
        <v>3943</v>
      </c>
    </row>
    <row r="3" spans="1:18" x14ac:dyDescent="0.35">
      <c r="A3" s="101" t="s">
        <v>3866</v>
      </c>
      <c r="B3" s="2">
        <f>(3507.9+3322.6+3356.6+3440+3300+3300-341.6-297.2)*25500</f>
        <v>499501650</v>
      </c>
      <c r="C3" s="19">
        <f>B3*0.25%</f>
        <v>1248754.125</v>
      </c>
      <c r="E3" s="157"/>
      <c r="F3" s="157" t="s">
        <v>4140</v>
      </c>
      <c r="G3" s="156" t="s">
        <v>4073</v>
      </c>
      <c r="H3" s="157" t="s">
        <v>4139</v>
      </c>
      <c r="I3" s="101" t="s">
        <v>3870</v>
      </c>
      <c r="J3" s="2" t="s">
        <v>4069</v>
      </c>
      <c r="Q3" s="25"/>
      <c r="R3" s="2"/>
    </row>
    <row r="4" spans="1:18" x14ac:dyDescent="0.35">
      <c r="A4" s="101" t="s">
        <v>3867</v>
      </c>
      <c r="B4" s="2">
        <f>6*2800000</f>
        <v>16800000</v>
      </c>
      <c r="C4" s="6"/>
      <c r="E4"/>
      <c r="F4" s="157"/>
      <c r="G4" s="157"/>
      <c r="H4" s="157" t="s">
        <v>4074</v>
      </c>
      <c r="I4" s="101" t="s">
        <v>3872</v>
      </c>
      <c r="J4" s="115">
        <v>46289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f>26250640+(360360*2)</f>
        <v>26971360</v>
      </c>
      <c r="C5" s="2">
        <f>29138240+400000*2</f>
        <v>29938240</v>
      </c>
      <c r="E5" s="157"/>
      <c r="F5" s="157">
        <v>499491650</v>
      </c>
      <c r="G5" s="157" t="s">
        <v>4137</v>
      </c>
      <c r="H5" s="157" t="s">
        <v>4075</v>
      </c>
      <c r="I5" s="101" t="s">
        <v>3944</v>
      </c>
      <c r="J5" s="19">
        <f>I6-341.6-297.2</f>
        <v>19588.3</v>
      </c>
      <c r="K5" s="2">
        <v>18211.400000000001</v>
      </c>
      <c r="L5" s="2">
        <f>J5-K5</f>
        <v>1376.8999999999978</v>
      </c>
      <c r="M5" s="147">
        <f>L5/J5</f>
        <v>7.029195999652843E-2</v>
      </c>
      <c r="N5" s="2">
        <f>24+6+244+7+206+4</f>
        <v>491</v>
      </c>
      <c r="O5" s="2">
        <f>31.5+8.3+341.6+10.1+297.2+5.6</f>
        <v>694.30000000000007</v>
      </c>
    </row>
    <row r="6" spans="1:18" x14ac:dyDescent="0.35">
      <c r="A6" s="102" t="s">
        <v>3869</v>
      </c>
      <c r="B6" s="19">
        <f>SUBTOTAL(9,B3:B5)</f>
        <v>543273010</v>
      </c>
      <c r="E6" s="149" t="s">
        <v>4054</v>
      </c>
      <c r="F6" s="93"/>
      <c r="I6" s="154">
        <f>(3507.9+3322.6+3356.6+3440+3300+3300)</f>
        <v>20227.099999999999</v>
      </c>
      <c r="J6" s="19">
        <f>I6-J5</f>
        <v>638.79999999999927</v>
      </c>
      <c r="M6" s="147"/>
    </row>
    <row r="7" spans="1:18" x14ac:dyDescent="0.35">
      <c r="B7" s="2">
        <f>B6+F6</f>
        <v>543273010</v>
      </c>
      <c r="Q7" s="25"/>
    </row>
    <row r="8" spans="1:18" ht="4.5" customHeight="1" x14ac:dyDescent="0.35">
      <c r="A8" s="101"/>
    </row>
    <row r="9" spans="1:18" x14ac:dyDescent="0.35">
      <c r="A9" s="8"/>
      <c r="B9" s="19"/>
      <c r="C9" s="18"/>
      <c r="E9" s="18"/>
      <c r="I9" s="2">
        <f>J9+3300.2*2</f>
        <v>26188.699999999997</v>
      </c>
      <c r="J9" s="2">
        <f>J5-J7</f>
        <v>19588.3</v>
      </c>
      <c r="K9" s="19" t="s">
        <v>3931</v>
      </c>
      <c r="L9" s="28">
        <f>SUM(K12:K72)/M11-1</f>
        <v>-6.4391032420329508E-2</v>
      </c>
    </row>
    <row r="10" spans="1:18" ht="28.5" customHeight="1" x14ac:dyDescent="0.35">
      <c r="A10" s="112" t="s">
        <v>27</v>
      </c>
      <c r="B10" s="119" t="s">
        <v>3938</v>
      </c>
      <c r="C10" s="112" t="s">
        <v>4</v>
      </c>
      <c r="D10" s="1"/>
      <c r="E10" s="113" t="s">
        <v>28</v>
      </c>
      <c r="F10" s="110" t="s">
        <v>6</v>
      </c>
      <c r="G10" s="110" t="s">
        <v>3937</v>
      </c>
      <c r="H10" s="120" t="s">
        <v>3926</v>
      </c>
      <c r="I10" s="110" t="s">
        <v>3835</v>
      </c>
      <c r="J10" s="119" t="s">
        <v>2177</v>
      </c>
      <c r="K10" s="119" t="s">
        <v>3932</v>
      </c>
      <c r="L10" s="119" t="s">
        <v>3935</v>
      </c>
      <c r="M10" s="120" t="s">
        <v>2173</v>
      </c>
      <c r="N10" s="121" t="s">
        <v>3939</v>
      </c>
      <c r="O10" s="121" t="s">
        <v>3936</v>
      </c>
      <c r="P10" s="110" t="s">
        <v>3826</v>
      </c>
    </row>
    <row r="11" spans="1:18" x14ac:dyDescent="0.35">
      <c r="A11" s="4"/>
      <c r="B11" s="24"/>
      <c r="C11" s="4"/>
      <c r="D11" s="1"/>
      <c r="E11" s="5">
        <v>7000</v>
      </c>
      <c r="F11" s="5">
        <f>+B6</f>
        <v>543273010</v>
      </c>
      <c r="G11" s="5"/>
      <c r="H11" s="5"/>
      <c r="I11" s="5">
        <f>SUM(I12:I89)</f>
        <v>16679.099999999995</v>
      </c>
      <c r="J11" s="148">
        <f>SUM(J12:J89)</f>
        <v>0.85148277287972907</v>
      </c>
      <c r="K11" s="5">
        <f>SUM(K12:K89)</f>
        <v>508291100</v>
      </c>
      <c r="L11" s="5"/>
      <c r="M11" s="5">
        <f>SUM(M12:M89)</f>
        <v>543273010</v>
      </c>
      <c r="N11" s="5"/>
      <c r="O11" s="5">
        <f>SUM(O12:O89)</f>
        <v>-34981910.000000037</v>
      </c>
    </row>
    <row r="12" spans="1:18" x14ac:dyDescent="0.35">
      <c r="A12" t="s">
        <v>3873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>IF(F12/J$5&gt;0,F12/J$5,I12/J$5)</f>
        <v>0</v>
      </c>
      <c r="K12" s="3">
        <f t="shared" ref="K12:K81" si="0">+B12*(F12+I12)</f>
        <v>0</v>
      </c>
      <c r="L12" s="27">
        <f t="shared" ref="L12:L33" si="1">IFERROR(((K12/$K$11)*$F$11)/(F12+I12),0)</f>
        <v>0</v>
      </c>
      <c r="M12" s="3">
        <f t="shared" ref="M12:M81" si="2">+L12*(F12+I12)</f>
        <v>0</v>
      </c>
      <c r="N12" s="3">
        <f t="shared" ref="N12:N81" si="3">IF(L12=0,0,B12-L12)</f>
        <v>0</v>
      </c>
      <c r="O12" s="3">
        <f>+K12-M12</f>
        <v>0</v>
      </c>
      <c r="P12" s="3"/>
    </row>
    <row r="13" spans="1:18" x14ac:dyDescent="0.35">
      <c r="A13" t="s">
        <v>3874</v>
      </c>
      <c r="B13" s="3">
        <f>_xlfn.IFNA(_xlfn.XLOOKUP(A13,'Price list'!J:J,'Price list'!K:K),0)</f>
        <v>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ref="J13:J82" si="4">IF(F13/J$5&gt;0,F13/J$5,I13/J$5)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ref="O13:O82" si="5">+K13-M13</f>
        <v>0</v>
      </c>
      <c r="P13" s="3"/>
      <c r="R13" s="3"/>
    </row>
    <row r="14" spans="1:18" x14ac:dyDescent="0.35">
      <c r="A14" t="s">
        <v>3875</v>
      </c>
      <c r="B14" s="3">
        <f>_xlfn.IFNA(_xlfn.XLOOKUP(A14,'Price list'!J:J,'Price list'!K:K),0)</f>
        <v>37000</v>
      </c>
      <c r="C14" t="s">
        <v>9</v>
      </c>
      <c r="E14" s="3"/>
      <c r="F14" s="3"/>
      <c r="G14" s="3"/>
      <c r="H14" s="3" t="str">
        <f>IF(G14=0,"",_xlfn.XLOOKUP(G14,List_item!A:A,List_item!B:B))</f>
        <v/>
      </c>
      <c r="I14" s="3">
        <v>0</v>
      </c>
      <c r="J14" s="26">
        <f t="shared" si="4"/>
        <v>0</v>
      </c>
      <c r="K14" s="3">
        <f t="shared" si="0"/>
        <v>0</v>
      </c>
      <c r="L14" s="27">
        <f t="shared" si="1"/>
        <v>0</v>
      </c>
      <c r="M14" s="3">
        <f t="shared" si="2"/>
        <v>0</v>
      </c>
      <c r="N14" s="3">
        <f t="shared" si="3"/>
        <v>0</v>
      </c>
      <c r="O14" s="3">
        <f t="shared" si="5"/>
        <v>0</v>
      </c>
      <c r="P14" s="3"/>
    </row>
    <row r="15" spans="1:18" s="186" customFormat="1" x14ac:dyDescent="0.35">
      <c r="A15" s="186" t="s">
        <v>3876</v>
      </c>
      <c r="B15" s="187">
        <f>_xlfn.IFNA(_xlfn.XLOOKUP(A15,'Price list'!J:J,'Price list'!K:K),0)</f>
        <v>37000</v>
      </c>
      <c r="C15" s="186" t="s">
        <v>9</v>
      </c>
      <c r="E15" s="187"/>
      <c r="F15" s="187"/>
      <c r="G15" s="187" t="s">
        <v>2220</v>
      </c>
      <c r="H15" s="187" t="str">
        <f>IF(G15=0,"",_xlfn.XLOOKUP(G15,List_item!A:A,List_item!B:B))</f>
        <v>Karkas Uk 0.6 Karkas Uk 0.6 Frozen Premium</v>
      </c>
      <c r="I15" s="187">
        <v>76.5</v>
      </c>
      <c r="J15" s="189">
        <f t="shared" si="4"/>
        <v>3.9053925047094441E-3</v>
      </c>
      <c r="K15" s="187">
        <f t="shared" si="0"/>
        <v>2830500</v>
      </c>
      <c r="L15" s="191">
        <f t="shared" si="1"/>
        <v>39546.435831750743</v>
      </c>
      <c r="M15" s="187">
        <f t="shared" si="2"/>
        <v>3025302.3411289318</v>
      </c>
      <c r="N15" s="187">
        <f t="shared" si="3"/>
        <v>-2546.4358317507431</v>
      </c>
      <c r="O15" s="187">
        <f t="shared" si="5"/>
        <v>-194802.34112893185</v>
      </c>
      <c r="P15" s="187"/>
    </row>
    <row r="16" spans="1:18" s="186" customFormat="1" x14ac:dyDescent="0.35">
      <c r="A16" s="186" t="s">
        <v>3877</v>
      </c>
      <c r="B16" s="187">
        <f>_xlfn.IFNA(_xlfn.XLOOKUP(A16,'Price list'!J:J,'Price list'!K:K),0)</f>
        <v>37000</v>
      </c>
      <c r="C16" s="186" t="s">
        <v>9</v>
      </c>
      <c r="G16" s="187" t="s">
        <v>2221</v>
      </c>
      <c r="H16" s="187" t="str">
        <f>IF(G16=0,"",_xlfn.XLOOKUP(G16,List_item!A:A,List_item!B:B))</f>
        <v>Karkas Uk 0.7 Karkas Uk 0.7 Frozen Premium</v>
      </c>
      <c r="I16" s="187">
        <v>615.9</v>
      </c>
      <c r="J16" s="189">
        <f t="shared" si="4"/>
        <v>3.1442238479092111E-2</v>
      </c>
      <c r="K16" s="187">
        <f t="shared" si="0"/>
        <v>22788300</v>
      </c>
      <c r="L16" s="191">
        <f t="shared" si="1"/>
        <v>39546.435831750743</v>
      </c>
      <c r="M16" s="187">
        <f t="shared" si="2"/>
        <v>24356649.828775283</v>
      </c>
      <c r="N16" s="187">
        <f t="shared" si="3"/>
        <v>-2546.4358317507431</v>
      </c>
      <c r="O16" s="187">
        <f t="shared" si="5"/>
        <v>-1568349.8287752829</v>
      </c>
      <c r="P16" s="187"/>
    </row>
    <row r="17" spans="1:16" s="186" customFormat="1" x14ac:dyDescent="0.35">
      <c r="A17" s="186" t="s">
        <v>3878</v>
      </c>
      <c r="B17" s="187">
        <f>_xlfn.IFNA(_xlfn.XLOOKUP(A17,'Price list'!J:J,'Price list'!K:K),0)</f>
        <v>37000</v>
      </c>
      <c r="C17" s="186" t="s">
        <v>9</v>
      </c>
      <c r="E17" s="187"/>
      <c r="G17" s="187" t="s">
        <v>2222</v>
      </c>
      <c r="H17" s="187" t="str">
        <f>IF(G17=0,"",_xlfn.XLOOKUP(G17,List_item!A:A,List_item!B:B))</f>
        <v>Karkas Uk 0.8 Frozen Premium</v>
      </c>
      <c r="I17" s="187">
        <v>561.1</v>
      </c>
      <c r="J17" s="189">
        <f t="shared" si="4"/>
        <v>2.8644650122777376E-2</v>
      </c>
      <c r="K17" s="187">
        <f t="shared" si="0"/>
        <v>20760700</v>
      </c>
      <c r="L17" s="191">
        <f t="shared" si="1"/>
        <v>39546.435831750743</v>
      </c>
      <c r="M17" s="187">
        <f t="shared" si="2"/>
        <v>22189505.145195343</v>
      </c>
      <c r="N17" s="187">
        <f t="shared" si="3"/>
        <v>-2546.4358317507431</v>
      </c>
      <c r="O17" s="187">
        <f t="shared" si="5"/>
        <v>-1428805.1451953426</v>
      </c>
      <c r="P17" s="187"/>
    </row>
    <row r="18" spans="1:16" s="186" customFormat="1" x14ac:dyDescent="0.35">
      <c r="A18" s="186" t="s">
        <v>3879</v>
      </c>
      <c r="B18" s="187">
        <f>_xlfn.IFNA(_xlfn.XLOOKUP(A18,'Price list'!J:J,'Price list'!K:K),0)</f>
        <v>37000</v>
      </c>
      <c r="C18" s="186" t="s">
        <v>9</v>
      </c>
      <c r="E18" s="187"/>
      <c r="G18" s="187" t="s">
        <v>2223</v>
      </c>
      <c r="H18" s="187" t="str">
        <f>IF(G18=0,"",_xlfn.XLOOKUP(G18,List_item!A:A,List_item!B:B))</f>
        <v>Karkas Uk 0.9 Frozen Premium</v>
      </c>
      <c r="I18" s="187">
        <v>1756.9</v>
      </c>
      <c r="J18" s="189">
        <f t="shared" ref="J18" si="6">IF(F18/J$5&gt;0,F18/J$5,I18/J$5)</f>
        <v>8.9691295314039507E-2</v>
      </c>
      <c r="K18" s="187">
        <f t="shared" ref="K18" si="7">+B18*(F18+I18)</f>
        <v>65005300</v>
      </c>
      <c r="L18" s="191">
        <f t="shared" ref="L18" si="8">IFERROR(((K18/$K$11)*$F$11)/(F18+I18),0)</f>
        <v>39546.43583175075</v>
      </c>
      <c r="M18" s="187">
        <f t="shared" ref="M18" si="9">+L18*(F18+I18)</f>
        <v>69479133.112802893</v>
      </c>
      <c r="N18" s="187">
        <f t="shared" ref="N18" si="10">IF(L18=0,0,B18-L18)</f>
        <v>-2546.4358317507504</v>
      </c>
      <c r="O18" s="187">
        <f t="shared" ref="O18" si="11">+K18-M18</f>
        <v>-4473833.1128028929</v>
      </c>
      <c r="P18" s="187"/>
    </row>
    <row r="19" spans="1:16" s="186" customFormat="1" x14ac:dyDescent="0.35">
      <c r="A19" s="186" t="s">
        <v>3879</v>
      </c>
      <c r="B19" s="187">
        <f>_xlfn.IFNA(_xlfn.XLOOKUP(A19,'Price list'!J:J,'Price list'!K:K),0)</f>
        <v>37000</v>
      </c>
      <c r="C19" s="186" t="s">
        <v>9</v>
      </c>
      <c r="E19" s="190"/>
      <c r="G19" s="187" t="s">
        <v>826</v>
      </c>
      <c r="H19" s="187" t="str">
        <f>IF(G19=0,"",_xlfn.XLOOKUP(G19,List_item!A:A,List_item!B:B))</f>
        <v>Karkas Uk 0.9 Karkas Uk 0.9 Fresh Premium</v>
      </c>
      <c r="I19" s="187">
        <v>1838.4</v>
      </c>
      <c r="J19" s="189">
        <f t="shared" si="4"/>
        <v>9.3851942230821467E-2</v>
      </c>
      <c r="K19" s="187">
        <f t="shared" si="0"/>
        <v>68020800</v>
      </c>
      <c r="L19" s="191">
        <f t="shared" si="1"/>
        <v>39546.435831750743</v>
      </c>
      <c r="M19" s="187">
        <f t="shared" si="2"/>
        <v>72702167.633090571</v>
      </c>
      <c r="N19" s="187">
        <f t="shared" si="3"/>
        <v>-2546.4358317507431</v>
      </c>
      <c r="O19" s="187">
        <f t="shared" si="5"/>
        <v>-4681367.6330905706</v>
      </c>
      <c r="P19" s="187"/>
    </row>
    <row r="20" spans="1:16" s="186" customFormat="1" x14ac:dyDescent="0.35">
      <c r="A20" s="186" t="s">
        <v>3880</v>
      </c>
      <c r="B20" s="187">
        <f>_xlfn.IFNA(_xlfn.XLOOKUP(A20,'Price list'!J:J,'Price list'!K:K),0)</f>
        <v>37000</v>
      </c>
      <c r="C20" s="186" t="s">
        <v>9</v>
      </c>
      <c r="E20" s="190"/>
      <c r="G20" s="187" t="s">
        <v>923</v>
      </c>
      <c r="H20" s="187" t="str">
        <f>IF(G20=0,"",_xlfn.XLOOKUP(G20,List_item!A:A,List_item!B:B))</f>
        <v>Karkas Uk 1.0 Karkas Uk 1.0 Frozen Premium</v>
      </c>
      <c r="I20" s="187">
        <v>999.5</v>
      </c>
      <c r="J20" s="189">
        <f t="shared" ref="J20" si="12">IF(F20/J$5&gt;0,F20/J$5,I20/J$5)</f>
        <v>5.1025356973295286E-2</v>
      </c>
      <c r="K20" s="187">
        <f t="shared" ref="K20" si="13">+B20*(F20+I20)</f>
        <v>36981500</v>
      </c>
      <c r="L20" s="191">
        <f t="shared" ref="L20" si="14">IFERROR(((K20/$K$11)*$F$11)/(F20+I20),0)</f>
        <v>39546.43583175075</v>
      </c>
      <c r="M20" s="187">
        <f t="shared" ref="M20" si="15">+L20*(F20+I20)</f>
        <v>39526662.613834873</v>
      </c>
      <c r="N20" s="187">
        <f t="shared" ref="N20" si="16">IF(L20=0,0,B20-L20)</f>
        <v>-2546.4358317507504</v>
      </c>
      <c r="O20" s="187">
        <f t="shared" ref="O20" si="17">+K20-M20</f>
        <v>-2545162.6138348728</v>
      </c>
      <c r="P20" s="187"/>
    </row>
    <row r="21" spans="1:16" s="186" customFormat="1" x14ac:dyDescent="0.35">
      <c r="A21" s="186" t="s">
        <v>3880</v>
      </c>
      <c r="B21" s="187">
        <f>_xlfn.IFNA(_xlfn.XLOOKUP(A21,'Price list'!J:J,'Price list'!K:K),0)</f>
        <v>37000</v>
      </c>
      <c r="C21" s="186" t="s">
        <v>9</v>
      </c>
      <c r="E21" s="187"/>
      <c r="F21" s="187"/>
      <c r="G21" s="187" t="s">
        <v>891</v>
      </c>
      <c r="H21" s="187" t="str">
        <f>IF(G21=0,"",_xlfn.XLOOKUP(G21,List_item!A:A,List_item!B:B))</f>
        <v>Karkas Uk 1.0 Karkas Uk 1.0 Fresh Premium</v>
      </c>
      <c r="I21" s="187">
        <v>1056.5999999999999</v>
      </c>
      <c r="J21" s="189">
        <f t="shared" si="4"/>
        <v>5.3940362359163378E-2</v>
      </c>
      <c r="K21" s="187">
        <f t="shared" si="0"/>
        <v>39094200</v>
      </c>
      <c r="L21" s="191">
        <f t="shared" si="1"/>
        <v>39546.43583175075</v>
      </c>
      <c r="M21" s="187">
        <f t="shared" si="2"/>
        <v>41784764.099827841</v>
      </c>
      <c r="N21" s="187">
        <f t="shared" si="3"/>
        <v>-2546.4358317507504</v>
      </c>
      <c r="O21" s="187">
        <f t="shared" si="5"/>
        <v>-2690564.0998278409</v>
      </c>
      <c r="P21" s="187"/>
    </row>
    <row r="22" spans="1:16" s="186" customFormat="1" x14ac:dyDescent="0.35">
      <c r="A22" s="186" t="s">
        <v>3881</v>
      </c>
      <c r="B22" s="187">
        <f>_xlfn.IFNA(_xlfn.XLOOKUP(A22,'Price list'!J:J,'Price list'!K:K),0)</f>
        <v>37000</v>
      </c>
      <c r="C22" s="186" t="s">
        <v>9</v>
      </c>
      <c r="E22" s="187"/>
      <c r="F22" s="187"/>
      <c r="G22" s="187" t="s">
        <v>989</v>
      </c>
      <c r="H22" s="187" t="str">
        <f>IF(G22=0,"",_xlfn.XLOOKUP(G22,List_item!A:A,List_item!B:B))</f>
        <v>Karkas Uk 1.1 Karkas Uk 1.1 Frozen Premium</v>
      </c>
      <c r="I22" s="187">
        <v>465.7</v>
      </c>
      <c r="J22" s="189">
        <f t="shared" si="4"/>
        <v>2.3774395940433832E-2</v>
      </c>
      <c r="K22" s="187">
        <f t="shared" si="0"/>
        <v>17230900</v>
      </c>
      <c r="L22" s="191">
        <f t="shared" si="1"/>
        <v>39546.43583175075</v>
      </c>
      <c r="M22" s="187">
        <f t="shared" si="2"/>
        <v>18416775.166846324</v>
      </c>
      <c r="N22" s="187">
        <f t="shared" si="3"/>
        <v>-2546.4358317507504</v>
      </c>
      <c r="O22" s="187">
        <f t="shared" si="5"/>
        <v>-1185875.1668463238</v>
      </c>
      <c r="P22" s="187"/>
    </row>
    <row r="23" spans="1:16" s="186" customFormat="1" x14ac:dyDescent="0.35">
      <c r="A23" s="186" t="s">
        <v>3881</v>
      </c>
      <c r="B23" s="187">
        <f>_xlfn.IFNA(_xlfn.XLOOKUP(A23,'Price list'!J:J,'Price list'!K:K),0)</f>
        <v>37000</v>
      </c>
      <c r="C23" s="186" t="s">
        <v>9</v>
      </c>
      <c r="E23" s="187"/>
      <c r="F23" s="187"/>
      <c r="G23" s="187" t="s">
        <v>957</v>
      </c>
      <c r="H23" s="187" t="str">
        <f>IF(G23=0,"",_xlfn.XLOOKUP(G23,List_item!A:A,List_item!B:B))</f>
        <v>Karkas Uk 1.1 Karkas Uk 1.1 Fresh Premium</v>
      </c>
      <c r="I23" s="187">
        <v>2220</v>
      </c>
      <c r="J23" s="189">
        <f t="shared" ref="J23" si="18">IF(F23/J$5&gt;0,F23/J$5,I23/J$5)</f>
        <v>0.11333295896019563</v>
      </c>
      <c r="K23" s="187">
        <f t="shared" ref="K23" si="19">+B23*(F23+I23)</f>
        <v>82140000</v>
      </c>
      <c r="L23" s="191">
        <f t="shared" ref="L23" si="20">IFERROR(((K23/$K$11)*$F$11)/(F23+I23),0)</f>
        <v>39546.435831750743</v>
      </c>
      <c r="M23" s="187">
        <f t="shared" ref="M23" si="21">+L23*(F23+I23)</f>
        <v>87793087.546486646</v>
      </c>
      <c r="N23" s="187">
        <f t="shared" ref="N23" si="22">IF(L23=0,0,B23-L23)</f>
        <v>-2546.4358317507431</v>
      </c>
      <c r="O23" s="187">
        <f t="shared" ref="O23" si="23">+K23-M23</f>
        <v>-5653087.5464866459</v>
      </c>
      <c r="P23" s="187"/>
    </row>
    <row r="24" spans="1:16" s="186" customFormat="1" x14ac:dyDescent="0.35">
      <c r="A24" s="186" t="s">
        <v>3882</v>
      </c>
      <c r="B24" s="187">
        <f>_xlfn.IFNA(_xlfn.XLOOKUP(A24,'Price list'!J:J,'Price list'!K:K),0)</f>
        <v>37000</v>
      </c>
      <c r="C24" s="186" t="s">
        <v>9</v>
      </c>
      <c r="E24" s="187"/>
      <c r="F24" s="187"/>
      <c r="G24" s="187" t="s">
        <v>1055</v>
      </c>
      <c r="H24" s="187" t="str">
        <f>IF(G24=0,"",_xlfn.XLOOKUP(G24,List_item!A:A,List_item!B:B))</f>
        <v>Karkas Uk 1.2 Karkas Uk 1.2 Frozen Premium</v>
      </c>
      <c r="I24" s="187">
        <v>1762.3</v>
      </c>
      <c r="J24" s="189">
        <f t="shared" si="4"/>
        <v>8.9966970079077821E-2</v>
      </c>
      <c r="K24" s="187">
        <f t="shared" si="0"/>
        <v>65205100</v>
      </c>
      <c r="L24" s="191">
        <f t="shared" si="1"/>
        <v>39546.43583175075</v>
      </c>
      <c r="M24" s="187">
        <f t="shared" si="2"/>
        <v>69692683.866294339</v>
      </c>
      <c r="N24" s="187">
        <f t="shared" si="3"/>
        <v>-2546.4358317507504</v>
      </c>
      <c r="O24" s="187">
        <f t="shared" si="5"/>
        <v>-4487583.8662943393</v>
      </c>
      <c r="P24" s="187"/>
    </row>
    <row r="25" spans="1:16" s="186" customFormat="1" x14ac:dyDescent="0.35">
      <c r="A25" s="186" t="s">
        <v>3883</v>
      </c>
      <c r="B25" s="187">
        <f>_xlfn.IFNA(_xlfn.XLOOKUP(A25,'Price list'!J:J,'Price list'!K:K),0)</f>
        <v>37000</v>
      </c>
      <c r="C25" s="186" t="s">
        <v>9</v>
      </c>
      <c r="E25" s="187"/>
      <c r="F25" s="187"/>
      <c r="G25" s="187" t="s">
        <v>1121</v>
      </c>
      <c r="H25" s="187" t="str">
        <f>IF(G25=0,"",_xlfn.XLOOKUP(G25,List_item!A:A,List_item!B:B))</f>
        <v>Karkas Uk 1.3 Karkas Uk 1.3 Frozen Premium</v>
      </c>
      <c r="I25" s="187">
        <v>503.2</v>
      </c>
      <c r="J25" s="189">
        <f t="shared" si="4"/>
        <v>2.5688804030977674E-2</v>
      </c>
      <c r="K25" s="187">
        <f t="shared" si="0"/>
        <v>18618400</v>
      </c>
      <c r="L25" s="191">
        <f t="shared" si="1"/>
        <v>39546.435831750743</v>
      </c>
      <c r="M25" s="187">
        <f t="shared" si="2"/>
        <v>19899766.510536972</v>
      </c>
      <c r="N25" s="187">
        <f t="shared" si="3"/>
        <v>-2546.4358317507431</v>
      </c>
      <c r="O25" s="187">
        <f t="shared" si="5"/>
        <v>-1281366.5105369724</v>
      </c>
      <c r="P25" s="187"/>
    </row>
    <row r="26" spans="1:16" s="186" customFormat="1" x14ac:dyDescent="0.35">
      <c r="A26" s="186" t="s">
        <v>3884</v>
      </c>
      <c r="B26" s="187">
        <f>_xlfn.IFNA(_xlfn.XLOOKUP(A26,'Price list'!J:J,'Price list'!K:K),0)</f>
        <v>37000</v>
      </c>
      <c r="C26" s="186" t="s">
        <v>9</v>
      </c>
      <c r="E26" s="187"/>
      <c r="F26" s="187"/>
      <c r="G26" s="187" t="s">
        <v>1187</v>
      </c>
      <c r="H26" s="187" t="str">
        <f>IF(G26=0,"",_xlfn.XLOOKUP(G26,List_item!A:A,List_item!B:B))</f>
        <v>Karkas Uk 1.4 Karkas Uk 1.4 Frozen Premium</v>
      </c>
      <c r="I26" s="187">
        <v>149.1</v>
      </c>
      <c r="J26" s="189">
        <f t="shared" si="4"/>
        <v>7.6116865680023278E-3</v>
      </c>
      <c r="K26" s="187">
        <f t="shared" si="0"/>
        <v>5516700</v>
      </c>
      <c r="L26" s="191">
        <f t="shared" si="1"/>
        <v>39546.43583175075</v>
      </c>
      <c r="M26" s="187">
        <f t="shared" si="2"/>
        <v>5896373.5825140364</v>
      </c>
      <c r="N26" s="187">
        <f t="shared" si="3"/>
        <v>-2546.4358317507504</v>
      </c>
      <c r="O26" s="187">
        <f t="shared" si="5"/>
        <v>-379673.58251403645</v>
      </c>
      <c r="P26" s="187"/>
    </row>
    <row r="27" spans="1:16" s="186" customFormat="1" x14ac:dyDescent="0.35">
      <c r="A27" s="186" t="s">
        <v>3849</v>
      </c>
      <c r="B27" s="187">
        <f>_xlfn.IFNA(_xlfn.XLOOKUP(A27,'Price list'!J:J,'Price list'!K:K),0)</f>
        <v>37000</v>
      </c>
      <c r="C27" s="186" t="s">
        <v>9</v>
      </c>
      <c r="E27" s="187"/>
      <c r="F27" s="187"/>
      <c r="G27" s="187" t="s">
        <v>1252</v>
      </c>
      <c r="H27" s="187" t="str">
        <f>IF(G27=0,"",_xlfn.XLOOKUP(G27,List_item!A:A,List_item!B:B))</f>
        <v>Karkas Uk 1.5 Karkas Uk 1.5 Frozen Premium</v>
      </c>
      <c r="I27" s="187">
        <v>52.8</v>
      </c>
      <c r="J27" s="189">
        <f t="shared" si="4"/>
        <v>2.6954865914857336E-3</v>
      </c>
      <c r="K27" s="187">
        <f t="shared" si="0"/>
        <v>1953600</v>
      </c>
      <c r="L27" s="191">
        <f t="shared" si="1"/>
        <v>39546.43583175075</v>
      </c>
      <c r="M27" s="187">
        <f t="shared" si="2"/>
        <v>2088051.8119164396</v>
      </c>
      <c r="N27" s="187">
        <f t="shared" si="3"/>
        <v>-2546.4358317507504</v>
      </c>
      <c r="O27" s="187">
        <f t="shared" si="5"/>
        <v>-134451.81191643956</v>
      </c>
      <c r="P27" s="187"/>
    </row>
    <row r="28" spans="1:16" s="186" customFormat="1" x14ac:dyDescent="0.35">
      <c r="A28" s="186" t="s">
        <v>3885</v>
      </c>
      <c r="B28" s="187">
        <f>_xlfn.IFNA(_xlfn.XLOOKUP(A28,'Price list'!J:J,'Price list'!K:K),0)</f>
        <v>37000</v>
      </c>
      <c r="C28" s="186" t="s">
        <v>9</v>
      </c>
      <c r="E28" s="187"/>
      <c r="F28" s="187"/>
      <c r="G28" s="187" t="s">
        <v>1318</v>
      </c>
      <c r="H28" s="187" t="str">
        <f>IF(G28=0,"",_xlfn.XLOOKUP(G28,List_item!A:A,List_item!B:B))</f>
        <v>Karkas Uk 1.6 Karkas Uk 1.6 Frozen Premium</v>
      </c>
      <c r="I28" s="187">
        <v>6.6</v>
      </c>
      <c r="J28" s="189">
        <f t="shared" si="4"/>
        <v>3.369358239357167E-4</v>
      </c>
      <c r="K28" s="187">
        <f t="shared" si="0"/>
        <v>244200</v>
      </c>
      <c r="L28" s="191">
        <f t="shared" si="1"/>
        <v>39546.43583175075</v>
      </c>
      <c r="M28" s="187">
        <f t="shared" si="2"/>
        <v>261006.47648955495</v>
      </c>
      <c r="N28" s="187">
        <f t="shared" si="3"/>
        <v>-2546.4358317507504</v>
      </c>
      <c r="O28" s="187">
        <f t="shared" si="5"/>
        <v>-16806.476489554945</v>
      </c>
      <c r="P28" s="187"/>
    </row>
    <row r="29" spans="1:16" x14ac:dyDescent="0.35">
      <c r="A29" t="s">
        <v>3886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3887</v>
      </c>
      <c r="B30" s="3">
        <f>_xlfn.IFNA(_xlfn.XLOOKUP(A30,'Price list'!J:J,'Price list'!K:K),0)</f>
        <v>37000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3888</v>
      </c>
      <c r="B31" s="3">
        <f>_xlfn.IFNA(_xlfn.XLOOKUP(A31,'Price list'!J:J,'Price list'!K:K),0)</f>
        <v>37000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3889</v>
      </c>
      <c r="B32" s="3">
        <f>_xlfn.IFNA(_xlfn.XLOOKUP(A32,'Price list'!J:J,'Price list'!K:K),0)</f>
        <v>37000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7" x14ac:dyDescent="0.35">
      <c r="A33" t="s">
        <v>3890</v>
      </c>
      <c r="B33" s="3">
        <f>_xlfn.IFNA(_xlfn.XLOOKUP(A33,'Price list'!J:J,'Price list'!K:K),0)</f>
        <v>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7" x14ac:dyDescent="0.35">
      <c r="A34" t="s">
        <v>8</v>
      </c>
      <c r="B34" s="3">
        <f>_xlfn.IFNA(_xlfn.XLOOKUP(A34,'Price list'!J:J,'Price list'!K:K),0)</f>
        <v>50000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109">
        <f>IFERROR(((K34/$K$11)*$F$11)/(F34+I34),0)+IFERROR(((K34/SUMIF(H:H,"*Boneless*",K:K))*$F$6)/I34,0)</f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>
        <f>IFERROR(((K34/SUMIF(H:H,"*Boneless*",K:K))*$F$6),0)</f>
        <v>0</v>
      </c>
      <c r="Q34">
        <f>SUMIF(H:H,"*Boneless*",K:K)</f>
        <v>25898300</v>
      </c>
    </row>
    <row r="35" spans="1:17" x14ac:dyDescent="0.35">
      <c r="A35" t="s">
        <v>10</v>
      </c>
      <c r="B35" s="3">
        <f>_xlfn.IFNA(_xlfn.XLOOKUP(A35,'Price list'!J:J,'Price list'!K:K),0)</f>
        <v>48000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>IFERROR(((K35/$K$11)*$F$11)/(F35+I35),0)</f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7" x14ac:dyDescent="0.35">
      <c r="A36" t="s">
        <v>12</v>
      </c>
      <c r="B36" s="3">
        <f>_xlfn.IFNA(_xlfn.XLOOKUP(A36,'Price list'!J:J,'Price list'!K:K),0)</f>
        <v>49000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109">
        <f t="shared" ref="L36:L41" si="24">IFERROR(((K36/$K$11)*$F$11)/(F36+I36),0)+IFERROR(((K36/SUMIF(H:H,"*Boneless*",K:K))*$F$6)/I36,0)</f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>
        <f t="shared" ref="P36:P41" si="25">IFERROR(((K36/SUMIF(H:H,"*Boneless*",K:K))*$F$6),0)</f>
        <v>0</v>
      </c>
      <c r="Q36">
        <f t="shared" ref="Q36:Q41" si="26">SUMIF(H:H,"*Boneless*",K:K)</f>
        <v>25898300</v>
      </c>
    </row>
    <row r="37" spans="1:17" x14ac:dyDescent="0.35">
      <c r="A37" t="s">
        <v>2159</v>
      </c>
      <c r="B37" s="3">
        <f>_xlfn.IFNA(_xlfn.XLOOKUP(A37,'Price list'!J:J,'Price list'!K:K),0)</f>
        <v>12500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109">
        <f t="shared" si="24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>
        <f t="shared" si="25"/>
        <v>0</v>
      </c>
      <c r="Q37">
        <f t="shared" si="26"/>
        <v>25898300</v>
      </c>
    </row>
    <row r="38" spans="1:17" x14ac:dyDescent="0.35">
      <c r="A38" t="s">
        <v>3891</v>
      </c>
      <c r="B38" s="3">
        <f>_xlfn.IFNA(_xlfn.XLOOKUP(A38,'Price list'!J:J,'Price list'!K:K),0)</f>
        <v>32000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109">
        <f t="shared" si="24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>
        <f t="shared" si="25"/>
        <v>0</v>
      </c>
      <c r="Q38">
        <f t="shared" si="26"/>
        <v>25898300</v>
      </c>
    </row>
    <row r="39" spans="1:17" x14ac:dyDescent="0.35">
      <c r="A39" t="s">
        <v>2179</v>
      </c>
      <c r="B39" s="3">
        <f>_xlfn.IFNA(_xlfn.XLOOKUP(A39,'Price list'!J:J,'Price list'!K:K),0)</f>
        <v>36000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109">
        <f t="shared" si="24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>
        <f t="shared" si="25"/>
        <v>0</v>
      </c>
      <c r="Q39">
        <f t="shared" si="26"/>
        <v>25898300</v>
      </c>
    </row>
    <row r="40" spans="1:17" x14ac:dyDescent="0.35">
      <c r="A40" t="s">
        <v>3852</v>
      </c>
      <c r="B40" s="3">
        <f>_xlfn.IFNA(_xlfn.XLOOKUP(A40,'Price list'!J:J,'Price list'!K:K),0)</f>
        <v>32000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109">
        <f t="shared" si="24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>
        <f t="shared" si="25"/>
        <v>0</v>
      </c>
      <c r="Q40">
        <f t="shared" si="26"/>
        <v>25898300</v>
      </c>
    </row>
    <row r="41" spans="1:17" x14ac:dyDescent="0.35">
      <c r="A41" t="s">
        <v>17</v>
      </c>
      <c r="B41" s="3">
        <f>_xlfn.IFNA(_xlfn.XLOOKUP(A41,'Price list'!J:J,'Price list'!K:K),0)</f>
        <v>5000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3">
        <v>0</v>
      </c>
      <c r="J41" s="26">
        <f t="shared" si="4"/>
        <v>0</v>
      </c>
      <c r="K41" s="3">
        <f t="shared" si="0"/>
        <v>0</v>
      </c>
      <c r="L41" s="109">
        <f t="shared" si="24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>
        <f t="shared" si="25"/>
        <v>0</v>
      </c>
      <c r="Q41">
        <f t="shared" si="26"/>
        <v>25898300</v>
      </c>
    </row>
    <row r="42" spans="1:17" x14ac:dyDescent="0.35">
      <c r="A42" t="s">
        <v>2199</v>
      </c>
      <c r="B42" s="3">
        <f>_xlfn.IFNA(_xlfn.XLOOKUP(A42,'Price list'!J:J,'Price list'!K:K),0)</f>
        <v>35000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3">
        <v>0</v>
      </c>
      <c r="J42" s="26">
        <f t="shared" si="4"/>
        <v>0</v>
      </c>
      <c r="K42" s="3">
        <f t="shared" si="0"/>
        <v>0</v>
      </c>
      <c r="L42" s="27">
        <f t="shared" ref="L42:L47" si="27">IFERROR(((K42/$K$11)*$F$11)/(F42+I42),0)</f>
        <v>0</v>
      </c>
      <c r="M42" s="3">
        <f t="shared" si="2"/>
        <v>0</v>
      </c>
      <c r="N42" s="3">
        <f t="shared" si="3"/>
        <v>0</v>
      </c>
      <c r="O42" s="3">
        <f t="shared" si="5"/>
        <v>0</v>
      </c>
      <c r="P42" s="3"/>
    </row>
    <row r="43" spans="1:17" s="186" customFormat="1" x14ac:dyDescent="0.35">
      <c r="A43" s="186" t="s">
        <v>2161</v>
      </c>
      <c r="B43" s="187">
        <f>_xlfn.IFNA(_xlfn.XLOOKUP(A43,'Price list'!J:J,'Price list'!K:K),0)</f>
        <v>24000</v>
      </c>
      <c r="C43" s="186" t="s">
        <v>9</v>
      </c>
      <c r="E43" s="187"/>
      <c r="F43" s="187"/>
      <c r="G43" s="187" t="s">
        <v>19</v>
      </c>
      <c r="H43" s="187" t="str">
        <f>IF(G43=0,"",_xlfn.XLOOKUP(G43,List_item!A:A,List_item!B:B))</f>
        <v>Boneless BL Frozen Lemak</v>
      </c>
      <c r="I43" s="187">
        <v>56.2</v>
      </c>
      <c r="J43" s="189">
        <f t="shared" si="4"/>
        <v>2.8690595916950425E-3</v>
      </c>
      <c r="K43" s="187">
        <f t="shared" si="0"/>
        <v>1348800</v>
      </c>
      <c r="L43" s="191">
        <f t="shared" si="27"/>
        <v>25651.742161135615</v>
      </c>
      <c r="M43" s="187">
        <f t="shared" si="2"/>
        <v>1441627.9094558216</v>
      </c>
      <c r="N43" s="187">
        <f t="shared" si="3"/>
        <v>-1651.7421611356149</v>
      </c>
      <c r="O43" s="187">
        <f t="shared" si="5"/>
        <v>-92827.909455821617</v>
      </c>
      <c r="P43" s="187"/>
    </row>
    <row r="44" spans="1:17" s="186" customFormat="1" x14ac:dyDescent="0.35">
      <c r="A44" s="186" t="s">
        <v>2162</v>
      </c>
      <c r="B44" s="187">
        <f>_xlfn.IFNA(_xlfn.XLOOKUP(A44,'Price list'!J:J,'Price list'!K:K),0)</f>
        <v>9500</v>
      </c>
      <c r="C44" s="186" t="s">
        <v>9</v>
      </c>
      <c r="E44" s="187"/>
      <c r="F44" s="187"/>
      <c r="G44" s="187" t="s">
        <v>20</v>
      </c>
      <c r="H44" s="187" t="str">
        <f>IF(G44=0,"",_xlfn.XLOOKUP(G44,List_item!A:A,List_item!B:B))</f>
        <v>Boneless BL Fresh Kepala</v>
      </c>
      <c r="I44" s="187">
        <v>890.9</v>
      </c>
      <c r="J44" s="189">
        <f t="shared" si="4"/>
        <v>4.5481231143080308E-2</v>
      </c>
      <c r="K44" s="187">
        <f t="shared" si="0"/>
        <v>8463550</v>
      </c>
      <c r="L44" s="191">
        <f t="shared" si="27"/>
        <v>10153.814605449516</v>
      </c>
      <c r="M44" s="187">
        <f t="shared" si="2"/>
        <v>9046033.4319949728</v>
      </c>
      <c r="N44" s="187">
        <f t="shared" si="3"/>
        <v>-653.81460544951551</v>
      </c>
      <c r="O44" s="187">
        <f t="shared" si="5"/>
        <v>-582483.43199497275</v>
      </c>
      <c r="P44" s="187"/>
    </row>
    <row r="45" spans="1:17" s="186" customFormat="1" x14ac:dyDescent="0.35">
      <c r="A45" s="186" t="s">
        <v>0</v>
      </c>
      <c r="B45" s="187">
        <f>_xlfn.IFNA(_xlfn.XLOOKUP(A45,'Price list'!J:J,'Price list'!K:K),0)</f>
        <v>16000</v>
      </c>
      <c r="C45" s="186" t="s">
        <v>9</v>
      </c>
      <c r="E45" s="187"/>
      <c r="F45" s="187"/>
      <c r="G45" s="187" t="s">
        <v>21</v>
      </c>
      <c r="H45" s="187" t="str">
        <f>IF(G45=0,"",_xlfn.XLOOKUP(G45,List_item!A:A,List_item!B:B))</f>
        <v>Boneless BL Fresh Ceker</v>
      </c>
      <c r="I45" s="187">
        <v>606.4</v>
      </c>
      <c r="J45" s="189">
        <f t="shared" si="4"/>
        <v>3.0957255096154337E-2</v>
      </c>
      <c r="K45" s="187">
        <f t="shared" si="0"/>
        <v>9702400</v>
      </c>
      <c r="L45" s="191">
        <f t="shared" si="27"/>
        <v>17101.161440757078</v>
      </c>
      <c r="M45" s="187">
        <f t="shared" si="2"/>
        <v>10370144.297675092</v>
      </c>
      <c r="N45" s="187">
        <f t="shared" si="3"/>
        <v>-1101.1614407570778</v>
      </c>
      <c r="O45" s="187">
        <f t="shared" si="5"/>
        <v>-667744.29767509177</v>
      </c>
      <c r="P45" s="187"/>
    </row>
    <row r="46" spans="1:17" x14ac:dyDescent="0.35">
      <c r="A46" t="s">
        <v>24</v>
      </c>
      <c r="B46" s="3">
        <f>_xlfn.IFNA(_xlfn.XLOOKUP(A46,'Price list'!J:J,'Price list'!K:K),0)</f>
        <v>4500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27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7" s="186" customFormat="1" x14ac:dyDescent="0.35">
      <c r="A47" s="186" t="s">
        <v>3893</v>
      </c>
      <c r="B47" s="187">
        <f>_xlfn.IFNA(_xlfn.XLOOKUP(A47,'Price list'!J:J,'Price list'!K:K),0)</f>
        <v>1500</v>
      </c>
      <c r="C47" s="186" t="s">
        <v>9</v>
      </c>
      <c r="E47" s="187"/>
      <c r="F47" s="187"/>
      <c r="G47" s="187" t="s">
        <v>25</v>
      </c>
      <c r="H47" s="187" t="str">
        <f>IF(G47=0,"",_xlfn.XLOOKUP(G47,List_item!A:A,List_item!B:B))</f>
        <v>Boneless BL Fresh Usus Kotor</v>
      </c>
      <c r="I47" s="187">
        <v>875.3</v>
      </c>
      <c r="J47" s="189">
        <f t="shared" si="4"/>
        <v>4.468483737741407E-2</v>
      </c>
      <c r="K47" s="187">
        <f t="shared" si="0"/>
        <v>1312950</v>
      </c>
      <c r="L47" s="191">
        <f t="shared" si="27"/>
        <v>1603.2338850709762</v>
      </c>
      <c r="M47" s="187">
        <f t="shared" si="2"/>
        <v>1403310.6196026253</v>
      </c>
      <c r="N47" s="187">
        <f t="shared" si="3"/>
        <v>-103.23388507097616</v>
      </c>
      <c r="O47" s="187">
        <f t="shared" si="5"/>
        <v>-90360.619602625258</v>
      </c>
      <c r="P47" s="187" t="s">
        <v>3947</v>
      </c>
    </row>
    <row r="48" spans="1:17" x14ac:dyDescent="0.35">
      <c r="A48" t="s">
        <v>2167</v>
      </c>
      <c r="B48" s="3">
        <f>_xlfn.IFNA(_xlfn.XLOOKUP(A48,'Price list'!J:J,'Price list'!K:K),0)</f>
        <v>22000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109">
        <f>IFERROR(((K48/$K$11)*$F$11)/(F48+I48),0)+IFERROR(((K48/SUMIF(H:H,"*Boneless*",K:K))*$F$6)/I48,0)</f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>
        <f>IFERROR(((K48/SUMIF(H:H,"*Boneless*",K:K))*$F$6),0)</f>
        <v>0</v>
      </c>
      <c r="Q48">
        <f>SUMIF(H:H,"*Boneless*",K:K)</f>
        <v>25898300</v>
      </c>
    </row>
    <row r="49" spans="1:16" x14ac:dyDescent="0.35">
      <c r="A49" t="s">
        <v>2168</v>
      </c>
      <c r="B49" s="3">
        <f>_xlfn.IFNA(_xlfn.XLOOKUP(A49,'Price list'!J:J,'Price list'!K:K),0)</f>
        <v>16000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ref="L49:L76" si="28">IFERROR(((K49/$K$11)*$F$11)/(F49+I49),0)</f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2169</v>
      </c>
      <c r="B50" s="3">
        <f>_xlfn.IFNA(_xlfn.XLOOKUP(A50,'Price list'!J:J,'Price list'!K:K),0)</f>
        <v>5000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28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s="186" customFormat="1" x14ac:dyDescent="0.35">
      <c r="A51" s="186" t="s">
        <v>3894</v>
      </c>
      <c r="B51" s="187">
        <f>_xlfn.IFNA(_xlfn.XLOOKUP(A51,'Price list'!J:J,'Price list'!K:K),0)</f>
        <v>4500</v>
      </c>
      <c r="C51" s="186" t="s">
        <v>9</v>
      </c>
      <c r="E51" s="187"/>
      <c r="F51" s="187"/>
      <c r="G51" s="187" t="s">
        <v>23</v>
      </c>
      <c r="H51" s="187" t="str">
        <f>IF(G51=0,"",_xlfn.XLOOKUP(G51,List_item!A:A,List_item!B:B))</f>
        <v>Boneless BL Fresh HJA</v>
      </c>
      <c r="I51" s="187">
        <v>1126.8</v>
      </c>
      <c r="J51" s="189">
        <f t="shared" si="4"/>
        <v>5.7524134304661453E-2</v>
      </c>
      <c r="K51" s="187">
        <f t="shared" si="0"/>
        <v>5070600</v>
      </c>
      <c r="L51" s="191">
        <f t="shared" si="28"/>
        <v>4809.701655212928</v>
      </c>
      <c r="M51" s="187">
        <f t="shared" si="2"/>
        <v>5419571.8250939269</v>
      </c>
      <c r="N51" s="187">
        <f t="shared" si="3"/>
        <v>-309.70165521292802</v>
      </c>
      <c r="O51" s="187">
        <f t="shared" si="5"/>
        <v>-348971.82509392686</v>
      </c>
      <c r="P51" s="187"/>
    </row>
    <row r="52" spans="1:16" x14ac:dyDescent="0.35">
      <c r="A52" t="s">
        <v>2170</v>
      </c>
      <c r="B52" s="3">
        <f>_xlfn.IFNA(_xlfn.XLOOKUP(A52,'Price list'!J:J,'Price list'!K:K),0)</f>
        <v>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28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2171</v>
      </c>
      <c r="B53" s="3">
        <f>_xlfn.IFNA(_xlfn.XLOOKUP(A53,'Price list'!J:J,'Price list'!K:K),0)</f>
        <v>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28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3895</v>
      </c>
      <c r="B54" s="3">
        <f>_xlfn.IFNA(_xlfn.XLOOKUP(A54,'Price list'!J:J,'Price list'!K:K),0)</f>
        <v>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0"/>
        <v>0</v>
      </c>
      <c r="L54" s="27">
        <f t="shared" si="28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x14ac:dyDescent="0.35">
      <c r="A55" t="s">
        <v>3896</v>
      </c>
      <c r="B55" s="3">
        <f>_xlfn.IFNA(_xlfn.XLOOKUP(A55,'Price list'!J:J,'Price list'!K:K),0)</f>
        <v>34000</v>
      </c>
      <c r="C55" t="s">
        <v>9</v>
      </c>
      <c r="E55" s="3"/>
      <c r="F55" s="3"/>
      <c r="G55" s="3"/>
      <c r="H55" s="3" t="str">
        <f>IF(G55=0,"",_xlfn.XLOOKUP(G55,List_item!A:A,List_item!B:B))</f>
        <v/>
      </c>
      <c r="I55" s="3">
        <v>0</v>
      </c>
      <c r="J55" s="26">
        <f t="shared" si="4"/>
        <v>0</v>
      </c>
      <c r="K55" s="3">
        <f t="shared" si="0"/>
        <v>0</v>
      </c>
      <c r="L55" s="27">
        <f t="shared" si="28"/>
        <v>0</v>
      </c>
      <c r="M55" s="3">
        <f t="shared" si="2"/>
        <v>0</v>
      </c>
      <c r="N55" s="3">
        <f t="shared" si="3"/>
        <v>0</v>
      </c>
      <c r="O55" s="3">
        <f t="shared" si="5"/>
        <v>0</v>
      </c>
      <c r="P55" s="3"/>
    </row>
    <row r="56" spans="1:16" s="186" customFormat="1" x14ac:dyDescent="0.35">
      <c r="A56" s="186" t="s">
        <v>3897</v>
      </c>
      <c r="B56" s="187">
        <f>_xlfn.IFNA(_xlfn.XLOOKUP(A56,'Price list'!J:J,'Price list'!K:K),0)</f>
        <v>34000</v>
      </c>
      <c r="C56" s="186" t="s">
        <v>9</v>
      </c>
      <c r="E56" s="187"/>
      <c r="F56" s="187"/>
      <c r="G56" s="187" t="s">
        <v>571</v>
      </c>
      <c r="H56" s="187" t="str">
        <f>IF(G56=0,"",_xlfn.XLOOKUP(G56,List_item!A:A,List_item!B:B))</f>
        <v>Karkas Uk 0.5 Karkas Uk 0.5 Frozen Grade A</v>
      </c>
      <c r="I56" s="187">
        <v>3.4</v>
      </c>
      <c r="J56" s="189">
        <f t="shared" si="4"/>
        <v>1.7357300020930862E-4</v>
      </c>
      <c r="K56" s="187">
        <f t="shared" si="0"/>
        <v>115600</v>
      </c>
      <c r="L56" s="191">
        <f t="shared" si="28"/>
        <v>36339.968061608794</v>
      </c>
      <c r="M56" s="187">
        <f t="shared" si="2"/>
        <v>123555.8914094699</v>
      </c>
      <c r="N56" s="187">
        <f t="shared" si="3"/>
        <v>-2339.9680616087935</v>
      </c>
      <c r="O56" s="187">
        <f t="shared" si="5"/>
        <v>-7955.8914094698994</v>
      </c>
      <c r="P56" s="187"/>
    </row>
    <row r="57" spans="1:16" s="186" customFormat="1" x14ac:dyDescent="0.35">
      <c r="A57" s="186" t="s">
        <v>3898</v>
      </c>
      <c r="B57" s="187">
        <f>_xlfn.IFNA(_xlfn.XLOOKUP(A57,'Price list'!J:J,'Price list'!K:K),0)</f>
        <v>34000</v>
      </c>
      <c r="C57" s="186" t="s">
        <v>9</v>
      </c>
      <c r="E57" s="187"/>
      <c r="F57" s="187"/>
      <c r="G57" s="187" t="s">
        <v>636</v>
      </c>
      <c r="H57" s="187" t="str">
        <f>IF(G57=0,"",_xlfn.XLOOKUP(G57,List_item!A:A,List_item!B:B))</f>
        <v>Karkas Uk 0.6 Karkas Uk 0.6 Frozen Grade A</v>
      </c>
      <c r="I57" s="187">
        <v>22</v>
      </c>
      <c r="J57" s="189">
        <f t="shared" si="4"/>
        <v>1.1231194131190558E-3</v>
      </c>
      <c r="K57" s="187">
        <f t="shared" si="0"/>
        <v>748000</v>
      </c>
      <c r="L57" s="191">
        <f t="shared" si="28"/>
        <v>36339.968061608794</v>
      </c>
      <c r="M57" s="187">
        <f t="shared" si="2"/>
        <v>799479.29735539341</v>
      </c>
      <c r="N57" s="187">
        <f t="shared" si="3"/>
        <v>-2339.9680616087935</v>
      </c>
      <c r="O57" s="187">
        <f t="shared" si="5"/>
        <v>-51479.297355393413</v>
      </c>
      <c r="P57" s="187"/>
    </row>
    <row r="58" spans="1:16" s="186" customFormat="1" x14ac:dyDescent="0.35">
      <c r="A58" s="186" t="s">
        <v>3899</v>
      </c>
      <c r="B58" s="187">
        <f>_xlfn.IFNA(_xlfn.XLOOKUP(A58,'Price list'!J:J,'Price list'!K:K),0)</f>
        <v>34000</v>
      </c>
      <c r="C58" s="186" t="s">
        <v>9</v>
      </c>
      <c r="E58" s="187"/>
      <c r="F58" s="187"/>
      <c r="G58" s="187" t="s">
        <v>701</v>
      </c>
      <c r="H58" s="187" t="str">
        <f>IF(G58=0,"",_xlfn.XLOOKUP(G58,List_item!A:A,List_item!B:B))</f>
        <v>Karkas Uk 0.7 Karkas Uk 0.7 Frozen Grade A</v>
      </c>
      <c r="I58" s="187">
        <v>71</v>
      </c>
      <c r="J58" s="189">
        <f t="shared" si="4"/>
        <v>3.6246126514296803E-3</v>
      </c>
      <c r="K58" s="187">
        <f t="shared" si="0"/>
        <v>2414000</v>
      </c>
      <c r="L58" s="191">
        <f t="shared" si="28"/>
        <v>36339.968061608794</v>
      </c>
      <c r="M58" s="187">
        <f t="shared" si="2"/>
        <v>2580137.7323742243</v>
      </c>
      <c r="N58" s="187">
        <f t="shared" si="3"/>
        <v>-2339.9680616087935</v>
      </c>
      <c r="O58" s="187">
        <f t="shared" si="5"/>
        <v>-166137.73237422435</v>
      </c>
      <c r="P58" s="187"/>
    </row>
    <row r="59" spans="1:16" s="186" customFormat="1" x14ac:dyDescent="0.35">
      <c r="A59" s="186" t="s">
        <v>3899</v>
      </c>
      <c r="B59" s="187">
        <f>_xlfn.IFNA(_xlfn.XLOOKUP(A59,'Price list'!J:J,'Price list'!K:K),0)</f>
        <v>34000</v>
      </c>
      <c r="C59" s="186" t="s">
        <v>9</v>
      </c>
      <c r="E59" s="187"/>
      <c r="F59" s="187"/>
      <c r="G59" s="187" t="s">
        <v>668</v>
      </c>
      <c r="H59" s="187" t="str">
        <f>IF(G59=0,"",_xlfn.XLOOKUP(G59,List_item!A:A,List_item!B:B))</f>
        <v>Karkas Uk 0.7 Karkas Uk 0.7 Fresh Grade A</v>
      </c>
      <c r="I59" s="187">
        <v>3.5</v>
      </c>
      <c r="J59" s="189">
        <f t="shared" ref="J59" si="29">IF(F59/J$5&gt;0,F59/J$5,I59/J$5)</f>
        <v>1.7867808845075888E-4</v>
      </c>
      <c r="K59" s="187">
        <f t="shared" ref="K59" si="30">+B59*(F59+I59)</f>
        <v>119000</v>
      </c>
      <c r="L59" s="191">
        <f t="shared" ref="L59" si="31">IFERROR(((K59/$K$11)*$F$11)/(F59+I59),0)</f>
        <v>36339.968061608794</v>
      </c>
      <c r="M59" s="187">
        <f t="shared" ref="M59" si="32">+L59*(F59+I59)</f>
        <v>127189.88821563078</v>
      </c>
      <c r="N59" s="187">
        <f t="shared" ref="N59" si="33">IF(L59=0,0,B59-L59)</f>
        <v>-2339.9680616087935</v>
      </c>
      <c r="O59" s="187">
        <f t="shared" ref="O59" si="34">+K59-M59</f>
        <v>-8189.8882156307809</v>
      </c>
      <c r="P59" s="187"/>
    </row>
    <row r="60" spans="1:16" s="186" customFormat="1" x14ac:dyDescent="0.35">
      <c r="A60" s="186" t="s">
        <v>3900</v>
      </c>
      <c r="B60" s="187">
        <f>_xlfn.IFNA(_xlfn.XLOOKUP(A60,'Price list'!J:J,'Price list'!K:K),0)</f>
        <v>34000</v>
      </c>
      <c r="C60" s="186" t="s">
        <v>9</v>
      </c>
      <c r="E60" s="187"/>
      <c r="F60" s="187"/>
      <c r="G60" s="187" t="s">
        <v>766</v>
      </c>
      <c r="H60" s="187" t="str">
        <f>IF(G60=0,"",_xlfn.XLOOKUP(G60,List_item!A:A,List_item!B:B))</f>
        <v>Karkas Uk 0.8 Karkas Uk 0.8 Frozen Grade A</v>
      </c>
      <c r="I60" s="187">
        <v>113.9</v>
      </c>
      <c r="J60" s="189">
        <f t="shared" si="4"/>
        <v>5.8146955070118396E-3</v>
      </c>
      <c r="K60" s="187">
        <f t="shared" si="0"/>
        <v>3872600</v>
      </c>
      <c r="L60" s="191">
        <f t="shared" si="28"/>
        <v>36339.968061608794</v>
      </c>
      <c r="M60" s="187">
        <f t="shared" si="2"/>
        <v>4139122.3622172419</v>
      </c>
      <c r="N60" s="187">
        <f t="shared" si="3"/>
        <v>-2339.9680616087935</v>
      </c>
      <c r="O60" s="187">
        <f t="shared" si="5"/>
        <v>-266522.3622172419</v>
      </c>
      <c r="P60" s="187"/>
    </row>
    <row r="61" spans="1:16" s="186" customFormat="1" x14ac:dyDescent="0.35">
      <c r="A61" s="186" t="s">
        <v>3901</v>
      </c>
      <c r="B61" s="187">
        <f>_xlfn.IFNA(_xlfn.XLOOKUP(A61,'Price list'!J:J,'Price list'!K:K),0)</f>
        <v>34000</v>
      </c>
      <c r="C61" s="186" t="s">
        <v>9</v>
      </c>
      <c r="E61" s="187"/>
      <c r="F61" s="187"/>
      <c r="G61" s="187" t="s">
        <v>831</v>
      </c>
      <c r="H61" s="187" t="str">
        <f>IF(G61=0,"",_xlfn.XLOOKUP(G61,List_item!A:A,List_item!B:B))</f>
        <v>Karkas Uk 0.9 Karkas Uk 0.9 Frozen Grade A</v>
      </c>
      <c r="I61" s="187">
        <v>260</v>
      </c>
      <c r="J61" s="189">
        <f t="shared" si="4"/>
        <v>1.327322942777066E-2</v>
      </c>
      <c r="K61" s="187">
        <f t="shared" si="0"/>
        <v>8840000</v>
      </c>
      <c r="L61" s="191">
        <f t="shared" si="28"/>
        <v>36339.968061608794</v>
      </c>
      <c r="M61" s="187">
        <f t="shared" si="2"/>
        <v>9448391.696018286</v>
      </c>
      <c r="N61" s="187">
        <f t="shared" si="3"/>
        <v>-2339.9680616087935</v>
      </c>
      <c r="O61" s="187">
        <f t="shared" si="5"/>
        <v>-608391.69601828605</v>
      </c>
      <c r="P61" s="187"/>
    </row>
    <row r="62" spans="1:16" s="186" customFormat="1" x14ac:dyDescent="0.35">
      <c r="A62" s="186" t="s">
        <v>3902</v>
      </c>
      <c r="B62" s="187">
        <f>_xlfn.IFNA(_xlfn.XLOOKUP(A62,'Price list'!J:J,'Price list'!K:K),0)</f>
        <v>34000</v>
      </c>
      <c r="C62" s="186" t="s">
        <v>9</v>
      </c>
      <c r="E62" s="187"/>
      <c r="F62" s="187"/>
      <c r="G62" s="187" t="s">
        <v>896</v>
      </c>
      <c r="H62" s="187" t="str">
        <f>IF(G62=0,"",_xlfn.XLOOKUP(G62,List_item!A:A,List_item!B:B))</f>
        <v>Karkas Uk 1.0 Karkas Uk 1.0 Frozen Grade A</v>
      </c>
      <c r="I62" s="187">
        <v>279.60000000000002</v>
      </c>
      <c r="J62" s="189">
        <f t="shared" si="4"/>
        <v>1.427382672309491E-2</v>
      </c>
      <c r="K62" s="187">
        <f t="shared" si="0"/>
        <v>9506400</v>
      </c>
      <c r="L62" s="191">
        <f t="shared" si="28"/>
        <v>36339.968061608786</v>
      </c>
      <c r="M62" s="187">
        <f t="shared" si="2"/>
        <v>10160655.070025817</v>
      </c>
      <c r="N62" s="187">
        <f t="shared" si="3"/>
        <v>-2339.9680616087862</v>
      </c>
      <c r="O62" s="187">
        <f t="shared" si="5"/>
        <v>-654255.07002581656</v>
      </c>
      <c r="P62" s="187"/>
    </row>
    <row r="63" spans="1:16" s="186" customFormat="1" x14ac:dyDescent="0.35">
      <c r="A63" s="186" t="s">
        <v>3902</v>
      </c>
      <c r="B63" s="187">
        <f>_xlfn.IFNA(_xlfn.XLOOKUP(A63,'Price list'!J:J,'Price list'!K:K),0)</f>
        <v>34000</v>
      </c>
      <c r="C63" s="186" t="s">
        <v>9</v>
      </c>
      <c r="E63" s="187"/>
      <c r="F63" s="187"/>
      <c r="G63" s="187" t="s">
        <v>863</v>
      </c>
      <c r="H63" s="187" t="str">
        <f>IF(G63=0,"",_xlfn.XLOOKUP(G63,List_item!A:A,List_item!B:B))</f>
        <v>Karkas Uk 1.0 Karkas Uk 1.0 Fresh Grade A</v>
      </c>
      <c r="I63" s="187">
        <v>2</v>
      </c>
      <c r="J63" s="189">
        <f t="shared" ref="J63" si="35">IF(F63/J$5&gt;0,F63/J$5,I63/J$5)</f>
        <v>1.0210176482900508E-4</v>
      </c>
      <c r="K63" s="187">
        <f t="shared" ref="K63" si="36">+B63*(F63+I63)</f>
        <v>68000</v>
      </c>
      <c r="L63" s="191">
        <f t="shared" ref="L63" si="37">IFERROR(((K63/$K$11)*$F$11)/(F63+I63),0)</f>
        <v>36339.968061608786</v>
      </c>
      <c r="M63" s="187">
        <f t="shared" ref="M63" si="38">+L63*(F63+I63)</f>
        <v>72679.936123217572</v>
      </c>
      <c r="N63" s="187">
        <f t="shared" ref="N63" si="39">IF(L63=0,0,B63-L63)</f>
        <v>-2339.9680616087862</v>
      </c>
      <c r="O63" s="187">
        <f t="shared" ref="O63" si="40">+K63-M63</f>
        <v>-4679.9361232175725</v>
      </c>
      <c r="P63" s="187"/>
    </row>
    <row r="64" spans="1:16" s="186" customFormat="1" x14ac:dyDescent="0.35">
      <c r="A64" s="186" t="s">
        <v>3903</v>
      </c>
      <c r="B64" s="187">
        <f>_xlfn.IFNA(_xlfn.XLOOKUP(A64,'Price list'!J:J,'Price list'!K:K),0)</f>
        <v>34000</v>
      </c>
      <c r="C64" s="186" t="s">
        <v>9</v>
      </c>
      <c r="E64" s="187"/>
      <c r="F64" s="187"/>
      <c r="G64" s="187" t="s">
        <v>962</v>
      </c>
      <c r="H64" s="187" t="str">
        <f>IF(G64=0,"",_xlfn.XLOOKUP(G64,List_item!A:A,List_item!B:B))</f>
        <v>Karkas Uk 1.1 Karkas Uk 1.1 Frozen Grade A</v>
      </c>
      <c r="I64" s="187">
        <v>192.2</v>
      </c>
      <c r="J64" s="189">
        <f t="shared" si="4"/>
        <v>9.8119796000673866E-3</v>
      </c>
      <c r="K64" s="187">
        <f t="shared" si="0"/>
        <v>6534800</v>
      </c>
      <c r="L64" s="191">
        <f t="shared" si="28"/>
        <v>36339.968061608794</v>
      </c>
      <c r="M64" s="187">
        <f t="shared" si="2"/>
        <v>6984541.8614412099</v>
      </c>
      <c r="N64" s="187">
        <f t="shared" si="3"/>
        <v>-2339.9680616087935</v>
      </c>
      <c r="O64" s="187">
        <f t="shared" si="5"/>
        <v>-449741.86144120991</v>
      </c>
      <c r="P64" s="187"/>
    </row>
    <row r="65" spans="1:17" s="186" customFormat="1" x14ac:dyDescent="0.35">
      <c r="A65" s="186" t="s">
        <v>3903</v>
      </c>
      <c r="B65" s="187">
        <f>_xlfn.IFNA(_xlfn.XLOOKUP(A65,'Price list'!J:J,'Price list'!K:K),0)</f>
        <v>34000</v>
      </c>
      <c r="C65" s="186" t="s">
        <v>9</v>
      </c>
      <c r="E65" s="187"/>
      <c r="F65" s="187"/>
      <c r="G65" s="187" t="s">
        <v>930</v>
      </c>
      <c r="H65" s="187" t="str">
        <f>IF(G65=0,"",_xlfn.XLOOKUP(G65,List_item!A:A,List_item!B:B))</f>
        <v>Karkas Uk 1.1 Karkas Uk 1.1 Fresh Grade A</v>
      </c>
      <c r="I65" s="187">
        <v>10</v>
      </c>
      <c r="J65" s="189">
        <f t="shared" ref="J65" si="41">IF(F65/J$5&gt;0,F65/J$5,I65/J$5)</f>
        <v>5.1050882414502535E-4</v>
      </c>
      <c r="K65" s="187">
        <f t="shared" ref="K65" si="42">+B65*(F65+I65)</f>
        <v>340000</v>
      </c>
      <c r="L65" s="191">
        <f t="shared" ref="L65" si="43">IFERROR(((K65/$K$11)*$F$11)/(F65+I65),0)</f>
        <v>36339.968061608786</v>
      </c>
      <c r="M65" s="187">
        <f t="shared" ref="M65" si="44">+L65*(F65+I65)</f>
        <v>363399.68061608786</v>
      </c>
      <c r="N65" s="187">
        <f t="shared" ref="N65" si="45">IF(L65=0,0,B65-L65)</f>
        <v>-2339.9680616087862</v>
      </c>
      <c r="O65" s="187">
        <f t="shared" ref="O65" si="46">+K65-M65</f>
        <v>-23399.680616087862</v>
      </c>
      <c r="P65" s="187"/>
    </row>
    <row r="66" spans="1:17" s="186" customFormat="1" x14ac:dyDescent="0.35">
      <c r="A66" s="186" t="s">
        <v>3904</v>
      </c>
      <c r="B66" s="187">
        <f>_xlfn.IFNA(_xlfn.XLOOKUP(A66,'Price list'!J:J,'Price list'!K:K),0)</f>
        <v>34000</v>
      </c>
      <c r="C66" s="186" t="s">
        <v>9</v>
      </c>
      <c r="E66" s="187"/>
      <c r="F66" s="187"/>
      <c r="G66" s="187" t="s">
        <v>1028</v>
      </c>
      <c r="H66" s="187" t="str">
        <f>IF(G66=0,"",_xlfn.XLOOKUP(G66,List_item!A:A,List_item!B:B))</f>
        <v>Karkas Uk 1.2 Karkas Uk 1.2 Frozen Grade A</v>
      </c>
      <c r="I66" s="187">
        <v>71.8</v>
      </c>
      <c r="J66" s="189">
        <f t="shared" si="4"/>
        <v>3.665453357361282E-3</v>
      </c>
      <c r="K66" s="187">
        <f t="shared" si="0"/>
        <v>2441200</v>
      </c>
      <c r="L66" s="191">
        <f t="shared" si="28"/>
        <v>36339.968061608794</v>
      </c>
      <c r="M66" s="187">
        <f t="shared" si="2"/>
        <v>2609209.706823511</v>
      </c>
      <c r="N66" s="187">
        <f t="shared" si="3"/>
        <v>-2339.9680616087935</v>
      </c>
      <c r="O66" s="187">
        <f t="shared" si="5"/>
        <v>-168009.70682351105</v>
      </c>
      <c r="P66" s="187"/>
    </row>
    <row r="67" spans="1:17" s="186" customFormat="1" x14ac:dyDescent="0.35">
      <c r="A67" s="186" t="s">
        <v>3905</v>
      </c>
      <c r="B67" s="187">
        <f>_xlfn.IFNA(_xlfn.XLOOKUP(A67,'Price list'!J:J,'Price list'!K:K),0)</f>
        <v>34000</v>
      </c>
      <c r="C67" s="186" t="s">
        <v>9</v>
      </c>
      <c r="E67" s="187"/>
      <c r="F67" s="187"/>
      <c r="G67" s="187" t="s">
        <v>1094</v>
      </c>
      <c r="H67" s="187" t="str">
        <f>IF(G67=0,"",_xlfn.XLOOKUP(G67,List_item!A:A,List_item!B:B))</f>
        <v>Karkas Uk 1.3 Karkas Uk 1.3 Frozen Grade A</v>
      </c>
      <c r="I67" s="187">
        <v>20.6</v>
      </c>
      <c r="J67" s="189">
        <f t="shared" si="4"/>
        <v>1.0516481777387524E-3</v>
      </c>
      <c r="K67" s="187">
        <f t="shared" si="0"/>
        <v>700400</v>
      </c>
      <c r="L67" s="191">
        <f t="shared" si="28"/>
        <v>36339.968061608786</v>
      </c>
      <c r="M67" s="187">
        <f t="shared" si="2"/>
        <v>748603.3420691411</v>
      </c>
      <c r="N67" s="187">
        <f t="shared" si="3"/>
        <v>-2339.9680616087862</v>
      </c>
      <c r="O67" s="187">
        <f t="shared" si="5"/>
        <v>-48203.342069141101</v>
      </c>
      <c r="P67" s="187"/>
    </row>
    <row r="68" spans="1:17" s="186" customFormat="1" x14ac:dyDescent="0.35">
      <c r="A68" s="186" t="s">
        <v>3906</v>
      </c>
      <c r="B68" s="187">
        <f>_xlfn.IFNA(_xlfn.XLOOKUP(A68,'Price list'!J:J,'Price list'!K:K),0)</f>
        <v>34000</v>
      </c>
      <c r="C68" s="186" t="s">
        <v>9</v>
      </c>
      <c r="E68" s="187"/>
      <c r="F68" s="187"/>
      <c r="G68" s="187" t="s">
        <v>1160</v>
      </c>
      <c r="H68" s="187" t="str">
        <f>IF(G68=0,"",_xlfn.XLOOKUP(G68,List_item!A:A,List_item!B:B))</f>
        <v>Karkas Uk 1.4 Karkas Uk 1.4 Frozen Grade A</v>
      </c>
      <c r="I68" s="187">
        <v>8.9</v>
      </c>
      <c r="J68" s="189">
        <f t="shared" si="4"/>
        <v>4.5435285348907259E-4</v>
      </c>
      <c r="K68" s="187">
        <f t="shared" si="0"/>
        <v>302600</v>
      </c>
      <c r="L68" s="191">
        <f t="shared" si="28"/>
        <v>36339.968061608786</v>
      </c>
      <c r="M68" s="187">
        <f t="shared" si="2"/>
        <v>323425.71574831824</v>
      </c>
      <c r="N68" s="187">
        <f t="shared" si="3"/>
        <v>-2339.9680616087862</v>
      </c>
      <c r="O68" s="187">
        <f t="shared" si="5"/>
        <v>-20825.715748318238</v>
      </c>
      <c r="P68" s="187"/>
    </row>
    <row r="69" spans="1:17" x14ac:dyDescent="0.35">
      <c r="A69" t="s">
        <v>3907</v>
      </c>
      <c r="B69" s="3">
        <f>_xlfn.IFNA(_xlfn.XLOOKUP(A69,'Price list'!J:J,'Price list'!K:K),0)</f>
        <v>34000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28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7" x14ac:dyDescent="0.35">
      <c r="A70" t="s">
        <v>3908</v>
      </c>
      <c r="B70" s="3">
        <f>_xlfn.IFNA(_xlfn.XLOOKUP(A70,'Price list'!J:J,'Price list'!K:K),0)</f>
        <v>34000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28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7" x14ac:dyDescent="0.35">
      <c r="A71" t="s">
        <v>3909</v>
      </c>
      <c r="B71" s="3">
        <f>_xlfn.IFNA(_xlfn.XLOOKUP(A71,'Price list'!J:J,'Price list'!K:K),0)</f>
        <v>34000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28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7" x14ac:dyDescent="0.35">
      <c r="A72" t="s">
        <v>3945</v>
      </c>
      <c r="B72" s="3">
        <f>_xlfn.IFNA(_xlfn.XLOOKUP(A72,'Price list'!J:J,'Price list'!K:K),0)</f>
        <v>34000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28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7" x14ac:dyDescent="0.35">
      <c r="A73" t="s">
        <v>3911</v>
      </c>
      <c r="B73" s="3">
        <f>_xlfn.IFNA(_xlfn.XLOOKUP(A73,'Price list'!J:J,'Price list'!K:K),0)</f>
        <v>34000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28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7" x14ac:dyDescent="0.35">
      <c r="A74" t="s">
        <v>3912</v>
      </c>
      <c r="B74" s="3">
        <f>_xlfn.IFNA(_xlfn.XLOOKUP(A74,'Price list'!J:J,'Price list'!K:K),0)</f>
        <v>34000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28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7" x14ac:dyDescent="0.35">
      <c r="A75" t="s">
        <v>3913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si="28"/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7" x14ac:dyDescent="0.35">
      <c r="A76" t="s">
        <v>3914</v>
      </c>
      <c r="B76" s="3">
        <f>_xlfn.IFNA(_xlfn.XLOOKUP(A76,'Price list'!J:J,'Price list'!K:K),0)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si="0"/>
        <v>0</v>
      </c>
      <c r="L76" s="27">
        <f t="shared" si="28"/>
        <v>0</v>
      </c>
      <c r="M76" s="3">
        <f t="shared" si="2"/>
        <v>0</v>
      </c>
      <c r="N76" s="3">
        <f t="shared" si="3"/>
        <v>0</v>
      </c>
      <c r="O76" s="3">
        <f t="shared" si="5"/>
        <v>0</v>
      </c>
      <c r="P76" s="3"/>
    </row>
    <row r="77" spans="1:17" x14ac:dyDescent="0.35">
      <c r="A77" t="s">
        <v>4055</v>
      </c>
      <c r="B77" s="3">
        <f>_xlfn.IFNA(_xlfn.XLOOKUP(A77,'Price list'!J:J,'Price list'!K:K),0)</f>
        <v>45000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4"/>
        <v>0</v>
      </c>
      <c r="K77" s="3">
        <f t="shared" si="0"/>
        <v>0</v>
      </c>
      <c r="L77" s="109">
        <f>IFERROR(((K77/$K$11)*$F$11)/(F77+I77),0)+IFERROR(((K77/SUMIF(H:H,"*Boneless*",K:K))*$F$6)/I77,0)</f>
        <v>0</v>
      </c>
      <c r="M77" s="3">
        <f t="shared" si="2"/>
        <v>0</v>
      </c>
      <c r="N77" s="3">
        <f t="shared" si="3"/>
        <v>0</v>
      </c>
      <c r="O77" s="3">
        <f t="shared" si="5"/>
        <v>0</v>
      </c>
      <c r="P77" s="3">
        <f>IFERROR(((K77/SUMIF(H:H,"*Boneless*",K:K))*$F$6),0)</f>
        <v>0</v>
      </c>
      <c r="Q77">
        <f>SUMIF(H:H,"*Boneless*",K:K)</f>
        <v>25898300</v>
      </c>
    </row>
    <row r="78" spans="1:17" x14ac:dyDescent="0.35">
      <c r="A78" t="s">
        <v>3916</v>
      </c>
      <c r="B78" s="3">
        <f>_xlfn.IFNA(_xlfn.XLOOKUP(A78,'Price list'!J:J,'Price list'!K:K),0)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4"/>
        <v>0</v>
      </c>
      <c r="K78" s="3">
        <f t="shared" si="0"/>
        <v>0</v>
      </c>
      <c r="L78" s="27">
        <f t="shared" ref="L78:L86" si="47">IFERROR(((K78/$K$11)*$F$11)/(F78+I78),0)</f>
        <v>0</v>
      </c>
      <c r="M78" s="3">
        <f t="shared" si="2"/>
        <v>0</v>
      </c>
      <c r="N78" s="3">
        <f t="shared" si="3"/>
        <v>0</v>
      </c>
      <c r="O78" s="3">
        <f t="shared" si="5"/>
        <v>0</v>
      </c>
      <c r="P78" s="3"/>
    </row>
    <row r="79" spans="1:17" x14ac:dyDescent="0.35">
      <c r="A79" t="s">
        <v>4062</v>
      </c>
      <c r="B79" s="3">
        <f>_xlfn.IFNA(_xlfn.XLOOKUP(A79,'Price list'!J:J,'Price list'!K:K),0)</f>
        <v>44000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4"/>
        <v>0</v>
      </c>
      <c r="K79" s="3">
        <f t="shared" si="0"/>
        <v>0</v>
      </c>
      <c r="L79" s="27">
        <f t="shared" si="47"/>
        <v>0</v>
      </c>
      <c r="M79" s="3">
        <f t="shared" si="2"/>
        <v>0</v>
      </c>
      <c r="N79" s="3">
        <f t="shared" si="3"/>
        <v>0</v>
      </c>
      <c r="O79" s="3">
        <f t="shared" si="5"/>
        <v>0</v>
      </c>
      <c r="P79" s="3"/>
    </row>
    <row r="80" spans="1:17" x14ac:dyDescent="0.35">
      <c r="A80" t="s">
        <v>3918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4"/>
        <v>0</v>
      </c>
      <c r="K80" s="3">
        <f t="shared" si="0"/>
        <v>0</v>
      </c>
      <c r="L80" s="27">
        <f t="shared" si="47"/>
        <v>0</v>
      </c>
      <c r="M80" s="3">
        <f t="shared" si="2"/>
        <v>0</v>
      </c>
      <c r="N80" s="3">
        <f t="shared" si="3"/>
        <v>0</v>
      </c>
      <c r="O80" s="3">
        <f t="shared" si="5"/>
        <v>0</v>
      </c>
      <c r="P80" s="3"/>
    </row>
    <row r="81" spans="1:18" x14ac:dyDescent="0.35">
      <c r="A81" t="s">
        <v>3919</v>
      </c>
      <c r="B81" s="3">
        <f>_xlfn.IFNA(_xlfn.XLOOKUP(A81,'Price list'!J:J,'Price list'!K:K),0)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4"/>
        <v>0</v>
      </c>
      <c r="K81" s="3">
        <f t="shared" si="0"/>
        <v>0</v>
      </c>
      <c r="L81" s="27">
        <f t="shared" si="47"/>
        <v>0</v>
      </c>
      <c r="M81" s="3">
        <f t="shared" si="2"/>
        <v>0</v>
      </c>
      <c r="N81" s="3">
        <f t="shared" si="3"/>
        <v>0</v>
      </c>
      <c r="O81" s="3">
        <f t="shared" si="5"/>
        <v>0</v>
      </c>
      <c r="P81" s="3"/>
    </row>
    <row r="82" spans="1:18" x14ac:dyDescent="0.35">
      <c r="A82" t="s">
        <v>3920</v>
      </c>
      <c r="B82" s="3">
        <f>_xlfn.IFNA(_xlfn.XLOOKUP(A82,'Price list'!J:J,'Price list'!K:K),0)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3">
        <v>0</v>
      </c>
      <c r="J82" s="26">
        <f t="shared" si="4"/>
        <v>0</v>
      </c>
      <c r="K82" s="3">
        <f t="shared" ref="K82:K87" si="48">+B82*(F82+I82)</f>
        <v>0</v>
      </c>
      <c r="L82" s="27">
        <f t="shared" si="47"/>
        <v>0</v>
      </c>
      <c r="M82" s="3">
        <f t="shared" ref="M82:M87" si="49">+L82*(F82+I82)</f>
        <v>0</v>
      </c>
      <c r="N82" s="3">
        <f t="shared" ref="N82:N87" si="50">IF(L82=0,0,B82-L82)</f>
        <v>0</v>
      </c>
      <c r="O82" s="3">
        <f t="shared" si="5"/>
        <v>0</v>
      </c>
      <c r="P82" s="3"/>
    </row>
    <row r="83" spans="1:18" x14ac:dyDescent="0.35">
      <c r="A83" t="s">
        <v>3921</v>
      </c>
      <c r="B83" s="3">
        <f>_xlfn.IFNA(_xlfn.XLOOKUP(A83,'Price list'!J:J,'Price list'!K:K),0)</f>
        <v>0</v>
      </c>
      <c r="C83" t="s">
        <v>9</v>
      </c>
      <c r="E83" s="3"/>
      <c r="F83" s="3"/>
      <c r="G83" s="3"/>
      <c r="H83" s="3" t="str">
        <f>IF(G83=0,"",_xlfn.XLOOKUP(G83,List_item!A:A,List_item!B:B))</f>
        <v/>
      </c>
      <c r="I83" s="3">
        <v>0</v>
      </c>
      <c r="J83" s="26">
        <f t="shared" ref="J83:J87" si="51">IF(F83/J$5&gt;0,F83/J$5,I83/J$5)</f>
        <v>0</v>
      </c>
      <c r="K83" s="3">
        <f t="shared" si="48"/>
        <v>0</v>
      </c>
      <c r="L83" s="27">
        <f t="shared" si="47"/>
        <v>0</v>
      </c>
      <c r="M83" s="3">
        <f t="shared" si="49"/>
        <v>0</v>
      </c>
      <c r="N83" s="3">
        <f t="shared" si="50"/>
        <v>0</v>
      </c>
      <c r="O83" s="3">
        <f t="shared" ref="O83:O87" si="52">+K83-M83</f>
        <v>0</v>
      </c>
      <c r="P83" s="3"/>
    </row>
    <row r="84" spans="1:18" x14ac:dyDescent="0.35">
      <c r="A84" t="s">
        <v>3922</v>
      </c>
      <c r="B84" s="3">
        <f>_xlfn.IFNA(_xlfn.XLOOKUP(A84,'Price list'!J:J,'Price list'!K:K),0)</f>
        <v>0</v>
      </c>
      <c r="C84" t="s">
        <v>9</v>
      </c>
      <c r="E84" s="3"/>
      <c r="F84" s="3"/>
      <c r="G84" s="3"/>
      <c r="H84" s="3" t="str">
        <f>IF(G84=0,"",_xlfn.XLOOKUP(G84,List_item!A:A,List_item!B:B))</f>
        <v/>
      </c>
      <c r="I84" s="3">
        <v>0</v>
      </c>
      <c r="J84" s="26">
        <f t="shared" si="51"/>
        <v>0</v>
      </c>
      <c r="K84" s="3">
        <f t="shared" si="48"/>
        <v>0</v>
      </c>
      <c r="L84" s="27">
        <f t="shared" si="47"/>
        <v>0</v>
      </c>
      <c r="M84" s="3">
        <f t="shared" si="49"/>
        <v>0</v>
      </c>
      <c r="N84" s="3">
        <f t="shared" si="50"/>
        <v>0</v>
      </c>
      <c r="O84" s="3">
        <f t="shared" si="52"/>
        <v>0</v>
      </c>
      <c r="P84" s="3"/>
    </row>
    <row r="85" spans="1:18" x14ac:dyDescent="0.35">
      <c r="A85" t="s">
        <v>3923</v>
      </c>
      <c r="B85" s="3">
        <f>_xlfn.IFNA(_xlfn.XLOOKUP(A85,'Price list'!J:J,'Price list'!K:K),0)</f>
        <v>0</v>
      </c>
      <c r="C85" t="s">
        <v>9</v>
      </c>
      <c r="E85" s="3"/>
      <c r="F85" s="3"/>
      <c r="G85" s="3"/>
      <c r="H85" s="3" t="str">
        <f>IF(G85=0,"",_xlfn.XLOOKUP(G85,List_item!A:A,List_item!B:B))</f>
        <v/>
      </c>
      <c r="I85" s="3">
        <v>0</v>
      </c>
      <c r="J85" s="26">
        <f t="shared" si="51"/>
        <v>0</v>
      </c>
      <c r="K85" s="3">
        <f t="shared" si="48"/>
        <v>0</v>
      </c>
      <c r="L85" s="27">
        <f t="shared" si="47"/>
        <v>0</v>
      </c>
      <c r="M85" s="3">
        <f t="shared" si="49"/>
        <v>0</v>
      </c>
      <c r="N85" s="3">
        <f t="shared" si="50"/>
        <v>0</v>
      </c>
      <c r="O85" s="3">
        <f t="shared" si="52"/>
        <v>0</v>
      </c>
      <c r="P85" s="3"/>
    </row>
    <row r="86" spans="1:18" x14ac:dyDescent="0.35">
      <c r="A86" t="s">
        <v>3924</v>
      </c>
      <c r="B86" s="3">
        <f>_xlfn.IFNA(_xlfn.XLOOKUP(A86,'Price list'!J:J,'Price list'!K:K),0)</f>
        <v>0</v>
      </c>
      <c r="C86" t="s">
        <v>9</v>
      </c>
      <c r="E86" s="3"/>
      <c r="F86" s="3"/>
      <c r="G86" s="3"/>
      <c r="H86" s="3" t="str">
        <f>IF(G86=0,"",_xlfn.XLOOKUP(G86,List_item!A:A,List_item!B:B))</f>
        <v/>
      </c>
      <c r="I86" s="3">
        <v>0</v>
      </c>
      <c r="J86" s="26">
        <f t="shared" si="51"/>
        <v>0</v>
      </c>
      <c r="K86" s="3">
        <f t="shared" si="48"/>
        <v>0</v>
      </c>
      <c r="L86" s="27">
        <f t="shared" si="47"/>
        <v>0</v>
      </c>
      <c r="M86" s="3">
        <f t="shared" si="49"/>
        <v>0</v>
      </c>
      <c r="N86" s="3">
        <f t="shared" si="50"/>
        <v>0</v>
      </c>
      <c r="O86" s="3">
        <f t="shared" si="52"/>
        <v>0</v>
      </c>
      <c r="P86" s="3"/>
    </row>
    <row r="87" spans="1:18" x14ac:dyDescent="0.35">
      <c r="A87" t="s">
        <v>4060</v>
      </c>
      <c r="B87" s="3">
        <f>_xlfn.IFNA(_xlfn.XLOOKUP(A87,'Price list'!J:J,'Price list'!K:K),0)</f>
        <v>36000</v>
      </c>
      <c r="C87" t="s">
        <v>9</v>
      </c>
      <c r="E87" s="3"/>
      <c r="F87" s="3"/>
      <c r="G87" s="3"/>
      <c r="H87" s="3" t="str">
        <f>IF(G87=0,"",_xlfn.XLOOKUP(G87,List_item!A:A,List_item!B:B))</f>
        <v/>
      </c>
      <c r="I87" s="3">
        <v>0</v>
      </c>
      <c r="J87" s="26">
        <f t="shared" si="51"/>
        <v>0</v>
      </c>
      <c r="K87" s="3">
        <f t="shared" si="48"/>
        <v>0</v>
      </c>
      <c r="L87" s="109">
        <f>IFERROR(((K87/$K$11)*$F$11)/(F87+I87),0)+IFERROR(((K87/SUMIF(H:H,"*Boneless*",K:K))*$F$6)/I87,0)</f>
        <v>0</v>
      </c>
      <c r="M87" s="3">
        <f t="shared" si="49"/>
        <v>0</v>
      </c>
      <c r="N87" s="3">
        <f t="shared" si="50"/>
        <v>0</v>
      </c>
      <c r="O87" s="3">
        <f t="shared" si="52"/>
        <v>0</v>
      </c>
      <c r="P87" s="3">
        <f>IFERROR(((K87/SUMIF(H:H,"*Boneless*",K:K))*$F$6),0)</f>
        <v>0</v>
      </c>
      <c r="Q87">
        <f>SUMIF(H:H,"*Boneless*",K:K)</f>
        <v>25898300</v>
      </c>
    </row>
    <row r="89" spans="1:18" s="2" customFormat="1" x14ac:dyDescent="0.35">
      <c r="A89" t="s">
        <v>3929</v>
      </c>
      <c r="B89"/>
      <c r="C89"/>
      <c r="D89"/>
      <c r="E89"/>
      <c r="F89" s="117"/>
      <c r="G89" t="s">
        <v>3930</v>
      </c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  <row r="91" spans="1:18" s="2" customFormat="1" x14ac:dyDescent="0.35">
      <c r="A91"/>
      <c r="B91"/>
      <c r="C91"/>
      <c r="D91"/>
      <c r="E91"/>
      <c r="F91" s="117"/>
      <c r="G91"/>
      <c r="Q91"/>
      <c r="R91"/>
    </row>
    <row r="92" spans="1:18" s="2" customFormat="1" x14ac:dyDescent="0.35">
      <c r="A92"/>
      <c r="B92"/>
      <c r="C92"/>
      <c r="D92"/>
      <c r="E92"/>
      <c r="F92" s="117"/>
      <c r="G92"/>
      <c r="Q92"/>
      <c r="R92"/>
    </row>
    <row r="93" spans="1:18" s="2" customFormat="1" x14ac:dyDescent="0.35">
      <c r="A93"/>
      <c r="B93"/>
      <c r="C93"/>
      <c r="D93"/>
      <c r="E93"/>
      <c r="F93" s="117"/>
      <c r="G93"/>
      <c r="Q93"/>
      <c r="R93"/>
    </row>
    <row r="94" spans="1:18" s="2" customFormat="1" x14ac:dyDescent="0.35">
      <c r="A94"/>
      <c r="B94"/>
      <c r="C94"/>
      <c r="D94"/>
      <c r="E94"/>
      <c r="F94" s="117"/>
      <c r="G94"/>
      <c r="Q94"/>
      <c r="R94"/>
    </row>
    <row r="95" spans="1:18" s="2" customFormat="1" x14ac:dyDescent="0.35">
      <c r="A95" s="118"/>
      <c r="B95"/>
      <c r="C95"/>
      <c r="D95"/>
      <c r="E95"/>
      <c r="F95" s="117"/>
      <c r="G95" s="118"/>
      <c r="Q95"/>
      <c r="R95"/>
    </row>
    <row r="96" spans="1:18" s="2" customFormat="1" x14ac:dyDescent="0.35">
      <c r="A96"/>
      <c r="B96"/>
      <c r="C96"/>
      <c r="D96"/>
      <c r="E96"/>
      <c r="F96" s="117"/>
      <c r="G96"/>
      <c r="Q96"/>
      <c r="R96"/>
    </row>
  </sheetData>
  <autoFilter ref="A11:P87" xr:uid="{9E3D57EB-0D9F-40FE-B4FE-C94EEFF00F8F}"/>
  <conditionalFormatting sqref="O11">
    <cfRule type="cellIs" dxfId="14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71" max="1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06B8-228D-4EF2-A2CF-602852D41830}">
  <sheetPr>
    <tabColor rgb="FFFF0000"/>
    <pageSetUpPr fitToPage="1"/>
  </sheetPr>
  <dimension ref="A1:R90"/>
  <sheetViews>
    <sheetView zoomScale="80" zoomScaleNormal="80" workbookViewId="0">
      <pane xSplit="3" ySplit="10" topLeftCell="D29" activePane="bottomRight" state="frozen"/>
      <selection activeCell="A751" sqref="A751"/>
      <selection pane="topRight" activeCell="A751" sqref="A751"/>
      <selection pane="bottomLeft" activeCell="A751" sqref="A751"/>
      <selection pane="bottomRight" activeCell="I35" sqref="I35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4.6328125" style="2" bestFit="1" customWidth="1"/>
    <col min="10" max="10" width="11.26953125" style="2" bestFit="1" customWidth="1"/>
    <col min="11" max="11" width="17.81640625" style="2" bestFit="1" customWidth="1"/>
    <col min="12" max="12" width="16.36328125" style="2" bestFit="1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+I9/E11</f>
        <v>1.4484428571428569</v>
      </c>
    </row>
    <row r="2" spans="1:18" x14ac:dyDescent="0.35">
      <c r="A2" s="18" t="s">
        <v>3865</v>
      </c>
      <c r="C2" s="6"/>
      <c r="G2" s="19" t="s">
        <v>3943</v>
      </c>
    </row>
    <row r="3" spans="1:18" x14ac:dyDescent="0.35">
      <c r="A3" s="101" t="s">
        <v>3866</v>
      </c>
      <c r="B3" s="2">
        <f>111262720+90236850</f>
        <v>201499570</v>
      </c>
      <c r="C3" s="19">
        <f>B3+90236850</f>
        <v>291736420</v>
      </c>
      <c r="G3" s="3" t="s">
        <v>4053</v>
      </c>
      <c r="H3" s="2" t="s">
        <v>4065</v>
      </c>
      <c r="I3" s="101" t="s">
        <v>3870</v>
      </c>
      <c r="J3" s="2" t="s">
        <v>4047</v>
      </c>
      <c r="Q3" s="25"/>
      <c r="R3" s="2"/>
    </row>
    <row r="4" spans="1:18" x14ac:dyDescent="0.35">
      <c r="A4" s="101" t="s">
        <v>3867</v>
      </c>
      <c r="B4" s="2">
        <f>2*2000000</f>
        <v>4000000</v>
      </c>
      <c r="E4"/>
      <c r="G4" s="2" t="s">
        <v>4058</v>
      </c>
      <c r="I4" s="101" t="s">
        <v>3872</v>
      </c>
      <c r="J4" s="115">
        <v>46287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11502375</v>
      </c>
      <c r="G5" s="2" t="s">
        <v>4059</v>
      </c>
      <c r="I5" s="101" t="s">
        <v>3944</v>
      </c>
      <c r="J5" s="19">
        <f>3538.7+4486.4</f>
        <v>8025.0999999999995</v>
      </c>
      <c r="K5" s="2">
        <v>7668.25</v>
      </c>
      <c r="L5" s="2">
        <f>J5-K5</f>
        <v>356.84999999999945</v>
      </c>
      <c r="M5" s="147">
        <f>L5/J5</f>
        <v>4.4466735617001589E-2</v>
      </c>
    </row>
    <row r="6" spans="1:18" x14ac:dyDescent="0.35">
      <c r="A6" s="102" t="s">
        <v>3869</v>
      </c>
      <c r="B6" s="19">
        <f>SUBTOTAL(9,B3:B5)</f>
        <v>217001945</v>
      </c>
      <c r="E6" s="149" t="s">
        <v>4054</v>
      </c>
      <c r="F6" s="93">
        <v>1796683</v>
      </c>
      <c r="I6" s="101"/>
      <c r="J6" s="19"/>
      <c r="M6" s="147"/>
    </row>
    <row r="7" spans="1:18" x14ac:dyDescent="0.35">
      <c r="B7" s="2">
        <f>B6+F6</f>
        <v>218798628</v>
      </c>
      <c r="J7" s="2">
        <v>4486.3999999999996</v>
      </c>
      <c r="K7" s="2">
        <f>(B6+F6)/K5</f>
        <v>28533.058781338637</v>
      </c>
      <c r="Q7" s="25"/>
    </row>
    <row r="8" spans="1:18" ht="4.5" customHeight="1" x14ac:dyDescent="0.35">
      <c r="A8" s="101"/>
    </row>
    <row r="9" spans="1:18" x14ac:dyDescent="0.35">
      <c r="A9" s="8"/>
      <c r="B9" s="19"/>
      <c r="C9" s="18"/>
      <c r="E9" s="18"/>
      <c r="I9" s="2">
        <f>J9+3300.2*2</f>
        <v>10139.099999999999</v>
      </c>
      <c r="J9" s="2">
        <f>J5-J7</f>
        <v>3538.7</v>
      </c>
      <c r="K9" s="19" t="s">
        <v>3931</v>
      </c>
      <c r="L9" s="28">
        <f>SUM(K12:K66)/M11-1</f>
        <v>-8.1258270047287584E-2</v>
      </c>
    </row>
    <row r="10" spans="1:18" ht="28.5" customHeight="1" x14ac:dyDescent="0.35">
      <c r="A10" s="112" t="s">
        <v>27</v>
      </c>
      <c r="B10" s="119" t="s">
        <v>3938</v>
      </c>
      <c r="C10" s="112" t="s">
        <v>4</v>
      </c>
      <c r="D10" s="1"/>
      <c r="E10" s="113" t="s">
        <v>28</v>
      </c>
      <c r="F10" s="110" t="s">
        <v>6</v>
      </c>
      <c r="G10" s="110" t="s">
        <v>3937</v>
      </c>
      <c r="H10" s="120" t="s">
        <v>3926</v>
      </c>
      <c r="I10" s="110" t="s">
        <v>3835</v>
      </c>
      <c r="J10" s="119" t="s">
        <v>2177</v>
      </c>
      <c r="K10" s="119" t="s">
        <v>3932</v>
      </c>
      <c r="L10" s="119" t="s">
        <v>3935</v>
      </c>
      <c r="M10" s="120" t="s">
        <v>2173</v>
      </c>
      <c r="N10" s="121" t="s">
        <v>3939</v>
      </c>
      <c r="O10" s="121" t="s">
        <v>3936</v>
      </c>
      <c r="P10" s="110" t="s">
        <v>3826</v>
      </c>
    </row>
    <row r="11" spans="1:18" x14ac:dyDescent="0.35">
      <c r="A11" s="4"/>
      <c r="B11" s="24"/>
      <c r="C11" s="4"/>
      <c r="D11" s="1"/>
      <c r="E11" s="5">
        <v>7000</v>
      </c>
      <c r="F11" s="5">
        <f>+B6</f>
        <v>217001945</v>
      </c>
      <c r="G11" s="5"/>
      <c r="H11" s="5"/>
      <c r="I11" s="5">
        <f>SUM(I12:I83)</f>
        <v>5579.3499999999995</v>
      </c>
      <c r="J11" s="148">
        <f>SUM(J12:J83)</f>
        <v>0.6952374425240806</v>
      </c>
      <c r="K11" s="5">
        <f>SUM(K12:K83)</f>
        <v>203100410</v>
      </c>
      <c r="L11" s="5"/>
      <c r="M11" s="5">
        <f>SUM(M12:M83)</f>
        <v>218798628.00000003</v>
      </c>
      <c r="N11" s="5"/>
      <c r="O11" s="5">
        <f>SUM(O12:O83)</f>
        <v>-15698217.999999994</v>
      </c>
    </row>
    <row r="12" spans="1:18" x14ac:dyDescent="0.35">
      <c r="A12" t="s">
        <v>3873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>IF(F12/J$5&gt;0,F12/J$5,I12/J$5)</f>
        <v>0</v>
      </c>
      <c r="K12" s="3">
        <f t="shared" ref="K12:K75" si="0">+B12*(F12+I12)</f>
        <v>0</v>
      </c>
      <c r="L12" s="27">
        <f t="shared" ref="L12:L30" si="1">IFERROR(((K12/$K$11)*$F$11)/(F12+I12),0)</f>
        <v>0</v>
      </c>
      <c r="M12" s="3">
        <f t="shared" ref="M12:M75" si="2">+L12*(F12+I12)</f>
        <v>0</v>
      </c>
      <c r="N12" s="3">
        <f t="shared" ref="N12:N75" si="3">IF(L12=0,0,B12-L12)</f>
        <v>0</v>
      </c>
      <c r="O12" s="3">
        <f>+K12-M12</f>
        <v>0</v>
      </c>
      <c r="P12" s="3"/>
    </row>
    <row r="13" spans="1:18" x14ac:dyDescent="0.35">
      <c r="A13" t="s">
        <v>3874</v>
      </c>
      <c r="B13" s="3">
        <f>_xlfn.IFNA(_xlfn.XLOOKUP(A13,'Price list'!J:J,'Price list'!K:K),0)</f>
        <v>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ref="J13:J76" si="4">IF(F13/J$5&gt;0,F13/J$5,I13/J$5)</f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ref="O13:O76" si="5">+K13-M13</f>
        <v>0</v>
      </c>
      <c r="P13" s="3"/>
      <c r="R13" s="3"/>
    </row>
    <row r="14" spans="1:18" x14ac:dyDescent="0.35">
      <c r="A14" t="s">
        <v>3875</v>
      </c>
      <c r="B14" s="3">
        <f>_xlfn.IFNA(_xlfn.XLOOKUP(A14,'Price list'!J:J,'Price list'!K:K),0)</f>
        <v>37000</v>
      </c>
      <c r="C14" t="s">
        <v>9</v>
      </c>
      <c r="E14" s="3"/>
      <c r="F14" s="3"/>
      <c r="G14" s="3" t="s">
        <v>2219</v>
      </c>
      <c r="H14" s="3" t="str">
        <f>IF(G14=0,"",_xlfn.XLOOKUP(G14,List_item!A:A,List_item!B:B))</f>
        <v>Karkas Uk 0.5 Karkas Uk 0.5 Frozen Premium</v>
      </c>
      <c r="I14" s="3">
        <v>0.57999999999999996</v>
      </c>
      <c r="J14" s="26">
        <f t="shared" si="4"/>
        <v>7.2273242701025527E-5</v>
      </c>
      <c r="K14" s="3">
        <f t="shared" si="0"/>
        <v>21460</v>
      </c>
      <c r="L14" s="27">
        <f t="shared" si="1"/>
        <v>39532.5246512304</v>
      </c>
      <c r="M14" s="3">
        <f t="shared" si="2"/>
        <v>22928.86429771363</v>
      </c>
      <c r="N14" s="3">
        <f t="shared" si="3"/>
        <v>-2532.5246512304002</v>
      </c>
      <c r="O14" s="3">
        <f t="shared" si="5"/>
        <v>-1468.8642977136296</v>
      </c>
      <c r="P14" s="3"/>
    </row>
    <row r="15" spans="1:18" x14ac:dyDescent="0.35">
      <c r="A15" t="s">
        <v>3876</v>
      </c>
      <c r="B15" s="3">
        <f>_xlfn.IFNA(_xlfn.XLOOKUP(A15,'Price list'!J:J,'Price list'!K:K),0)</f>
        <v>37000</v>
      </c>
      <c r="C15" t="s">
        <v>9</v>
      </c>
      <c r="E15" s="3"/>
      <c r="F15" s="3"/>
      <c r="G15" s="3" t="s">
        <v>2220</v>
      </c>
      <c r="H15" s="3" t="str">
        <f>IF(G15=0,"",_xlfn.XLOOKUP(G15,List_item!A:A,List_item!B:B))</f>
        <v>Karkas Uk 0.6 Karkas Uk 0.6 Frozen Premium</v>
      </c>
      <c r="I15" s="3">
        <v>0.6</v>
      </c>
      <c r="J15" s="26">
        <f t="shared" si="4"/>
        <v>7.4765423483819524E-5</v>
      </c>
      <c r="K15" s="3">
        <f t="shared" si="0"/>
        <v>22200</v>
      </c>
      <c r="L15" s="27">
        <f t="shared" si="1"/>
        <v>39532.524651230393</v>
      </c>
      <c r="M15" s="3">
        <f t="shared" si="2"/>
        <v>23719.514790738234</v>
      </c>
      <c r="N15" s="3">
        <f t="shared" si="3"/>
        <v>-2532.5246512303929</v>
      </c>
      <c r="O15" s="3">
        <f t="shared" si="5"/>
        <v>-1519.5147907382343</v>
      </c>
      <c r="P15" s="3"/>
    </row>
    <row r="16" spans="1:18" x14ac:dyDescent="0.35">
      <c r="A16" t="s">
        <v>3877</v>
      </c>
      <c r="B16" s="3">
        <f>_xlfn.IFNA(_xlfn.XLOOKUP(A16,'Price list'!J:J,'Price list'!K:K),0)</f>
        <v>37000</v>
      </c>
      <c r="C16" t="s">
        <v>9</v>
      </c>
      <c r="E16"/>
      <c r="F16"/>
      <c r="G16" s="3" t="s">
        <v>2221</v>
      </c>
      <c r="H16" s="3" t="str">
        <f>IF(G16=0,"",_xlfn.XLOOKUP(G16,List_item!A:A,List_item!B:B))</f>
        <v>Karkas Uk 0.7 Karkas Uk 0.7 Frozen Premium</v>
      </c>
      <c r="I16" s="3">
        <v>29.78</v>
      </c>
      <c r="J16" s="26">
        <f t="shared" si="4"/>
        <v>3.7108571855802423E-3</v>
      </c>
      <c r="K16" s="3">
        <f t="shared" si="0"/>
        <v>1101860</v>
      </c>
      <c r="L16" s="27">
        <f t="shared" si="1"/>
        <v>39532.524651230393</v>
      </c>
      <c r="M16" s="3">
        <f t="shared" si="2"/>
        <v>1177278.5841136412</v>
      </c>
      <c r="N16" s="3">
        <f t="shared" si="3"/>
        <v>-2532.5246512303929</v>
      </c>
      <c r="O16" s="3">
        <f t="shared" si="5"/>
        <v>-75418.584113641176</v>
      </c>
      <c r="P16" s="3"/>
    </row>
    <row r="17" spans="1:17" x14ac:dyDescent="0.35">
      <c r="A17" t="s">
        <v>3878</v>
      </c>
      <c r="B17" s="3">
        <f>_xlfn.IFNA(_xlfn.XLOOKUP(A17,'Price list'!J:J,'Price list'!K:K),0)</f>
        <v>37000</v>
      </c>
      <c r="C17" t="s">
        <v>9</v>
      </c>
      <c r="E17" s="3"/>
      <c r="F17"/>
      <c r="G17" s="3" t="s">
        <v>2222</v>
      </c>
      <c r="H17" s="3" t="str">
        <f>IF(G17=0,"",_xlfn.XLOOKUP(G17,List_item!A:A,List_item!B:B))</f>
        <v>Karkas Uk 0.8 Frozen Premium</v>
      </c>
      <c r="I17" s="3">
        <v>104.92</v>
      </c>
      <c r="J17" s="26">
        <f t="shared" si="4"/>
        <v>1.307398038653724E-2</v>
      </c>
      <c r="K17" s="3">
        <f t="shared" si="0"/>
        <v>3882040</v>
      </c>
      <c r="L17" s="27">
        <f t="shared" si="1"/>
        <v>39532.524651230393</v>
      </c>
      <c r="M17" s="3">
        <f t="shared" si="2"/>
        <v>4147752.4864070928</v>
      </c>
      <c r="N17" s="3">
        <f t="shared" si="3"/>
        <v>-2532.5246512303929</v>
      </c>
      <c r="O17" s="3">
        <f t="shared" si="5"/>
        <v>-265712.48640709277</v>
      </c>
      <c r="P17" s="3"/>
    </row>
    <row r="18" spans="1:17" x14ac:dyDescent="0.35">
      <c r="A18" t="s">
        <v>3879</v>
      </c>
      <c r="B18" s="3">
        <f>_xlfn.IFNA(_xlfn.XLOOKUP(A18,'Price list'!J:J,'Price list'!K:K),0)</f>
        <v>37000</v>
      </c>
      <c r="C18" t="s">
        <v>9</v>
      </c>
      <c r="E18" s="6"/>
      <c r="F18"/>
      <c r="G18" s="3" t="s">
        <v>2223</v>
      </c>
      <c r="H18" s="3" t="str">
        <f>IF(G18=0,"",_xlfn.XLOOKUP(G18,List_item!A:A,List_item!B:B))</f>
        <v>Karkas Uk 0.9 Frozen Premium</v>
      </c>
      <c r="I18" s="3">
        <v>243.2</v>
      </c>
      <c r="J18" s="26">
        <f t="shared" si="4"/>
        <v>3.0304918318774843E-2</v>
      </c>
      <c r="K18" s="3">
        <f t="shared" si="0"/>
        <v>8998400</v>
      </c>
      <c r="L18" s="27">
        <f t="shared" si="1"/>
        <v>39532.5246512304</v>
      </c>
      <c r="M18" s="3">
        <f t="shared" si="2"/>
        <v>9614309.9951792322</v>
      </c>
      <c r="N18" s="3">
        <f t="shared" si="3"/>
        <v>-2532.5246512304002</v>
      </c>
      <c r="O18" s="3">
        <f t="shared" si="5"/>
        <v>-615909.99517923221</v>
      </c>
      <c r="P18" s="3"/>
    </row>
    <row r="19" spans="1:17" x14ac:dyDescent="0.35">
      <c r="A19" t="s">
        <v>3880</v>
      </c>
      <c r="B19" s="3">
        <f>_xlfn.IFNA(_xlfn.XLOOKUP(A19,'Price list'!J:J,'Price list'!K:K),0)</f>
        <v>37000</v>
      </c>
      <c r="C19" t="s">
        <v>9</v>
      </c>
      <c r="E19" s="3"/>
      <c r="F19" s="3"/>
      <c r="G19" s="3" t="s">
        <v>923</v>
      </c>
      <c r="H19" s="3" t="str">
        <f>IF(G19=0,"",_xlfn.XLOOKUP(G19,List_item!A:A,List_item!B:B))</f>
        <v>Karkas Uk 1.0 Karkas Uk 1.0 Frozen Premium</v>
      </c>
      <c r="I19" s="3">
        <v>391.28</v>
      </c>
      <c r="J19" s="26">
        <f t="shared" si="4"/>
        <v>4.8757024834581497E-2</v>
      </c>
      <c r="K19" s="3">
        <f t="shared" si="0"/>
        <v>14477359.999999998</v>
      </c>
      <c r="L19" s="27">
        <f t="shared" si="1"/>
        <v>39532.524651230386</v>
      </c>
      <c r="M19" s="3">
        <f t="shared" si="2"/>
        <v>15468286.245533423</v>
      </c>
      <c r="N19" s="3">
        <f t="shared" si="3"/>
        <v>-2532.5246512303856</v>
      </c>
      <c r="O19" s="3">
        <f t="shared" si="5"/>
        <v>-990926.24553342536</v>
      </c>
      <c r="P19" s="3"/>
    </row>
    <row r="20" spans="1:17" x14ac:dyDescent="0.35">
      <c r="A20" t="s">
        <v>3881</v>
      </c>
      <c r="B20" s="3">
        <f>_xlfn.IFNA(_xlfn.XLOOKUP(A20,'Price list'!J:J,'Price list'!K:K),0)</f>
        <v>37000</v>
      </c>
      <c r="C20" t="s">
        <v>9</v>
      </c>
      <c r="E20" s="3"/>
      <c r="F20" s="3"/>
      <c r="G20" s="3" t="s">
        <v>989</v>
      </c>
      <c r="H20" s="3" t="str">
        <f>IF(G20=0,"",_xlfn.XLOOKUP(G20,List_item!A:A,List_item!B:B))</f>
        <v>Karkas Uk 1.1 Karkas Uk 1.1 Frozen Premium</v>
      </c>
      <c r="I20" s="3">
        <v>453.88</v>
      </c>
      <c r="J20" s="26">
        <f t="shared" si="4"/>
        <v>5.6557550684726676E-2</v>
      </c>
      <c r="K20" s="3">
        <f t="shared" si="0"/>
        <v>16793560</v>
      </c>
      <c r="L20" s="27">
        <f t="shared" si="1"/>
        <v>39532.524651230393</v>
      </c>
      <c r="M20" s="3">
        <f t="shared" si="2"/>
        <v>17943022.28870045</v>
      </c>
      <c r="N20" s="3">
        <f t="shared" si="3"/>
        <v>-2532.5246512303929</v>
      </c>
      <c r="O20" s="3">
        <f t="shared" si="5"/>
        <v>-1149462.2887004502</v>
      </c>
      <c r="P20" s="3"/>
    </row>
    <row r="21" spans="1:17" x14ac:dyDescent="0.35">
      <c r="A21" t="s">
        <v>3882</v>
      </c>
      <c r="B21" s="3">
        <f>_xlfn.IFNA(_xlfn.XLOOKUP(A21,'Price list'!J:J,'Price list'!K:K),0)</f>
        <v>37000</v>
      </c>
      <c r="C21" t="s">
        <v>9</v>
      </c>
      <c r="E21" s="3"/>
      <c r="F21" s="3"/>
      <c r="G21" s="3" t="s">
        <v>1055</v>
      </c>
      <c r="H21" s="3" t="str">
        <f>IF(G21=0,"",_xlfn.XLOOKUP(G21,List_item!A:A,List_item!B:B))</f>
        <v>Karkas Uk 1.2 Karkas Uk 1.2 Frozen Premium</v>
      </c>
      <c r="I21" s="3">
        <v>318.08</v>
      </c>
      <c r="J21" s="26">
        <f t="shared" si="4"/>
        <v>3.9635643169555521E-2</v>
      </c>
      <c r="K21" s="3">
        <f t="shared" si="0"/>
        <v>11768960</v>
      </c>
      <c r="L21" s="27">
        <f t="shared" si="1"/>
        <v>39532.524651230393</v>
      </c>
      <c r="M21" s="3">
        <f t="shared" si="2"/>
        <v>12574505.441063363</v>
      </c>
      <c r="N21" s="3">
        <f t="shared" si="3"/>
        <v>-2532.5246512303929</v>
      </c>
      <c r="O21" s="3">
        <f t="shared" si="5"/>
        <v>-805545.44106336311</v>
      </c>
      <c r="P21" s="3"/>
    </row>
    <row r="22" spans="1:17" x14ac:dyDescent="0.35">
      <c r="A22" t="s">
        <v>3883</v>
      </c>
      <c r="B22" s="3">
        <f>_xlfn.IFNA(_xlfn.XLOOKUP(A22,'Price list'!J:J,'Price list'!K:K),0)</f>
        <v>37000</v>
      </c>
      <c r="C22" t="s">
        <v>9</v>
      </c>
      <c r="E22" s="3"/>
      <c r="F22" s="3"/>
      <c r="G22" s="3" t="s">
        <v>1121</v>
      </c>
      <c r="H22" s="3" t="str">
        <f>IF(G22=0,"",_xlfn.XLOOKUP(G22,List_item!A:A,List_item!B:B))</f>
        <v>Karkas Uk 1.3 Karkas Uk 1.3 Frozen Premium</v>
      </c>
      <c r="I22" s="3">
        <v>138.86000000000001</v>
      </c>
      <c r="J22" s="26">
        <f t="shared" si="4"/>
        <v>1.7303211174938632E-2</v>
      </c>
      <c r="K22" s="3">
        <f t="shared" si="0"/>
        <v>5137820.0000000009</v>
      </c>
      <c r="L22" s="27">
        <f t="shared" si="1"/>
        <v>39532.5246512304</v>
      </c>
      <c r="M22" s="3">
        <f t="shared" si="2"/>
        <v>5489486.3730698535</v>
      </c>
      <c r="N22" s="3">
        <f t="shared" si="3"/>
        <v>-2532.5246512304002</v>
      </c>
      <c r="O22" s="3">
        <f t="shared" si="5"/>
        <v>-351666.37306985259</v>
      </c>
      <c r="P22" s="3"/>
    </row>
    <row r="23" spans="1:17" x14ac:dyDescent="0.35">
      <c r="A23" t="s">
        <v>3884</v>
      </c>
      <c r="B23" s="3">
        <f>_xlfn.IFNA(_xlfn.XLOOKUP(A23,'Price list'!J:J,'Price list'!K:K),0)</f>
        <v>37000</v>
      </c>
      <c r="C23" t="s">
        <v>9</v>
      </c>
      <c r="E23" s="3"/>
      <c r="F23" s="3"/>
      <c r="G23" s="3" t="s">
        <v>1187</v>
      </c>
      <c r="H23" s="3" t="str">
        <f>IF(G23=0,"",_xlfn.XLOOKUP(G23,List_item!A:A,List_item!B:B))</f>
        <v>Karkas Uk 1.4 Karkas Uk 1.4 Frozen Premium</v>
      </c>
      <c r="I23" s="3">
        <v>32.24</v>
      </c>
      <c r="J23" s="26">
        <f t="shared" si="4"/>
        <v>4.0173954218639023E-3</v>
      </c>
      <c r="K23" s="3">
        <f t="shared" si="0"/>
        <v>1192880</v>
      </c>
      <c r="L23" s="27">
        <f t="shared" si="1"/>
        <v>39532.524651230393</v>
      </c>
      <c r="M23" s="3">
        <f t="shared" si="2"/>
        <v>1274528.594755668</v>
      </c>
      <c r="N23" s="3">
        <f t="shared" si="3"/>
        <v>-2532.5246512303929</v>
      </c>
      <c r="O23" s="3">
        <f t="shared" si="5"/>
        <v>-81648.59475566796</v>
      </c>
      <c r="P23" s="3"/>
    </row>
    <row r="24" spans="1:17" x14ac:dyDescent="0.35">
      <c r="A24" t="s">
        <v>3849</v>
      </c>
      <c r="B24" s="3">
        <f>_xlfn.IFNA(_xlfn.XLOOKUP(A24,'Price list'!J:J,'Price list'!K:K),0)</f>
        <v>37000</v>
      </c>
      <c r="C24" t="s">
        <v>9</v>
      </c>
      <c r="E24" s="3"/>
      <c r="F24" s="3"/>
      <c r="G24" s="3" t="s">
        <v>1252</v>
      </c>
      <c r="H24" s="3" t="str">
        <f>IF(G24=0,"",_xlfn.XLOOKUP(G24,List_item!A:A,List_item!B:B))</f>
        <v>Karkas Uk 1.5 Karkas Uk 1.5 Frozen Premium</v>
      </c>
      <c r="I24" s="3">
        <v>1.52</v>
      </c>
      <c r="J24" s="26">
        <f t="shared" si="4"/>
        <v>1.8940573949234279E-4</v>
      </c>
      <c r="K24" s="3">
        <f t="shared" si="0"/>
        <v>56240</v>
      </c>
      <c r="L24" s="27">
        <f t="shared" si="1"/>
        <v>39532.524651230393</v>
      </c>
      <c r="M24" s="3">
        <f t="shared" si="2"/>
        <v>60089.437469870201</v>
      </c>
      <c r="N24" s="3">
        <f t="shared" si="3"/>
        <v>-2532.5246512303929</v>
      </c>
      <c r="O24" s="3">
        <f t="shared" si="5"/>
        <v>-3849.4374698702013</v>
      </c>
      <c r="P24" s="3"/>
    </row>
    <row r="25" spans="1:17" x14ac:dyDescent="0.35">
      <c r="A25" t="s">
        <v>3885</v>
      </c>
      <c r="B25" s="3">
        <f>_xlfn.IFNA(_xlfn.XLOOKUP(A25,'Price list'!J:J,'Price list'!K:K),0)</f>
        <v>37000</v>
      </c>
      <c r="C25" t="s">
        <v>9</v>
      </c>
      <c r="E25" s="3"/>
      <c r="F25" s="3"/>
      <c r="G25" s="3" t="s">
        <v>1318</v>
      </c>
      <c r="H25" s="3" t="str">
        <f>IF(G25=0,"",_xlfn.XLOOKUP(G25,List_item!A:A,List_item!B:B))</f>
        <v>Karkas Uk 1.6 Karkas Uk 1.6 Frozen Premium</v>
      </c>
      <c r="I25" s="3">
        <v>1.62</v>
      </c>
      <c r="J25" s="26">
        <f t="shared" si="4"/>
        <v>2.0186664340631272E-4</v>
      </c>
      <c r="K25" s="3">
        <f t="shared" si="0"/>
        <v>59940.000000000007</v>
      </c>
      <c r="L25" s="27">
        <f t="shared" si="1"/>
        <v>39532.524651230393</v>
      </c>
      <c r="M25" s="3">
        <f t="shared" si="2"/>
        <v>64042.689934993243</v>
      </c>
      <c r="N25" s="3">
        <f t="shared" si="3"/>
        <v>-2532.5246512303929</v>
      </c>
      <c r="O25" s="3">
        <f t="shared" si="5"/>
        <v>-4102.6899349932355</v>
      </c>
      <c r="P25" s="3"/>
    </row>
    <row r="26" spans="1:17" x14ac:dyDescent="0.35">
      <c r="A26" t="s">
        <v>3886</v>
      </c>
      <c r="B26" s="3">
        <f>_xlfn.IFNA(_xlfn.XLOOKUP(A26,'Price list'!J:J,'Price list'!K:K),0)</f>
        <v>37000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3">
        <v>0</v>
      </c>
      <c r="J26" s="26">
        <f t="shared" si="4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7" x14ac:dyDescent="0.35">
      <c r="A27" t="s">
        <v>3887</v>
      </c>
      <c r="B27" s="3">
        <f>_xlfn.IFNA(_xlfn.XLOOKUP(A27,'Price list'!J:J,'Price list'!K:K),0)</f>
        <v>37000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7" x14ac:dyDescent="0.35">
      <c r="A28" t="s">
        <v>3888</v>
      </c>
      <c r="B28" s="3">
        <f>_xlfn.IFNA(_xlfn.XLOOKUP(A28,'Price list'!J:J,'Price list'!K:K),0)</f>
        <v>37000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7" x14ac:dyDescent="0.35">
      <c r="A29" t="s">
        <v>3889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7" x14ac:dyDescent="0.35">
      <c r="A30" t="s">
        <v>3890</v>
      </c>
      <c r="B30" s="3">
        <f>_xlfn.IFNA(_xlfn.XLOOKUP(A30,'Price list'!J:J,'Price list'!K:K),0)</f>
        <v>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7" x14ac:dyDescent="0.35">
      <c r="A31" t="s">
        <v>8</v>
      </c>
      <c r="B31" s="3">
        <f>_xlfn.IFNA(_xlfn.XLOOKUP(A31,'Price list'!J:J,'Price list'!K:K),0)</f>
        <v>50000</v>
      </c>
      <c r="C31" t="s">
        <v>9</v>
      </c>
      <c r="E31" s="3"/>
      <c r="F31" s="3"/>
      <c r="G31" s="3" t="s">
        <v>7</v>
      </c>
      <c r="H31" s="3" t="str">
        <f>IF(G31=0,"",_xlfn.XLOOKUP(G31,List_item!A:A,List_item!B:B))</f>
        <v>Boneless BLD Frozen Premium</v>
      </c>
      <c r="I31" s="3">
        <v>1079.1099999999999</v>
      </c>
      <c r="J31" s="26">
        <f t="shared" si="4"/>
        <v>0.13446686022604079</v>
      </c>
      <c r="K31" s="3">
        <f t="shared" si="0"/>
        <v>53955499.999999993</v>
      </c>
      <c r="L31" s="109">
        <f>IFERROR(((K31/$K$11)*$F$11)/(F31+I31),0)+IFERROR(((K31/SUMIF(H:H,"*Boneless*",K:K))*$F$6)/I31,0)</f>
        <v>54198.009841722371</v>
      </c>
      <c r="M31" s="3">
        <f t="shared" si="2"/>
        <v>58485614.400301024</v>
      </c>
      <c r="N31" s="3">
        <f t="shared" si="3"/>
        <v>-4198.0098417223708</v>
      </c>
      <c r="O31" s="3">
        <f t="shared" si="5"/>
        <v>-4530114.4003010318</v>
      </c>
      <c r="P31" s="3">
        <f>IFERROR(((K31/SUMIF(H:H,"*Boneless*",K:K))*$F$6),0)</f>
        <v>837043.21599125757</v>
      </c>
      <c r="Q31">
        <f>SUMIF(H:H,"*Boneless*",K:K)</f>
        <v>115813530</v>
      </c>
    </row>
    <row r="32" spans="1:17" x14ac:dyDescent="0.35">
      <c r="A32" t="s">
        <v>10</v>
      </c>
      <c r="B32" s="3">
        <f>_xlfn.IFNA(_xlfn.XLOOKUP(A32,'Price list'!J:J,'Price list'!K:K),0)</f>
        <v>48000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>IFERROR(((K32/$K$11)*$F$11)/(F32+I32),0)</f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7" x14ac:dyDescent="0.35">
      <c r="A33" t="s">
        <v>12</v>
      </c>
      <c r="B33" s="3">
        <f>_xlfn.IFNA(_xlfn.XLOOKUP(A33,'Price list'!J:J,'Price list'!K:K),0)</f>
        <v>49000</v>
      </c>
      <c r="C33" t="s">
        <v>9</v>
      </c>
      <c r="E33" s="3"/>
      <c r="F33" s="3"/>
      <c r="G33" s="3" t="s">
        <v>11</v>
      </c>
      <c r="H33" s="3" t="str">
        <f>IF(G33=0,"",_xlfn.XLOOKUP(G33,List_item!A:A,List_item!B:B))</f>
        <v>Boneless BLP Frozen Premium</v>
      </c>
      <c r="I33" s="3">
        <v>681.62</v>
      </c>
      <c r="J33" s="26">
        <f t="shared" si="4"/>
        <v>8.4936013258401777E-2</v>
      </c>
      <c r="K33" s="3">
        <f t="shared" si="0"/>
        <v>33399380</v>
      </c>
      <c r="L33" s="109">
        <f t="shared" ref="L33:L38" si="6">IFERROR(((K33/$K$11)*$F$11)/(F33+I33),0)+IFERROR(((K33/SUMIF(H:H,"*Boneless*",K:K))*$F$6)/I33,0)</f>
        <v>53114.04964488792</v>
      </c>
      <c r="M33" s="3">
        <f t="shared" si="2"/>
        <v>36203598.518948503</v>
      </c>
      <c r="N33" s="3">
        <f t="shared" si="3"/>
        <v>-4114.0496448879203</v>
      </c>
      <c r="O33" s="3">
        <f t="shared" si="5"/>
        <v>-2804218.5189485028</v>
      </c>
      <c r="P33" s="3">
        <f t="shared" ref="P33:P38" si="7">IFERROR(((K33/SUMIF(H:H,"*Boneless*",K:K))*$F$6),0)</f>
        <v>518144.1085211719</v>
      </c>
      <c r="Q33">
        <f t="shared" ref="Q33:Q38" si="8">SUMIF(H:H,"*Boneless*",K:K)</f>
        <v>115813530</v>
      </c>
    </row>
    <row r="34" spans="1:17" x14ac:dyDescent="0.35">
      <c r="A34" t="s">
        <v>2159</v>
      </c>
      <c r="B34" s="3">
        <f>_xlfn.IFNA(_xlfn.XLOOKUP(A34,'Price list'!J:J,'Price list'!K:K),0)</f>
        <v>12500</v>
      </c>
      <c r="C34" t="s">
        <v>9</v>
      </c>
      <c r="E34" s="3"/>
      <c r="F34" s="3"/>
      <c r="G34" s="3" t="s">
        <v>31</v>
      </c>
      <c r="H34" s="3" t="str">
        <f>IF(G34=0,"",_xlfn.XLOOKUP(G34,List_item!A:A,List_item!B:B))</f>
        <v>Boneless BL Fresh KRK</v>
      </c>
      <c r="I34" s="3">
        <v>624.70000000000005</v>
      </c>
      <c r="J34" s="26">
        <f t="shared" si="4"/>
        <v>7.78432667505701E-2</v>
      </c>
      <c r="K34" s="3">
        <f t="shared" si="0"/>
        <v>7808750.0000000009</v>
      </c>
      <c r="L34" s="109">
        <f t="shared" si="6"/>
        <v>13549.502460430593</v>
      </c>
      <c r="M34" s="3">
        <f t="shared" si="2"/>
        <v>8464374.1870309915</v>
      </c>
      <c r="N34" s="3">
        <f t="shared" si="3"/>
        <v>-1049.5024604305927</v>
      </c>
      <c r="O34" s="3">
        <f t="shared" si="5"/>
        <v>-655624.18703099061</v>
      </c>
      <c r="P34" s="3">
        <f t="shared" si="7"/>
        <v>121141.70405003631</v>
      </c>
      <c r="Q34">
        <f t="shared" si="8"/>
        <v>115813530</v>
      </c>
    </row>
    <row r="35" spans="1:17" s="192" customFormat="1" x14ac:dyDescent="0.35">
      <c r="A35" s="192" t="s">
        <v>3891</v>
      </c>
      <c r="B35" s="193">
        <f>_xlfn.IFNA(_xlfn.XLOOKUP(A35,'Price list'!J:J,'Price list'!K:K),0)</f>
        <v>32000</v>
      </c>
      <c r="C35" s="192" t="s">
        <v>9</v>
      </c>
      <c r="E35" s="193"/>
      <c r="F35" s="193"/>
      <c r="G35" s="193" t="s">
        <v>14</v>
      </c>
      <c r="H35" s="193" t="str">
        <f>IF(G35=0,"",_xlfn.XLOOKUP(G35,List_item!A:A,List_item!B:B))</f>
        <v>Boneless BL Frozen Kulit</v>
      </c>
      <c r="I35" s="193">
        <v>191.52</v>
      </c>
      <c r="J35" s="194">
        <f t="shared" si="4"/>
        <v>2.3865123176035192E-2</v>
      </c>
      <c r="K35" s="193">
        <f t="shared" si="0"/>
        <v>6128640</v>
      </c>
      <c r="L35" s="195">
        <f t="shared" si="6"/>
        <v>34686.72629870232</v>
      </c>
      <c r="M35" s="193">
        <f t="shared" si="2"/>
        <v>6643201.8207274685</v>
      </c>
      <c r="N35" s="193">
        <f t="shared" si="3"/>
        <v>-2686.7262987023205</v>
      </c>
      <c r="O35" s="193">
        <f t="shared" si="5"/>
        <v>-514561.82072746847</v>
      </c>
      <c r="P35" s="193">
        <f t="shared" si="7"/>
        <v>95077.175362153284</v>
      </c>
      <c r="Q35" s="192">
        <f t="shared" si="8"/>
        <v>115813530</v>
      </c>
    </row>
    <row r="36" spans="1:17" s="192" customFormat="1" x14ac:dyDescent="0.35">
      <c r="A36" s="192" t="s">
        <v>2179</v>
      </c>
      <c r="B36" s="193">
        <f>_xlfn.IFNA(_xlfn.XLOOKUP(A36,'Price list'!J:J,'Price list'!K:K),0)</f>
        <v>36000</v>
      </c>
      <c r="C36" s="192" t="s">
        <v>9</v>
      </c>
      <c r="E36" s="193"/>
      <c r="F36" s="193"/>
      <c r="G36" s="193" t="s">
        <v>15</v>
      </c>
      <c r="H36" s="193" t="str">
        <f>IF(G36=0,"",_xlfn.XLOOKUP(G36,List_item!A:A,List_item!B:B))</f>
        <v>Boneless BL Frozen Sayap Premium</v>
      </c>
      <c r="I36" s="193">
        <v>262.45999999999998</v>
      </c>
      <c r="J36" s="194">
        <f t="shared" si="4"/>
        <v>3.2704888412605451E-2</v>
      </c>
      <c r="K36" s="193">
        <f t="shared" si="0"/>
        <v>9448560</v>
      </c>
      <c r="L36" s="195">
        <f t="shared" si="6"/>
        <v>39022.567086040108</v>
      </c>
      <c r="M36" s="193">
        <f t="shared" si="2"/>
        <v>10241862.957402086</v>
      </c>
      <c r="N36" s="193">
        <f t="shared" si="3"/>
        <v>-3022.5670860401078</v>
      </c>
      <c r="O36" s="193">
        <f t="shared" si="5"/>
        <v>-793302.95740208589</v>
      </c>
      <c r="P36" s="193">
        <f t="shared" si="7"/>
        <v>146581.03527696634</v>
      </c>
      <c r="Q36" s="192">
        <f t="shared" si="8"/>
        <v>115813530</v>
      </c>
    </row>
    <row r="37" spans="1:17" s="192" customFormat="1" x14ac:dyDescent="0.35">
      <c r="A37" s="192" t="s">
        <v>3852</v>
      </c>
      <c r="B37" s="193">
        <f>_xlfn.IFNA(_xlfn.XLOOKUP(A37,'Price list'!J:J,'Price list'!K:K),0)</f>
        <v>32000</v>
      </c>
      <c r="C37" s="192" t="s">
        <v>9</v>
      </c>
      <c r="E37" s="193"/>
      <c r="F37" s="193"/>
      <c r="G37" s="193" t="s">
        <v>16</v>
      </c>
      <c r="H37" s="193" t="str">
        <f>IF(G37=0,"",_xlfn.XLOOKUP(G37,List_item!A:A,List_item!B:B))</f>
        <v>Boneless BL Frozen Sayap Grade A</v>
      </c>
      <c r="I37" s="193">
        <v>47.58</v>
      </c>
      <c r="J37" s="194">
        <f t="shared" si="4"/>
        <v>5.9288980822668879E-3</v>
      </c>
      <c r="K37" s="193">
        <f t="shared" si="0"/>
        <v>1522560</v>
      </c>
      <c r="L37" s="195">
        <f t="shared" si="6"/>
        <v>34686.726298702328</v>
      </c>
      <c r="M37" s="193">
        <f t="shared" si="2"/>
        <v>1650394.4372922566</v>
      </c>
      <c r="N37" s="193">
        <f t="shared" si="3"/>
        <v>-2686.7262987023278</v>
      </c>
      <c r="O37" s="193">
        <f t="shared" si="5"/>
        <v>-127834.43729225663</v>
      </c>
      <c r="P37" s="193">
        <f t="shared" si="7"/>
        <v>23620.36342800362</v>
      </c>
      <c r="Q37" s="192">
        <f t="shared" si="8"/>
        <v>115813530</v>
      </c>
    </row>
    <row r="38" spans="1:17" x14ac:dyDescent="0.35">
      <c r="A38" t="s">
        <v>17</v>
      </c>
      <c r="B38" s="3">
        <f>_xlfn.IFNA(_xlfn.XLOOKUP(A38,'Price list'!J:J,'Price list'!K:K),0)</f>
        <v>5000</v>
      </c>
      <c r="C38" t="s">
        <v>9</v>
      </c>
      <c r="E38" s="3"/>
      <c r="F38" s="3"/>
      <c r="G38" s="3" t="s">
        <v>18</v>
      </c>
      <c r="H38" s="3" t="str">
        <f>IF(G38=0,"",_xlfn.XLOOKUP(G38,List_item!A:A,List_item!B:B))</f>
        <v>Boneless BL Frozen TLP</v>
      </c>
      <c r="I38" s="3">
        <v>202.4</v>
      </c>
      <c r="J38" s="26">
        <f t="shared" si="4"/>
        <v>2.5220869521875119E-2</v>
      </c>
      <c r="K38" s="3">
        <f t="shared" si="0"/>
        <v>1012000</v>
      </c>
      <c r="L38" s="109">
        <f t="shared" si="6"/>
        <v>5419.8009841722369</v>
      </c>
      <c r="M38" s="3">
        <f t="shared" si="2"/>
        <v>1096967.7191964607</v>
      </c>
      <c r="N38" s="3">
        <f t="shared" si="3"/>
        <v>-419.80098417223689</v>
      </c>
      <c r="O38" s="3">
        <f t="shared" si="5"/>
        <v>-84967.719196460675</v>
      </c>
      <c r="P38" s="3">
        <f t="shared" si="7"/>
        <v>15699.747654699757</v>
      </c>
      <c r="Q38">
        <f t="shared" si="8"/>
        <v>115813530</v>
      </c>
    </row>
    <row r="39" spans="1:17" x14ac:dyDescent="0.35">
      <c r="A39" t="s">
        <v>2199</v>
      </c>
      <c r="B39" s="3">
        <f>_xlfn.IFNA(_xlfn.XLOOKUP(A39,'Price list'!J:J,'Price list'!K:K),0)</f>
        <v>35000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ref="L39:L44" si="9">IFERROR(((K39/$K$11)*$F$11)/(F39+I39),0)</f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7" x14ac:dyDescent="0.35">
      <c r="A40" t="s">
        <v>2161</v>
      </c>
      <c r="B40" s="3">
        <f>_xlfn.IFNA(_xlfn.XLOOKUP(A40,'Price list'!J:J,'Price list'!K:K),0)</f>
        <v>24000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9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7" x14ac:dyDescent="0.35">
      <c r="A41" t="s">
        <v>2162</v>
      </c>
      <c r="B41" s="3">
        <f>_xlfn.IFNA(_xlfn.XLOOKUP(A41,'Price list'!J:J,'Price list'!K:K),0)</f>
        <v>9500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3">
        <v>0</v>
      </c>
      <c r="J41" s="26">
        <f t="shared" si="4"/>
        <v>0</v>
      </c>
      <c r="K41" s="3">
        <f t="shared" si="0"/>
        <v>0</v>
      </c>
      <c r="L41" s="27">
        <f t="shared" si="9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7" x14ac:dyDescent="0.35">
      <c r="A42" t="s">
        <v>0</v>
      </c>
      <c r="B42" s="3">
        <f>_xlfn.IFNA(_xlfn.XLOOKUP(A42,'Price list'!J:J,'Price list'!K:K),0)</f>
        <v>16000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3">
        <v>0</v>
      </c>
      <c r="J42" s="26">
        <f t="shared" si="4"/>
        <v>0</v>
      </c>
      <c r="K42" s="3">
        <f t="shared" si="0"/>
        <v>0</v>
      </c>
      <c r="L42" s="27">
        <f t="shared" si="9"/>
        <v>0</v>
      </c>
      <c r="M42" s="3">
        <f t="shared" si="2"/>
        <v>0</v>
      </c>
      <c r="N42" s="3">
        <f t="shared" si="3"/>
        <v>0</v>
      </c>
      <c r="O42" s="3">
        <f t="shared" si="5"/>
        <v>0</v>
      </c>
      <c r="P42" s="3"/>
    </row>
    <row r="43" spans="1:17" x14ac:dyDescent="0.35">
      <c r="A43" t="s">
        <v>24</v>
      </c>
      <c r="B43" s="3">
        <f>_xlfn.IFNA(_xlfn.XLOOKUP(A43,'Price list'!J:J,'Price list'!K:K),0)</f>
        <v>4500</v>
      </c>
      <c r="C43" t="s">
        <v>9</v>
      </c>
      <c r="E43" s="3"/>
      <c r="F43" s="3"/>
      <c r="G43" s="3"/>
      <c r="H43" s="3" t="str">
        <f>IF(G43=0,"",_xlfn.XLOOKUP(G43,List_item!A:A,List_item!B:B))</f>
        <v/>
      </c>
      <c r="I43" s="3">
        <v>0</v>
      </c>
      <c r="J43" s="26">
        <f t="shared" si="4"/>
        <v>0</v>
      </c>
      <c r="K43" s="3">
        <f t="shared" si="0"/>
        <v>0</v>
      </c>
      <c r="L43" s="27">
        <f t="shared" si="9"/>
        <v>0</v>
      </c>
      <c r="M43" s="3">
        <f t="shared" si="2"/>
        <v>0</v>
      </c>
      <c r="N43" s="3">
        <f t="shared" si="3"/>
        <v>0</v>
      </c>
      <c r="O43" s="3">
        <f t="shared" si="5"/>
        <v>0</v>
      </c>
      <c r="P43" s="3"/>
    </row>
    <row r="44" spans="1:17" x14ac:dyDescent="0.35">
      <c r="A44" t="s">
        <v>3893</v>
      </c>
      <c r="B44" s="3">
        <f>_xlfn.IFNA(_xlfn.XLOOKUP(A44,'Price list'!J:J,'Price list'!K:K),0)</f>
        <v>1500</v>
      </c>
      <c r="C44" t="s">
        <v>9</v>
      </c>
      <c r="E44" s="3"/>
      <c r="F44" s="3"/>
      <c r="G44" s="3"/>
      <c r="H44" s="3" t="str">
        <f>IF(G44=0,"",_xlfn.XLOOKUP(G44,List_item!A:A,List_item!B:B))</f>
        <v/>
      </c>
      <c r="I44" s="3">
        <v>0</v>
      </c>
      <c r="J44" s="26">
        <f t="shared" si="4"/>
        <v>0</v>
      </c>
      <c r="K44" s="3">
        <f t="shared" si="0"/>
        <v>0</v>
      </c>
      <c r="L44" s="27">
        <f t="shared" si="9"/>
        <v>0</v>
      </c>
      <c r="M44" s="3">
        <f t="shared" si="2"/>
        <v>0</v>
      </c>
      <c r="N44" s="3">
        <f t="shared" si="3"/>
        <v>0</v>
      </c>
      <c r="O44" s="3">
        <f t="shared" si="5"/>
        <v>0</v>
      </c>
      <c r="P44" s="3" t="s">
        <v>3947</v>
      </c>
    </row>
    <row r="45" spans="1:17" x14ac:dyDescent="0.35">
      <c r="A45" t="s">
        <v>2167</v>
      </c>
      <c r="B45" s="3">
        <f>_xlfn.IFNA(_xlfn.XLOOKUP(A45,'Price list'!J:J,'Price list'!K:K),0)</f>
        <v>22000</v>
      </c>
      <c r="C45" t="s">
        <v>9</v>
      </c>
      <c r="E45" s="3"/>
      <c r="F45" s="3"/>
      <c r="G45" s="3" t="s">
        <v>26</v>
      </c>
      <c r="H45" s="3" t="str">
        <f>IF(G45=0,"",_xlfn.XLOOKUP(G45,List_item!A:A,List_item!B:B))</f>
        <v>Boneless BL Frozen KRK - Tungir KRK</v>
      </c>
      <c r="I45" s="3">
        <v>20.78</v>
      </c>
      <c r="J45" s="26">
        <f t="shared" si="4"/>
        <v>2.5893758333229494E-3</v>
      </c>
      <c r="K45" s="3">
        <f t="shared" si="0"/>
        <v>457160</v>
      </c>
      <c r="L45" s="109">
        <f>IFERROR(((K45/$K$11)*$F$11)/(F45+I45),0)+IFERROR(((K45/SUMIF(H:H,"*Boneless*",K:K))*$F$6)/I45,0)</f>
        <v>23847.124330357841</v>
      </c>
      <c r="M45" s="3">
        <f t="shared" si="2"/>
        <v>495543.24358483596</v>
      </c>
      <c r="N45" s="3">
        <f t="shared" si="3"/>
        <v>-1847.1243303578412</v>
      </c>
      <c r="O45" s="3">
        <f t="shared" si="5"/>
        <v>-38383.24358483596</v>
      </c>
      <c r="P45" s="3">
        <f>IFERROR(((K45/SUMIF(H:H,"*Boneless*",K:K))*$F$6),0)</f>
        <v>7092.1903535795855</v>
      </c>
      <c r="Q45">
        <f>SUMIF(H:H,"*Boneless*",K:K)</f>
        <v>115813530</v>
      </c>
    </row>
    <row r="46" spans="1:17" x14ac:dyDescent="0.35">
      <c r="A46" t="s">
        <v>2168</v>
      </c>
      <c r="B46" s="3">
        <f>_xlfn.IFNA(_xlfn.XLOOKUP(A46,'Price list'!J:J,'Price list'!K:K),0)</f>
        <v>16000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ref="L46:L70" si="10">IFERROR(((K46/$K$11)*$F$11)/(F46+I46),0)</f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7" x14ac:dyDescent="0.35">
      <c r="A47" t="s">
        <v>2169</v>
      </c>
      <c r="B47" s="3">
        <f>_xlfn.IFNA(_xlfn.XLOOKUP(A47,'Price list'!J:J,'Price list'!K:K),0)</f>
        <v>5000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10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7" x14ac:dyDescent="0.35">
      <c r="A48" t="s">
        <v>3894</v>
      </c>
      <c r="B48" s="3">
        <f>_xlfn.IFNA(_xlfn.XLOOKUP(A48,'Price list'!J:J,'Price list'!K:K),0)</f>
        <v>4500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0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2170</v>
      </c>
      <c r="B49" s="3">
        <f>_xlfn.IFNA(_xlfn.XLOOKUP(A49,'Price list'!J:J,'Price list'!K:K),0)</f>
        <v>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0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2171</v>
      </c>
      <c r="B50" s="3">
        <f>_xlfn.IFNA(_xlfn.XLOOKUP(A50,'Price list'!J:J,'Price list'!K:K),0)</f>
        <v>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0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3895</v>
      </c>
      <c r="B51" s="3">
        <f>_xlfn.IFNA(_xlfn.XLOOKUP(A51,'Price list'!J:J,'Price list'!K:K),0)</f>
        <v>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10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3896</v>
      </c>
      <c r="B52" s="3">
        <f>_xlfn.IFNA(_xlfn.XLOOKUP(A52,'Price list'!J:J,'Price list'!K:K),0)</f>
        <v>34000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0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3897</v>
      </c>
      <c r="B53" s="3">
        <f>_xlfn.IFNA(_xlfn.XLOOKUP(A53,'Price list'!J:J,'Price list'!K:K),0)</f>
        <v>34000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10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3898</v>
      </c>
      <c r="B54" s="3">
        <f>_xlfn.IFNA(_xlfn.XLOOKUP(A54,'Price list'!J:J,'Price list'!K:K),0)</f>
        <v>34000</v>
      </c>
      <c r="C54" t="s">
        <v>9</v>
      </c>
      <c r="E54" s="3"/>
      <c r="F54" s="3"/>
      <c r="G54" s="3" t="s">
        <v>636</v>
      </c>
      <c r="H54" s="3" t="str">
        <f>IF(G54=0,"",_xlfn.XLOOKUP(G54,List_item!A:A,List_item!B:B))</f>
        <v>Karkas Uk 0.6 Karkas Uk 0.6 Frozen Grade A</v>
      </c>
      <c r="I54" s="3">
        <v>3.2</v>
      </c>
      <c r="J54" s="26">
        <f t="shared" si="4"/>
        <v>3.9874892524703745E-4</v>
      </c>
      <c r="K54" s="3">
        <f t="shared" si="0"/>
        <v>108800</v>
      </c>
      <c r="L54" s="27">
        <f t="shared" si="10"/>
        <v>36327.184814644141</v>
      </c>
      <c r="M54" s="3">
        <f t="shared" si="2"/>
        <v>116246.99140686126</v>
      </c>
      <c r="N54" s="3">
        <f t="shared" si="3"/>
        <v>-2327.1848146441407</v>
      </c>
      <c r="O54" s="3">
        <f t="shared" si="5"/>
        <v>-7446.9914068612561</v>
      </c>
      <c r="P54" s="3"/>
    </row>
    <row r="55" spans="1:16" x14ac:dyDescent="0.35">
      <c r="A55" t="s">
        <v>3899</v>
      </c>
      <c r="B55" s="3">
        <f>_xlfn.IFNA(_xlfn.XLOOKUP(A55,'Price list'!J:J,'Price list'!K:K),0)</f>
        <v>34000</v>
      </c>
      <c r="C55" t="s">
        <v>9</v>
      </c>
      <c r="E55" s="3"/>
      <c r="F55" s="3"/>
      <c r="G55" s="3" t="s">
        <v>701</v>
      </c>
      <c r="H55" s="3" t="str">
        <f>IF(G55=0,"",_xlfn.XLOOKUP(G55,List_item!A:A,List_item!B:B))</f>
        <v>Karkas Uk 0.7 Karkas Uk 0.7 Frozen Grade A</v>
      </c>
      <c r="I55" s="3">
        <v>20.54</v>
      </c>
      <c r="J55" s="26">
        <f t="shared" si="4"/>
        <v>2.5594696639294214E-3</v>
      </c>
      <c r="K55" s="3">
        <f t="shared" si="0"/>
        <v>698360</v>
      </c>
      <c r="L55" s="27">
        <f t="shared" si="10"/>
        <v>36327.184814644148</v>
      </c>
      <c r="M55" s="3">
        <f t="shared" si="2"/>
        <v>746160.37609279074</v>
      </c>
      <c r="N55" s="3">
        <f t="shared" si="3"/>
        <v>-2327.184814644148</v>
      </c>
      <c r="O55" s="3">
        <f t="shared" si="5"/>
        <v>-47800.376092790742</v>
      </c>
      <c r="P55" s="3"/>
    </row>
    <row r="56" spans="1:16" x14ac:dyDescent="0.35">
      <c r="A56" t="s">
        <v>3900</v>
      </c>
      <c r="B56" s="3">
        <f>_xlfn.IFNA(_xlfn.XLOOKUP(A56,'Price list'!J:J,'Price list'!K:K),0)</f>
        <v>34000</v>
      </c>
      <c r="C56" t="s">
        <v>9</v>
      </c>
      <c r="E56" s="3"/>
      <c r="F56" s="3"/>
      <c r="G56" s="3" t="s">
        <v>766</v>
      </c>
      <c r="H56" s="3" t="str">
        <f>IF(G56=0,"",_xlfn.XLOOKUP(G56,List_item!A:A,List_item!B:B))</f>
        <v>Karkas Uk 0.8 Karkas Uk 0.8 Frozen Grade A</v>
      </c>
      <c r="I56" s="3">
        <v>16</v>
      </c>
      <c r="J56" s="26">
        <f t="shared" si="4"/>
        <v>1.9937446262351874E-3</v>
      </c>
      <c r="K56" s="3">
        <f t="shared" si="0"/>
        <v>544000</v>
      </c>
      <c r="L56" s="27">
        <f t="shared" si="10"/>
        <v>36327.184814644148</v>
      </c>
      <c r="M56" s="3">
        <f t="shared" si="2"/>
        <v>581234.95703430637</v>
      </c>
      <c r="N56" s="3">
        <f t="shared" si="3"/>
        <v>-2327.184814644148</v>
      </c>
      <c r="O56" s="3">
        <f t="shared" si="5"/>
        <v>-37234.957034306368</v>
      </c>
      <c r="P56" s="3"/>
    </row>
    <row r="57" spans="1:16" x14ac:dyDescent="0.35">
      <c r="A57" t="s">
        <v>3901</v>
      </c>
      <c r="B57" s="3">
        <f>_xlfn.IFNA(_xlfn.XLOOKUP(A57,'Price list'!J:J,'Price list'!K:K),0)</f>
        <v>34000</v>
      </c>
      <c r="C57" t="s">
        <v>9</v>
      </c>
      <c r="E57" s="3"/>
      <c r="F57" s="3"/>
      <c r="G57" s="3" t="s">
        <v>831</v>
      </c>
      <c r="H57" s="3" t="str">
        <f>IF(G57=0,"",_xlfn.XLOOKUP(G57,List_item!A:A,List_item!B:B))</f>
        <v>Karkas Uk 0.9 Karkas Uk 0.9 Frozen Grade A</v>
      </c>
      <c r="I57" s="3">
        <v>228.38</v>
      </c>
      <c r="J57" s="26">
        <f t="shared" si="4"/>
        <v>2.8458212358724502E-2</v>
      </c>
      <c r="K57" s="3">
        <f t="shared" si="0"/>
        <v>7764920</v>
      </c>
      <c r="L57" s="27">
        <f t="shared" si="10"/>
        <v>36327.184814644148</v>
      </c>
      <c r="M57" s="3">
        <f t="shared" si="2"/>
        <v>8296402.4679684304</v>
      </c>
      <c r="N57" s="3">
        <f t="shared" si="3"/>
        <v>-2327.184814644148</v>
      </c>
      <c r="O57" s="3">
        <f t="shared" si="5"/>
        <v>-531482.46796843037</v>
      </c>
      <c r="P57" s="3"/>
    </row>
    <row r="58" spans="1:16" x14ac:dyDescent="0.35">
      <c r="A58" t="s">
        <v>3902</v>
      </c>
      <c r="B58" s="3">
        <f>_xlfn.IFNA(_xlfn.XLOOKUP(A58,'Price list'!J:J,'Price list'!K:K),0)</f>
        <v>34000</v>
      </c>
      <c r="C58" t="s">
        <v>9</v>
      </c>
      <c r="E58" s="3"/>
      <c r="F58" s="3"/>
      <c r="G58" s="3" t="s">
        <v>896</v>
      </c>
      <c r="H58" s="3" t="str">
        <f>IF(G58=0,"",_xlfn.XLOOKUP(G58,List_item!A:A,List_item!B:B))</f>
        <v>Karkas Uk 1.0 Karkas Uk 1.0 Frozen Grade A</v>
      </c>
      <c r="I58" s="3">
        <v>194.26</v>
      </c>
      <c r="J58" s="26">
        <f t="shared" si="4"/>
        <v>2.4206551943277966E-2</v>
      </c>
      <c r="K58" s="3">
        <f t="shared" si="0"/>
        <v>6604840</v>
      </c>
      <c r="L58" s="27">
        <f t="shared" si="10"/>
        <v>36327.184814644148</v>
      </c>
      <c r="M58" s="3">
        <f t="shared" si="2"/>
        <v>7056918.9220927721</v>
      </c>
      <c r="N58" s="3">
        <f t="shared" si="3"/>
        <v>-2327.184814644148</v>
      </c>
      <c r="O58" s="3">
        <f t="shared" si="5"/>
        <v>-452078.92209277209</v>
      </c>
      <c r="P58" s="3"/>
    </row>
    <row r="59" spans="1:16" x14ac:dyDescent="0.35">
      <c r="A59" t="s">
        <v>3903</v>
      </c>
      <c r="B59" s="3">
        <f>_xlfn.IFNA(_xlfn.XLOOKUP(A59,'Price list'!J:J,'Price list'!K:K),0)</f>
        <v>34000</v>
      </c>
      <c r="C59" t="s">
        <v>9</v>
      </c>
      <c r="E59" s="3"/>
      <c r="F59" s="3"/>
      <c r="G59" s="3" t="s">
        <v>962</v>
      </c>
      <c r="H59" s="3" t="str">
        <f>IF(G59=0,"",_xlfn.XLOOKUP(G59,List_item!A:A,List_item!B:B))</f>
        <v>Karkas Uk 1.1 Karkas Uk 1.1 Frozen Grade A</v>
      </c>
      <c r="I59" s="3">
        <v>186.46</v>
      </c>
      <c r="J59" s="26">
        <f t="shared" si="4"/>
        <v>2.3234601437988313E-2</v>
      </c>
      <c r="K59" s="3">
        <f t="shared" si="0"/>
        <v>6339640</v>
      </c>
      <c r="L59" s="27">
        <f t="shared" si="10"/>
        <v>36327.184814644141</v>
      </c>
      <c r="M59" s="3">
        <f t="shared" si="2"/>
        <v>6773566.8805385465</v>
      </c>
      <c r="N59" s="3">
        <f t="shared" si="3"/>
        <v>-2327.1848146441407</v>
      </c>
      <c r="O59" s="3">
        <f t="shared" si="5"/>
        <v>-433926.88053854648</v>
      </c>
      <c r="P59" s="3"/>
    </row>
    <row r="60" spans="1:16" x14ac:dyDescent="0.35">
      <c r="A60" t="s">
        <v>3904</v>
      </c>
      <c r="B60" s="3">
        <f>_xlfn.IFNA(_xlfn.XLOOKUP(A60,'Price list'!J:J,'Price list'!K:K),0)</f>
        <v>34000</v>
      </c>
      <c r="C60" t="s">
        <v>9</v>
      </c>
      <c r="E60" s="3"/>
      <c r="F60" s="3"/>
      <c r="G60" s="3" t="s">
        <v>1028</v>
      </c>
      <c r="H60" s="3" t="str">
        <f>IF(G60=0,"",_xlfn.XLOOKUP(G60,List_item!A:A,List_item!B:B))</f>
        <v>Karkas Uk 1.2 Karkas Uk 1.2 Frozen Grade A</v>
      </c>
      <c r="I60" s="3">
        <v>23.34</v>
      </c>
      <c r="J60" s="26">
        <f t="shared" si="4"/>
        <v>2.9083749735205793E-3</v>
      </c>
      <c r="K60" s="3">
        <f t="shared" si="0"/>
        <v>793560</v>
      </c>
      <c r="L60" s="27">
        <f t="shared" si="10"/>
        <v>36327.184814644148</v>
      </c>
      <c r="M60" s="3">
        <f t="shared" si="2"/>
        <v>847876.49357379437</v>
      </c>
      <c r="N60" s="3">
        <f t="shared" si="3"/>
        <v>-2327.184814644148</v>
      </c>
      <c r="O60" s="3">
        <f t="shared" si="5"/>
        <v>-54316.493573794374</v>
      </c>
      <c r="P60" s="3"/>
    </row>
    <row r="61" spans="1:16" x14ac:dyDescent="0.35">
      <c r="A61" t="s">
        <v>3905</v>
      </c>
      <c r="B61" s="3">
        <f>_xlfn.IFNA(_xlfn.XLOOKUP(A61,'Price list'!J:J,'Price list'!K:K),0)</f>
        <v>34000</v>
      </c>
      <c r="C61" t="s">
        <v>9</v>
      </c>
      <c r="E61" s="3"/>
      <c r="F61" s="3"/>
      <c r="G61" s="3" t="s">
        <v>1094</v>
      </c>
      <c r="H61" s="3" t="str">
        <f>IF(G61=0,"",_xlfn.XLOOKUP(G61,List_item!A:A,List_item!B:B))</f>
        <v>Karkas Uk 1.3 Karkas Uk 1.3 Frozen Grade A</v>
      </c>
      <c r="I61" s="3">
        <v>25.66</v>
      </c>
      <c r="J61" s="26">
        <f t="shared" si="4"/>
        <v>3.1974679443246817E-3</v>
      </c>
      <c r="K61" s="3">
        <f t="shared" si="0"/>
        <v>872440</v>
      </c>
      <c r="L61" s="27">
        <f t="shared" si="10"/>
        <v>36327.184814644141</v>
      </c>
      <c r="M61" s="3">
        <f t="shared" si="2"/>
        <v>932155.56234376866</v>
      </c>
      <c r="N61" s="3">
        <f t="shared" si="3"/>
        <v>-2327.1848146441407</v>
      </c>
      <c r="O61" s="3">
        <f t="shared" si="5"/>
        <v>-59715.562343768659</v>
      </c>
      <c r="P61" s="3"/>
    </row>
    <row r="62" spans="1:16" x14ac:dyDescent="0.35">
      <c r="A62" t="s">
        <v>3906</v>
      </c>
      <c r="B62" s="3">
        <f>_xlfn.IFNA(_xlfn.XLOOKUP(A62,'Price list'!J:J,'Price list'!K:K),0)</f>
        <v>34000</v>
      </c>
      <c r="C62" t="s">
        <v>9</v>
      </c>
      <c r="E62" s="3"/>
      <c r="F62" s="3"/>
      <c r="G62" s="3" t="s">
        <v>1160</v>
      </c>
      <c r="H62" s="3" t="str">
        <f>IF(G62=0,"",_xlfn.XLOOKUP(G62,List_item!A:A,List_item!B:B))</f>
        <v>Karkas Uk 1.4 Karkas Uk 1.4 Frozen Grade A</v>
      </c>
      <c r="I62" s="3">
        <v>1.4</v>
      </c>
      <c r="J62" s="26">
        <f t="shared" si="4"/>
        <v>1.7445265479557886E-4</v>
      </c>
      <c r="K62" s="3">
        <f t="shared" si="0"/>
        <v>47600</v>
      </c>
      <c r="L62" s="27">
        <f t="shared" si="10"/>
        <v>36327.184814644148</v>
      </c>
      <c r="M62" s="3">
        <f t="shared" si="2"/>
        <v>50858.058740501801</v>
      </c>
      <c r="N62" s="3">
        <f t="shared" si="3"/>
        <v>-2327.184814644148</v>
      </c>
      <c r="O62" s="3">
        <f t="shared" si="5"/>
        <v>-3258.0587405018014</v>
      </c>
      <c r="P62" s="3"/>
    </row>
    <row r="63" spans="1:16" x14ac:dyDescent="0.35">
      <c r="A63" t="s">
        <v>3907</v>
      </c>
      <c r="B63" s="3">
        <f>_xlfn.IFNA(_xlfn.XLOOKUP(A63,'Price list'!J:J,'Price list'!K:K),0)</f>
        <v>34000</v>
      </c>
      <c r="C63" t="s">
        <v>9</v>
      </c>
      <c r="E63" s="3"/>
      <c r="F63" s="3"/>
      <c r="G63" s="3"/>
      <c r="H63" s="3" t="str">
        <f>IF(G63=0,"",_xlfn.XLOOKUP(G63,List_item!A:A,List_item!B:B))</f>
        <v/>
      </c>
      <c r="I63" s="3">
        <v>0</v>
      </c>
      <c r="J63" s="26">
        <f t="shared" si="4"/>
        <v>0</v>
      </c>
      <c r="K63" s="3">
        <f t="shared" si="0"/>
        <v>0</v>
      </c>
      <c r="L63" s="27">
        <f t="shared" si="10"/>
        <v>0</v>
      </c>
      <c r="M63" s="3">
        <f t="shared" si="2"/>
        <v>0</v>
      </c>
      <c r="N63" s="3">
        <f t="shared" si="3"/>
        <v>0</v>
      </c>
      <c r="O63" s="3">
        <f t="shared" si="5"/>
        <v>0</v>
      </c>
      <c r="P63" s="3"/>
    </row>
    <row r="64" spans="1:16" x14ac:dyDescent="0.35">
      <c r="A64" t="s">
        <v>3908</v>
      </c>
      <c r="B64" s="3">
        <f>_xlfn.IFNA(_xlfn.XLOOKUP(A64,'Price list'!J:J,'Price list'!K:K),0)</f>
        <v>34000</v>
      </c>
      <c r="C64" t="s">
        <v>9</v>
      </c>
      <c r="E64" s="3"/>
      <c r="F64" s="3"/>
      <c r="G64" s="3"/>
      <c r="H64" s="3" t="str">
        <f>IF(G64=0,"",_xlfn.XLOOKUP(G64,List_item!A:A,List_item!B:B))</f>
        <v/>
      </c>
      <c r="I64" s="3">
        <v>0</v>
      </c>
      <c r="J64" s="26">
        <f t="shared" si="4"/>
        <v>0</v>
      </c>
      <c r="K64" s="3">
        <f t="shared" si="0"/>
        <v>0</v>
      </c>
      <c r="L64" s="27">
        <f t="shared" si="10"/>
        <v>0</v>
      </c>
      <c r="M64" s="3">
        <f t="shared" si="2"/>
        <v>0</v>
      </c>
      <c r="N64" s="3">
        <f t="shared" si="3"/>
        <v>0</v>
      </c>
      <c r="O64" s="3">
        <f t="shared" si="5"/>
        <v>0</v>
      </c>
      <c r="P64" s="3"/>
    </row>
    <row r="65" spans="1:17" x14ac:dyDescent="0.35">
      <c r="A65" t="s">
        <v>3909</v>
      </c>
      <c r="B65" s="3">
        <f>_xlfn.IFNA(_xlfn.XLOOKUP(A65,'Price list'!J:J,'Price list'!K:K),0)</f>
        <v>34000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0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7" x14ac:dyDescent="0.35">
      <c r="A66" t="s">
        <v>3945</v>
      </c>
      <c r="B66" s="3">
        <f>_xlfn.IFNA(_xlfn.XLOOKUP(A66,'Price list'!J:J,'Price list'!K:K),0)</f>
        <v>34000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0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7" x14ac:dyDescent="0.35">
      <c r="A67" t="s">
        <v>3911</v>
      </c>
      <c r="B67" s="3">
        <f>_xlfn.IFNA(_xlfn.XLOOKUP(A67,'Price list'!J:J,'Price list'!K:K),0)</f>
        <v>34000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0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7" x14ac:dyDescent="0.35">
      <c r="A68" t="s">
        <v>3912</v>
      </c>
      <c r="B68" s="3">
        <f>_xlfn.IFNA(_xlfn.XLOOKUP(A68,'Price list'!J:J,'Price list'!K:K),0)</f>
        <v>34000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0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7" x14ac:dyDescent="0.35">
      <c r="A69" t="s">
        <v>3913</v>
      </c>
      <c r="B69" s="3">
        <f>_xlfn.IFNA(_xlfn.XLOOKUP(A69,'Price list'!J:J,'Price list'!K:K),0)</f>
        <v>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0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7" x14ac:dyDescent="0.35">
      <c r="A70" t="s">
        <v>3914</v>
      </c>
      <c r="B70" s="3">
        <f>_xlfn.IFNA(_xlfn.XLOOKUP(A70,'Price list'!J:J,'Price list'!K:K),0)</f>
        <v>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0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7" x14ac:dyDescent="0.35">
      <c r="A71" t="s">
        <v>4055</v>
      </c>
      <c r="B71" s="3">
        <f>_xlfn.IFNA(_xlfn.XLOOKUP(A71,'Price list'!J:J,'Price list'!K:K),0)</f>
        <v>45000</v>
      </c>
      <c r="C71" t="s">
        <v>9</v>
      </c>
      <c r="E71" s="3"/>
      <c r="F71" s="3"/>
      <c r="G71" s="3" t="s">
        <v>397</v>
      </c>
      <c r="H71" s="3" t="str">
        <f>IF(G71=0,"",_xlfn.XLOOKUP(G71,List_item!A:A,List_item!B:B))</f>
        <v>Boneless BLD Frozen Grade A</v>
      </c>
      <c r="I71" s="3">
        <v>17.7</v>
      </c>
      <c r="J71" s="26">
        <f t="shared" ref="J71" si="11">IF(F71/J$5&gt;0,F71/J$5,I71/J$5)</f>
        <v>2.2055799927726757E-3</v>
      </c>
      <c r="K71" s="3">
        <f t="shared" ref="K71" si="12">+B71*(F71+I71)</f>
        <v>796500</v>
      </c>
      <c r="L71" s="109">
        <f>IFERROR(((K71/$K$11)*$F$11)/(F71+I71),0)+IFERROR(((K71/SUMIF(H:H,"*Boneless*",K:K))*$F$6)/I71,0)</f>
        <v>48778.20885755014</v>
      </c>
      <c r="M71" s="3">
        <f t="shared" ref="M71" si="13">+L71*(F71+I71)</f>
        <v>863374.29677863745</v>
      </c>
      <c r="N71" s="3">
        <f t="shared" ref="N71" si="14">IF(L71=0,0,B71-L71)</f>
        <v>-3778.2088575501402</v>
      </c>
      <c r="O71" s="3">
        <f t="shared" ref="O71" si="15">+K71-M71</f>
        <v>-66874.29677863745</v>
      </c>
      <c r="P71" s="3">
        <f>IFERROR(((K71/SUMIF(H:H,"*Boneless*",K:K))*$F$6),0)</f>
        <v>12356.570164988496</v>
      </c>
      <c r="Q71">
        <f>SUMIF(H:H,"*Boneless*",K:K)</f>
        <v>115813530</v>
      </c>
    </row>
    <row r="72" spans="1:17" x14ac:dyDescent="0.35">
      <c r="A72" t="s">
        <v>3916</v>
      </c>
      <c r="B72" s="3">
        <f>_xlfn.IFNA(_xlfn.XLOOKUP(A72,'Price list'!J:J,'Price list'!K:K),0)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ref="L72:L80" si="16">IFERROR(((K72/$K$11)*$F$11)/(F72+I72),0)</f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7" x14ac:dyDescent="0.35">
      <c r="A73" t="s">
        <v>4062</v>
      </c>
      <c r="B73" s="3">
        <f>_xlfn.IFNA(_xlfn.XLOOKUP(A73,'Price list'!J:J,'Price list'!K:K),0)</f>
        <v>44000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6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7" x14ac:dyDescent="0.35">
      <c r="A74" t="s">
        <v>3918</v>
      </c>
      <c r="B74" s="3">
        <f>_xlfn.IFNA(_xlfn.XLOOKUP(A74,'Price list'!J:J,'Price list'!K:K),0)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6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7" x14ac:dyDescent="0.35">
      <c r="A75" t="s">
        <v>3919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si="16"/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7" x14ac:dyDescent="0.35">
      <c r="A76" t="s">
        <v>3920</v>
      </c>
      <c r="B76" s="3">
        <f>_xlfn.IFNA(_xlfn.XLOOKUP(A76,'Price list'!J:J,'Price list'!K:K),0)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ref="K76:K80" si="17">+B76*(F76+I76)</f>
        <v>0</v>
      </c>
      <c r="L76" s="27">
        <f t="shared" si="16"/>
        <v>0</v>
      </c>
      <c r="M76" s="3">
        <f t="shared" ref="M76:M80" si="18">+L76*(F76+I76)</f>
        <v>0</v>
      </c>
      <c r="N76" s="3">
        <f t="shared" ref="N76:N80" si="19">IF(L76=0,0,B76-L76)</f>
        <v>0</v>
      </c>
      <c r="O76" s="3">
        <f t="shared" si="5"/>
        <v>0</v>
      </c>
      <c r="P76" s="3"/>
    </row>
    <row r="77" spans="1:17" x14ac:dyDescent="0.35">
      <c r="A77" t="s">
        <v>3921</v>
      </c>
      <c r="B77" s="3">
        <f>_xlfn.IFNA(_xlfn.XLOOKUP(A77,'Price list'!J:J,'Price list'!K:K),0)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ref="J77:J80" si="20">IF(F77/J$5&gt;0,F77/J$5,I77/J$5)</f>
        <v>0</v>
      </c>
      <c r="K77" s="3">
        <f t="shared" si="17"/>
        <v>0</v>
      </c>
      <c r="L77" s="27">
        <f t="shared" si="16"/>
        <v>0</v>
      </c>
      <c r="M77" s="3">
        <f t="shared" si="18"/>
        <v>0</v>
      </c>
      <c r="N77" s="3">
        <f t="shared" si="19"/>
        <v>0</v>
      </c>
      <c r="O77" s="3">
        <f t="shared" ref="O77:O80" si="21">+K77-M77</f>
        <v>0</v>
      </c>
      <c r="P77" s="3"/>
    </row>
    <row r="78" spans="1:17" x14ac:dyDescent="0.35">
      <c r="A78" t="s">
        <v>3922</v>
      </c>
      <c r="B78" s="3">
        <f>_xlfn.IFNA(_xlfn.XLOOKUP(A78,'Price list'!J:J,'Price list'!K:K),0)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20"/>
        <v>0</v>
      </c>
      <c r="K78" s="3">
        <f t="shared" si="17"/>
        <v>0</v>
      </c>
      <c r="L78" s="27">
        <f t="shared" si="16"/>
        <v>0</v>
      </c>
      <c r="M78" s="3">
        <f t="shared" si="18"/>
        <v>0</v>
      </c>
      <c r="N78" s="3">
        <f t="shared" si="19"/>
        <v>0</v>
      </c>
      <c r="O78" s="3">
        <f t="shared" si="21"/>
        <v>0</v>
      </c>
      <c r="P78" s="3"/>
    </row>
    <row r="79" spans="1:17" x14ac:dyDescent="0.35">
      <c r="A79" t="s">
        <v>3923</v>
      </c>
      <c r="B79" s="3">
        <f>_xlfn.IFNA(_xlfn.XLOOKUP(A79,'Price list'!J:J,'Price list'!K:K),0)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20"/>
        <v>0</v>
      </c>
      <c r="K79" s="3">
        <f t="shared" si="17"/>
        <v>0</v>
      </c>
      <c r="L79" s="27">
        <f t="shared" si="16"/>
        <v>0</v>
      </c>
      <c r="M79" s="3">
        <f t="shared" si="18"/>
        <v>0</v>
      </c>
      <c r="N79" s="3">
        <f t="shared" si="19"/>
        <v>0</v>
      </c>
      <c r="O79" s="3">
        <f t="shared" si="21"/>
        <v>0</v>
      </c>
      <c r="P79" s="3"/>
    </row>
    <row r="80" spans="1:17" x14ac:dyDescent="0.35">
      <c r="A80" t="s">
        <v>3924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20"/>
        <v>0</v>
      </c>
      <c r="K80" s="3">
        <f t="shared" si="17"/>
        <v>0</v>
      </c>
      <c r="L80" s="27">
        <f t="shared" si="16"/>
        <v>0</v>
      </c>
      <c r="M80" s="3">
        <f t="shared" si="18"/>
        <v>0</v>
      </c>
      <c r="N80" s="3">
        <f t="shared" si="19"/>
        <v>0</v>
      </c>
      <c r="O80" s="3">
        <f t="shared" si="21"/>
        <v>0</v>
      </c>
      <c r="P80" s="3"/>
    </row>
    <row r="81" spans="1:18" x14ac:dyDescent="0.35">
      <c r="A81" t="s">
        <v>4060</v>
      </c>
      <c r="B81" s="3">
        <f>_xlfn.IFNA(_xlfn.XLOOKUP(A81,'Price list'!J:J,'Price list'!K:K),0)</f>
        <v>36000</v>
      </c>
      <c r="C81" t="s">
        <v>9</v>
      </c>
      <c r="E81" s="3"/>
      <c r="F81" s="3"/>
      <c r="G81" s="3" t="s">
        <v>339</v>
      </c>
      <c r="H81" s="3" t="str">
        <f>IF(G81=0,"",_xlfn.XLOOKUP(G81,List_item!A:A,List_item!B:B))</f>
        <v>Boneless BL Frozen KRK - Trimming KRK</v>
      </c>
      <c r="I81" s="3">
        <v>35.68</v>
      </c>
      <c r="J81" s="26">
        <f t="shared" ref="J81" si="22">IF(F81/J$5&gt;0,F81/J$5,I81/J$5)</f>
        <v>4.4460505165044677E-3</v>
      </c>
      <c r="K81" s="3">
        <f t="shared" ref="K81" si="23">+B81*(F81+I81)</f>
        <v>1284480</v>
      </c>
      <c r="L81" s="109">
        <f>IFERROR(((K81/$K$11)*$F$11)/(F81+I81),0)+IFERROR(((K81/SUMIF(H:H,"*Boneless*",K:K))*$F$6)/I81,0)</f>
        <v>39022.567086040108</v>
      </c>
      <c r="M81" s="3">
        <f t="shared" ref="M81" si="24">+L81*(F81+I81)</f>
        <v>1392325.1936299109</v>
      </c>
      <c r="N81" s="3">
        <f t="shared" ref="N81" si="25">IF(L81=0,0,B81-L81)</f>
        <v>-3022.5670860401078</v>
      </c>
      <c r="O81" s="3">
        <f t="shared" ref="O81" si="26">+K81-M81</f>
        <v>-107845.19362991094</v>
      </c>
      <c r="P81" s="3">
        <f>IFERROR(((K81/SUMIF(H:H,"*Boneless*",K:K))*$F$6),0)</f>
        <v>19926.889197143028</v>
      </c>
      <c r="Q81">
        <f>SUMIF(H:H,"*Boneless*",K:K)</f>
        <v>115813530</v>
      </c>
    </row>
    <row r="83" spans="1:18" s="2" customFormat="1" x14ac:dyDescent="0.35">
      <c r="A83" t="s">
        <v>3929</v>
      </c>
      <c r="B83"/>
      <c r="C83"/>
      <c r="D83"/>
      <c r="E83"/>
      <c r="F83" s="117"/>
      <c r="G83" t="s">
        <v>3930</v>
      </c>
      <c r="Q83"/>
      <c r="R83"/>
    </row>
    <row r="84" spans="1:18" s="2" customFormat="1" x14ac:dyDescent="0.35">
      <c r="A84"/>
      <c r="B84"/>
      <c r="C84"/>
      <c r="D84"/>
      <c r="E84"/>
      <c r="F84" s="117"/>
      <c r="G84"/>
      <c r="Q84"/>
      <c r="R84"/>
    </row>
    <row r="85" spans="1:18" s="2" customFormat="1" x14ac:dyDescent="0.35">
      <c r="A85"/>
      <c r="B85"/>
      <c r="C85"/>
      <c r="D85"/>
      <c r="E85"/>
      <c r="F85" s="117"/>
      <c r="G85"/>
      <c r="Q85"/>
      <c r="R85"/>
    </row>
    <row r="86" spans="1:18" s="2" customFormat="1" x14ac:dyDescent="0.35">
      <c r="A86"/>
      <c r="B86"/>
      <c r="C86"/>
      <c r="D86"/>
      <c r="E86"/>
      <c r="F86" s="117"/>
      <c r="G86"/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 s="118"/>
      <c r="B89"/>
      <c r="C89"/>
      <c r="D89"/>
      <c r="E89"/>
      <c r="F89" s="117"/>
      <c r="G89" s="118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</sheetData>
  <autoFilter ref="A11:P81" xr:uid="{9E3D57EB-0D9F-40FE-B4FE-C94EEFF00F8F}"/>
  <conditionalFormatting sqref="O11">
    <cfRule type="cellIs" dxfId="13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65" max="1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8B84-74D7-4DAD-8CD5-B81A47C518D1}">
  <sheetPr>
    <tabColor theme="3"/>
    <pageSetUpPr fitToPage="1"/>
  </sheetPr>
  <dimension ref="A1:R92"/>
  <sheetViews>
    <sheetView view="pageBreakPreview" zoomScale="62" zoomScaleNormal="80" workbookViewId="0">
      <pane xSplit="3" ySplit="9" topLeftCell="D10" activePane="bottomRight" state="frozen"/>
      <selection activeCell="A751" sqref="A751"/>
      <selection pane="topRight" activeCell="A751" sqref="A751"/>
      <selection pane="bottomLeft" activeCell="A751" sqref="A751"/>
      <selection pane="bottomRight" activeCell="A61" sqref="A61:XFD61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2.269531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s="18" t="s">
        <v>3865</v>
      </c>
      <c r="E2" s="159">
        <v>46287</v>
      </c>
      <c r="F2" s="159">
        <v>46287</v>
      </c>
      <c r="G2" s="19" t="s">
        <v>3943</v>
      </c>
    </row>
    <row r="3" spans="1:18" x14ac:dyDescent="0.35">
      <c r="A3" s="101" t="s">
        <v>3866</v>
      </c>
      <c r="B3" s="2">
        <f>86003920+86800000+81840000+79481520+84155100+84155100</f>
        <v>502435640</v>
      </c>
      <c r="C3" s="19"/>
      <c r="E3" s="157" t="s">
        <v>4133</v>
      </c>
      <c r="F3" s="157" t="s">
        <v>4135</v>
      </c>
      <c r="G3" s="156" t="s">
        <v>4053</v>
      </c>
      <c r="H3" s="157" t="s">
        <v>4065</v>
      </c>
      <c r="I3" s="101" t="s">
        <v>3870</v>
      </c>
      <c r="J3" s="2" t="s">
        <v>4047</v>
      </c>
      <c r="Q3" s="25"/>
      <c r="R3" s="2"/>
    </row>
    <row r="4" spans="1:18" x14ac:dyDescent="0.35">
      <c r="A4" s="101" t="s">
        <v>3867</v>
      </c>
      <c r="B4" s="2">
        <f>5*3500000+1*2000000</f>
        <v>19500000</v>
      </c>
      <c r="E4" t="s">
        <v>4134</v>
      </c>
      <c r="F4" s="157" t="s">
        <v>4136</v>
      </c>
      <c r="G4" s="157"/>
      <c r="H4" s="157" t="s">
        <v>4056</v>
      </c>
      <c r="I4" s="101" t="s">
        <v>3872</v>
      </c>
      <c r="J4" s="115">
        <v>46287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26951036</v>
      </c>
      <c r="C5" s="2">
        <v>29915680</v>
      </c>
      <c r="E5" s="157">
        <v>258537050</v>
      </c>
      <c r="F5" s="157">
        <v>445378160</v>
      </c>
      <c r="G5" s="157" t="s">
        <v>4132</v>
      </c>
      <c r="H5" s="157" t="s">
        <v>4057</v>
      </c>
      <c r="I5" s="101" t="s">
        <v>3944</v>
      </c>
      <c r="J5" s="19">
        <f>3300.2+3300.2+3467.9+3500+3300+3204.9</f>
        <v>20073.2</v>
      </c>
      <c r="K5" s="2">
        <f>3328.2+3026.3+3263.7+3056.2+3012+3010.9</f>
        <v>18697.300000000003</v>
      </c>
      <c r="L5" s="2">
        <f>J5-K5</f>
        <v>1375.8999999999978</v>
      </c>
      <c r="M5" s="147">
        <f>L5/J5</f>
        <v>6.8544128489727491E-2</v>
      </c>
      <c r="N5" s="2">
        <f>11+7+10+37+14+16</f>
        <v>95</v>
      </c>
      <c r="O5" s="2">
        <f>14.2+7.6+13.8+51.8+16.1+21.9</f>
        <v>125.4</v>
      </c>
    </row>
    <row r="6" spans="1:18" x14ac:dyDescent="0.35">
      <c r="A6" s="102" t="s">
        <v>3869</v>
      </c>
      <c r="B6" s="19">
        <f>SUM(B3:B5)</f>
        <v>548886676</v>
      </c>
      <c r="E6" s="157"/>
      <c r="F6" s="157"/>
      <c r="G6" s="157"/>
      <c r="H6" s="157"/>
      <c r="I6" s="2">
        <f>J6+4485.4</f>
        <v>17958.199999999997</v>
      </c>
      <c r="J6" s="2">
        <f>3467.9+3500+3300+3204.9</f>
        <v>13472.8</v>
      </c>
      <c r="K6" s="2">
        <f>B6/K5</f>
        <v>29356.467297417268</v>
      </c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J8" s="2">
        <f>J5-J6</f>
        <v>6600.4000000000015</v>
      </c>
      <c r="K8" s="19" t="s">
        <v>3931</v>
      </c>
      <c r="L8" s="28">
        <f>SUM(K11:K68)/M10-1</f>
        <v>-4.9594073221773893E-2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548886676</v>
      </c>
      <c r="G10" s="5"/>
      <c r="H10" s="5"/>
      <c r="I10" s="5">
        <f>SUM(I11:I82)</f>
        <v>16407.099999999999</v>
      </c>
      <c r="J10" s="111">
        <f>SUM(J11:J82)</f>
        <v>0.8173634497738278</v>
      </c>
      <c r="K10" s="5">
        <f>+SUM(K11:K82)</f>
        <v>521665150</v>
      </c>
      <c r="L10" s="5"/>
      <c r="M10" s="5">
        <f>+SUM(M11:M82)</f>
        <v>548886676.00000012</v>
      </c>
      <c r="N10" s="5"/>
      <c r="O10" s="5">
        <f>+SUM(O11:O82)</f>
        <v>-27221526.000000022</v>
      </c>
    </row>
    <row r="11" spans="1:18" x14ac:dyDescent="0.35">
      <c r="A11" t="s">
        <v>3873</v>
      </c>
      <c r="B11" s="3">
        <f>_xlfn.IFNA(_xlfn.XLOOKUP(A11,'Price list'!J:J,'Price list'!K:K),0)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77" si="0">+B11*(F11+I11)</f>
        <v>0</v>
      </c>
      <c r="L11" s="27">
        <f t="shared" ref="L11:L42" si="1">IFERROR(((K11/SUM($K$11:$K$82))*$F$10)/(F11+I11),0)</f>
        <v>0</v>
      </c>
      <c r="M11" s="3">
        <f t="shared" ref="M11:M77" si="2">+L11*(F11+I11)</f>
        <v>0</v>
      </c>
      <c r="N11" s="3">
        <f t="shared" ref="N11:N77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list'!J:J,'Price list'!K:K),0)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78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78" si="5">+K12-M12</f>
        <v>0</v>
      </c>
      <c r="P12" s="3"/>
      <c r="R12" s="3"/>
    </row>
    <row r="13" spans="1:18" s="186" customFormat="1" x14ac:dyDescent="0.35">
      <c r="A13" s="186" t="s">
        <v>3875</v>
      </c>
      <c r="B13" s="187">
        <f>_xlfn.IFNA(_xlfn.XLOOKUP(A13,'Price list'!J:J,'Price list'!K:K),0)</f>
        <v>37000</v>
      </c>
      <c r="C13" s="186" t="s">
        <v>9</v>
      </c>
      <c r="E13" s="187"/>
      <c r="F13" s="187"/>
      <c r="G13" s="187" t="s">
        <v>2219</v>
      </c>
      <c r="H13" s="187" t="str">
        <f>IF(G13=0,"",_xlfn.XLOOKUP(G13,List_item!A:A,List_item!B:B))</f>
        <v>Karkas Uk 0.5 Karkas Uk 0.5 Frozen Premium</v>
      </c>
      <c r="I13" s="187">
        <v>23.8</v>
      </c>
      <c r="J13" s="189">
        <f t="shared" si="4"/>
        <v>1.1856604826335612E-3</v>
      </c>
      <c r="K13" s="187">
        <f t="shared" si="0"/>
        <v>880600</v>
      </c>
      <c r="L13" s="191">
        <f t="shared" si="1"/>
        <v>38930.733655487616</v>
      </c>
      <c r="M13" s="187">
        <f t="shared" si="2"/>
        <v>926551.46100060525</v>
      </c>
      <c r="N13" s="187">
        <f t="shared" si="3"/>
        <v>-1930.7336554876165</v>
      </c>
      <c r="O13" s="187">
        <f t="shared" si="5"/>
        <v>-45951.461000605254</v>
      </c>
      <c r="P13" s="187"/>
    </row>
    <row r="14" spans="1:18" s="186" customFormat="1" x14ac:dyDescent="0.35">
      <c r="A14" s="186" t="s">
        <v>3876</v>
      </c>
      <c r="B14" s="187">
        <f>_xlfn.IFNA(_xlfn.XLOOKUP(A14,'Price list'!J:J,'Price list'!K:K),0)</f>
        <v>37000</v>
      </c>
      <c r="C14" s="186" t="s">
        <v>9</v>
      </c>
      <c r="E14" s="187"/>
      <c r="F14" s="187"/>
      <c r="G14" s="187" t="s">
        <v>2220</v>
      </c>
      <c r="H14" s="187" t="str">
        <f>IF(G14=0,"",_xlfn.XLOOKUP(G14,List_item!A:A,List_item!B:B))</f>
        <v>Karkas Uk 0.6 Karkas Uk 0.6 Frozen Premium</v>
      </c>
      <c r="I14" s="187">
        <v>170.1</v>
      </c>
      <c r="J14" s="189">
        <f t="shared" si="4"/>
        <v>8.4739852141163339E-3</v>
      </c>
      <c r="K14" s="187">
        <f t="shared" si="0"/>
        <v>6293700</v>
      </c>
      <c r="L14" s="191">
        <f t="shared" si="1"/>
        <v>38930.733655487624</v>
      </c>
      <c r="M14" s="187">
        <f t="shared" si="2"/>
        <v>6622117.794798445</v>
      </c>
      <c r="N14" s="187">
        <f t="shared" si="3"/>
        <v>-1930.7336554876238</v>
      </c>
      <c r="O14" s="187">
        <f t="shared" si="5"/>
        <v>-328417.79479844496</v>
      </c>
      <c r="P14" s="187"/>
    </row>
    <row r="15" spans="1:18" s="186" customFormat="1" x14ac:dyDescent="0.35">
      <c r="A15" s="186" t="s">
        <v>3877</v>
      </c>
      <c r="B15" s="187">
        <f>_xlfn.IFNA(_xlfn.XLOOKUP(A15,'Price list'!J:J,'Price list'!K:K),0)</f>
        <v>37000</v>
      </c>
      <c r="C15" s="186" t="s">
        <v>9</v>
      </c>
      <c r="E15" s="187"/>
      <c r="F15" s="187"/>
      <c r="G15" s="187" t="s">
        <v>2221</v>
      </c>
      <c r="H15" s="187" t="str">
        <f>IF(G15=0,"",_xlfn.XLOOKUP(G15,List_item!A:A,List_item!B:B))</f>
        <v>Karkas Uk 0.7 Karkas Uk 0.7 Frozen Premium</v>
      </c>
      <c r="I15" s="187">
        <v>1123.9000000000001</v>
      </c>
      <c r="J15" s="189">
        <f t="shared" si="4"/>
        <v>5.5990076320666361E-2</v>
      </c>
      <c r="K15" s="187">
        <f t="shared" si="0"/>
        <v>41584300</v>
      </c>
      <c r="L15" s="191">
        <f t="shared" si="1"/>
        <v>38930.733655487624</v>
      </c>
      <c r="M15" s="187">
        <f t="shared" si="2"/>
        <v>43754251.555402547</v>
      </c>
      <c r="N15" s="187">
        <f t="shared" si="3"/>
        <v>-1930.7336554876238</v>
      </c>
      <c r="O15" s="187">
        <f t="shared" si="5"/>
        <v>-2169951.5554025471</v>
      </c>
      <c r="P15" s="187"/>
    </row>
    <row r="16" spans="1:18" s="186" customFormat="1" x14ac:dyDescent="0.35">
      <c r="A16" s="186" t="s">
        <v>3878</v>
      </c>
      <c r="B16" s="187">
        <f>_xlfn.IFNA(_xlfn.XLOOKUP(A16,'Price list'!J:J,'Price list'!K:K),0)</f>
        <v>37000</v>
      </c>
      <c r="C16" s="186" t="s">
        <v>9</v>
      </c>
      <c r="E16" s="187"/>
      <c r="F16" s="187"/>
      <c r="G16" s="187" t="s">
        <v>2222</v>
      </c>
      <c r="H16" s="187" t="str">
        <f>IF(G16=0,"",_xlfn.XLOOKUP(G16,List_item!A:A,List_item!B:B))</f>
        <v>Karkas Uk 0.8 Frozen Premium</v>
      </c>
      <c r="I16" s="187">
        <v>1041.2</v>
      </c>
      <c r="J16" s="189">
        <f t="shared" si="4"/>
        <v>5.1870155231851421E-2</v>
      </c>
      <c r="K16" s="187">
        <f t="shared" si="0"/>
        <v>38524400</v>
      </c>
      <c r="L16" s="191">
        <f t="shared" si="1"/>
        <v>38930.733655487631</v>
      </c>
      <c r="M16" s="187">
        <f t="shared" si="2"/>
        <v>40534679.88209372</v>
      </c>
      <c r="N16" s="187">
        <f t="shared" si="3"/>
        <v>-1930.733655487631</v>
      </c>
      <c r="O16" s="187">
        <f t="shared" si="5"/>
        <v>-2010279.8820937201</v>
      </c>
      <c r="P16" s="187"/>
    </row>
    <row r="17" spans="1:16" s="186" customFormat="1" x14ac:dyDescent="0.35">
      <c r="A17" s="186" t="s">
        <v>3879</v>
      </c>
      <c r="B17" s="187">
        <f>_xlfn.IFNA(_xlfn.XLOOKUP(A17,'Price list'!J:J,'Price list'!K:K),0)</f>
        <v>37000</v>
      </c>
      <c r="C17" s="186" t="s">
        <v>9</v>
      </c>
      <c r="E17" s="187"/>
      <c r="F17" s="187"/>
      <c r="G17" s="187" t="s">
        <v>2223</v>
      </c>
      <c r="H17" s="187" t="str">
        <f>IF(G17=0,"",_xlfn.XLOOKUP(G17,List_item!A:A,List_item!B:B))</f>
        <v>Karkas Uk 0.9 Frozen Premium</v>
      </c>
      <c r="I17" s="187">
        <v>3085.4</v>
      </c>
      <c r="J17" s="189">
        <f t="shared" si="4"/>
        <v>0.15370743080326008</v>
      </c>
      <c r="K17" s="187">
        <f t="shared" si="0"/>
        <v>114159800</v>
      </c>
      <c r="L17" s="191">
        <f t="shared" si="1"/>
        <v>38930.733655487624</v>
      </c>
      <c r="M17" s="187">
        <f t="shared" si="2"/>
        <v>120116885.62064151</v>
      </c>
      <c r="N17" s="187">
        <f t="shared" si="3"/>
        <v>-1930.7336554876238</v>
      </c>
      <c r="O17" s="187">
        <f t="shared" si="5"/>
        <v>-5957085.6206415147</v>
      </c>
      <c r="P17" s="187"/>
    </row>
    <row r="18" spans="1:16" s="186" customFormat="1" x14ac:dyDescent="0.35">
      <c r="A18" s="186" t="s">
        <v>3879</v>
      </c>
      <c r="B18" s="187">
        <f>_xlfn.IFNA(_xlfn.XLOOKUP(A18,'Price list'!J:J,'Price list'!K:K),0)</f>
        <v>37000</v>
      </c>
      <c r="C18" s="186" t="s">
        <v>9</v>
      </c>
      <c r="E18" s="187"/>
      <c r="F18" s="187"/>
      <c r="G18" s="187" t="s">
        <v>826</v>
      </c>
      <c r="H18" s="187" t="str">
        <f>IF(G18=0,"",_xlfn.XLOOKUP(G18,List_item!A:A,List_item!B:B))</f>
        <v>Karkas Uk 0.9 Karkas Uk 0.9 Fresh Premium</v>
      </c>
      <c r="I18" s="187">
        <v>1828.2</v>
      </c>
      <c r="J18" s="189">
        <f t="shared" si="4"/>
        <v>9.1076659426499007E-2</v>
      </c>
      <c r="K18" s="187">
        <f t="shared" si="0"/>
        <v>67643400</v>
      </c>
      <c r="L18" s="191">
        <f t="shared" si="1"/>
        <v>38930.733655487631</v>
      </c>
      <c r="M18" s="187">
        <f t="shared" si="2"/>
        <v>71173167.268962488</v>
      </c>
      <c r="N18" s="187">
        <f t="shared" si="3"/>
        <v>-1930.733655487631</v>
      </c>
      <c r="O18" s="187">
        <f t="shared" si="5"/>
        <v>-3529767.2689624876</v>
      </c>
      <c r="P18" s="187"/>
    </row>
    <row r="19" spans="1:16" s="186" customFormat="1" x14ac:dyDescent="0.35">
      <c r="A19" s="186" t="s">
        <v>3880</v>
      </c>
      <c r="B19" s="187">
        <f>_xlfn.IFNA(_xlfn.XLOOKUP(A19,'Price list'!J:J,'Price list'!K:K),0)</f>
        <v>37000</v>
      </c>
      <c r="C19" s="186" t="s">
        <v>9</v>
      </c>
      <c r="E19" s="187"/>
      <c r="F19" s="187"/>
      <c r="G19" s="187" t="s">
        <v>923</v>
      </c>
      <c r="H19" s="187" t="str">
        <f>IF(G19=0,"",_xlfn.XLOOKUP(G19,List_item!A:A,List_item!B:B))</f>
        <v>Karkas Uk 1.0 Karkas Uk 1.0 Frozen Premium</v>
      </c>
      <c r="I19" s="187">
        <v>334</v>
      </c>
      <c r="J19" s="189">
        <f t="shared" si="4"/>
        <v>1.6639100890739892E-2</v>
      </c>
      <c r="K19" s="187">
        <f t="shared" si="0"/>
        <v>12358000</v>
      </c>
      <c r="L19" s="191">
        <f t="shared" si="1"/>
        <v>38930.733655487624</v>
      </c>
      <c r="M19" s="187">
        <f t="shared" si="2"/>
        <v>13002865.040932866</v>
      </c>
      <c r="N19" s="187">
        <f t="shared" si="3"/>
        <v>-1930.7336554876238</v>
      </c>
      <c r="O19" s="187">
        <f t="shared" si="5"/>
        <v>-644865.04093286581</v>
      </c>
      <c r="P19" s="187"/>
    </row>
    <row r="20" spans="1:16" s="186" customFormat="1" x14ac:dyDescent="0.35">
      <c r="A20" s="186" t="s">
        <v>3880</v>
      </c>
      <c r="B20" s="187">
        <f>_xlfn.IFNA(_xlfn.XLOOKUP(A20,'Price list'!J:J,'Price list'!K:K),0)</f>
        <v>37000</v>
      </c>
      <c r="C20" s="186" t="s">
        <v>9</v>
      </c>
      <c r="E20" s="187"/>
      <c r="F20" s="187"/>
      <c r="G20" s="187" t="s">
        <v>891</v>
      </c>
      <c r="H20" s="187" t="str">
        <f>IF(G20=0,"",_xlfn.XLOOKUP(G20,List_item!A:A,List_item!B:B))</f>
        <v>Karkas Uk 1.0 Karkas Uk 1.0 Fresh Premium</v>
      </c>
      <c r="I20" s="187">
        <v>1366</v>
      </c>
      <c r="J20" s="189">
        <f t="shared" ref="J20" si="6">IF(F20/J$5&gt;0,F20/J$5,I20/J$5)</f>
        <v>6.8050933583085907E-2</v>
      </c>
      <c r="K20" s="187">
        <f t="shared" ref="K20" si="7">+B20*(F20+I20)</f>
        <v>50542000</v>
      </c>
      <c r="L20" s="191">
        <f t="shared" si="1"/>
        <v>38930.733655487624</v>
      </c>
      <c r="M20" s="187">
        <f t="shared" ref="M20" si="8">+L20*(F20+I20)</f>
        <v>53179382.173396096</v>
      </c>
      <c r="N20" s="187">
        <f t="shared" ref="N20" si="9">IF(L20=0,0,B20-L20)</f>
        <v>-1930.7336554876238</v>
      </c>
      <c r="O20" s="187">
        <f t="shared" ref="O20" si="10">+K20-M20</f>
        <v>-2637382.1733960956</v>
      </c>
      <c r="P20" s="187"/>
    </row>
    <row r="21" spans="1:16" s="186" customFormat="1" x14ac:dyDescent="0.35">
      <c r="A21" s="186" t="s">
        <v>3881</v>
      </c>
      <c r="B21" s="187">
        <f>_xlfn.IFNA(_xlfn.XLOOKUP(A21,'Price list'!J:J,'Price list'!K:K),0)</f>
        <v>37000</v>
      </c>
      <c r="C21" s="186" t="s">
        <v>9</v>
      </c>
      <c r="E21" s="187"/>
      <c r="F21" s="187"/>
      <c r="G21" s="187" t="s">
        <v>989</v>
      </c>
      <c r="H21" s="187" t="str">
        <f>IF(G21=0,"",_xlfn.XLOOKUP(G21,List_item!A:A,List_item!B:B))</f>
        <v>Karkas Uk 1.1 Karkas Uk 1.1 Frozen Premium</v>
      </c>
      <c r="I21" s="187">
        <v>368.7</v>
      </c>
      <c r="J21" s="189">
        <f t="shared" si="4"/>
        <v>1.8367773947352686E-2</v>
      </c>
      <c r="K21" s="187">
        <f t="shared" si="0"/>
        <v>13641900</v>
      </c>
      <c r="L21" s="191">
        <f t="shared" si="1"/>
        <v>38930.733655487624</v>
      </c>
      <c r="M21" s="187">
        <f t="shared" si="2"/>
        <v>14353761.498778287</v>
      </c>
      <c r="N21" s="187">
        <f t="shared" si="3"/>
        <v>-1930.7336554876238</v>
      </c>
      <c r="O21" s="187">
        <f t="shared" si="5"/>
        <v>-711861.49877828732</v>
      </c>
      <c r="P21" s="187"/>
    </row>
    <row r="22" spans="1:16" s="186" customFormat="1" x14ac:dyDescent="0.35">
      <c r="A22" s="186" t="s">
        <v>3881</v>
      </c>
      <c r="B22" s="187">
        <f>_xlfn.IFNA(_xlfn.XLOOKUP(A22,'Price list'!J:J,'Price list'!K:K),0)</f>
        <v>37000</v>
      </c>
      <c r="C22" s="186" t="s">
        <v>9</v>
      </c>
      <c r="E22" s="187"/>
      <c r="F22" s="187"/>
      <c r="G22" s="187" t="s">
        <v>957</v>
      </c>
      <c r="H22" s="187" t="str">
        <f>IF(G22=0,"",_xlfn.XLOOKUP(G22,List_item!A:A,List_item!B:B))</f>
        <v>Karkas Uk 1.1 Karkas Uk 1.1 Fresh Premium</v>
      </c>
      <c r="I22" s="187">
        <v>2242.1999999999998</v>
      </c>
      <c r="J22" s="189">
        <f t="shared" si="4"/>
        <v>0.11170117370424246</v>
      </c>
      <c r="K22" s="187">
        <f t="shared" si="0"/>
        <v>82961400</v>
      </c>
      <c r="L22" s="191">
        <f t="shared" si="1"/>
        <v>38930.733655487631</v>
      </c>
      <c r="M22" s="187">
        <f t="shared" si="2"/>
        <v>87290491.002334356</v>
      </c>
      <c r="N22" s="187">
        <f t="shared" si="3"/>
        <v>-1930.733655487631</v>
      </c>
      <c r="O22" s="187">
        <f t="shared" si="5"/>
        <v>-4329091.0023343563</v>
      </c>
      <c r="P22" s="187"/>
    </row>
    <row r="23" spans="1:16" s="186" customFormat="1" x14ac:dyDescent="0.35">
      <c r="A23" s="186" t="s">
        <v>3882</v>
      </c>
      <c r="B23" s="187">
        <f>_xlfn.IFNA(_xlfn.XLOOKUP(A23,'Price list'!J:J,'Price list'!K:K),0)</f>
        <v>37000</v>
      </c>
      <c r="C23" s="186" t="s">
        <v>9</v>
      </c>
      <c r="E23" s="187"/>
      <c r="F23" s="187"/>
      <c r="G23" s="187" t="s">
        <v>1055</v>
      </c>
      <c r="H23" s="187" t="str">
        <f>IF(G23=0,"",_xlfn.XLOOKUP(G23,List_item!A:A,List_item!B:B))</f>
        <v>Karkas Uk 1.2 Karkas Uk 1.2 Frozen Premium</v>
      </c>
      <c r="I23" s="187">
        <v>676.3</v>
      </c>
      <c r="J23" s="189">
        <f t="shared" si="4"/>
        <v>3.3691688420381401E-2</v>
      </c>
      <c r="K23" s="187">
        <f t="shared" si="0"/>
        <v>25023100</v>
      </c>
      <c r="L23" s="191">
        <f t="shared" si="1"/>
        <v>38930.733655487624</v>
      </c>
      <c r="M23" s="187">
        <f t="shared" si="2"/>
        <v>26328855.171206277</v>
      </c>
      <c r="N23" s="187">
        <f t="shared" si="3"/>
        <v>-1930.7336554876238</v>
      </c>
      <c r="O23" s="187">
        <f t="shared" si="5"/>
        <v>-1305755.1712062769</v>
      </c>
      <c r="P23" s="187"/>
    </row>
    <row r="24" spans="1:16" s="186" customFormat="1" x14ac:dyDescent="0.35">
      <c r="A24" s="186" t="s">
        <v>3883</v>
      </c>
      <c r="B24" s="187">
        <f>_xlfn.IFNA(_xlfn.XLOOKUP(A24,'Price list'!J:J,'Price list'!K:K),0)</f>
        <v>37000</v>
      </c>
      <c r="C24" s="186" t="s">
        <v>9</v>
      </c>
      <c r="E24" s="187"/>
      <c r="F24" s="187"/>
      <c r="G24" s="187" t="s">
        <v>1121</v>
      </c>
      <c r="H24" s="187" t="str">
        <f>IF(G24=0,"",_xlfn.XLOOKUP(G24,List_item!A:A,List_item!B:B))</f>
        <v>Karkas Uk 1.3 Karkas Uk 1.3 Frozen Premium</v>
      </c>
      <c r="I24" s="187">
        <v>173.5</v>
      </c>
      <c r="J24" s="189">
        <f t="shared" si="4"/>
        <v>8.6433652830639855E-3</v>
      </c>
      <c r="K24" s="187">
        <f t="shared" si="0"/>
        <v>6419500</v>
      </c>
      <c r="L24" s="191">
        <f t="shared" si="1"/>
        <v>38930.733655487624</v>
      </c>
      <c r="M24" s="187">
        <f t="shared" si="2"/>
        <v>6754482.2892271029</v>
      </c>
      <c r="N24" s="187">
        <f t="shared" si="3"/>
        <v>-1930.7336554876238</v>
      </c>
      <c r="O24" s="187">
        <f t="shared" si="5"/>
        <v>-334982.28922710288</v>
      </c>
      <c r="P24" s="187"/>
    </row>
    <row r="25" spans="1:16" x14ac:dyDescent="0.35">
      <c r="A25" t="s">
        <v>3884</v>
      </c>
      <c r="B25" s="3">
        <f>_xlfn.IFNA(_xlfn.XLOOKUP(A25,'Price list'!J:J,'Price list'!K:K),0)</f>
        <v>37000</v>
      </c>
      <c r="C25" t="s">
        <v>9</v>
      </c>
      <c r="E25" s="3"/>
      <c r="F25" s="3"/>
      <c r="G25" s="3"/>
      <c r="H25" s="3" t="str">
        <f>IF(G25=0,"",_xlfn.XLOOKUP(G25,List_item!A:A,List_item!B:B))</f>
        <v/>
      </c>
      <c r="I25" s="3">
        <v>0</v>
      </c>
      <c r="J25" s="26">
        <f t="shared" si="4"/>
        <v>0</v>
      </c>
      <c r="K25" s="3">
        <f t="shared" si="0"/>
        <v>0</v>
      </c>
      <c r="L25" s="27">
        <f t="shared" si="1"/>
        <v>0</v>
      </c>
      <c r="M25" s="3">
        <f t="shared" si="2"/>
        <v>0</v>
      </c>
      <c r="N25" s="3">
        <f t="shared" si="3"/>
        <v>0</v>
      </c>
      <c r="O25" s="3">
        <f t="shared" si="5"/>
        <v>0</v>
      </c>
      <c r="P25" s="3"/>
    </row>
    <row r="26" spans="1:16" x14ac:dyDescent="0.35">
      <c r="A26" t="s">
        <v>3849</v>
      </c>
      <c r="B26" s="3">
        <f>_xlfn.IFNA(_xlfn.XLOOKUP(A26,'Price list'!J:J,'Price list'!K:K),0)</f>
        <v>37000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3">
        <v>0</v>
      </c>
      <c r="J26" s="26">
        <f t="shared" si="4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6" x14ac:dyDescent="0.35">
      <c r="A27" t="s">
        <v>3885</v>
      </c>
      <c r="B27" s="3">
        <f>_xlfn.IFNA(_xlfn.XLOOKUP(A27,'Price list'!J:J,'Price list'!K:K),0)</f>
        <v>37000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6" x14ac:dyDescent="0.35">
      <c r="A28" t="s">
        <v>3886</v>
      </c>
      <c r="B28" s="3">
        <f>_xlfn.IFNA(_xlfn.XLOOKUP(A28,'Price list'!J:J,'Price list'!K:K),0)</f>
        <v>37000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6" x14ac:dyDescent="0.35">
      <c r="A29" t="s">
        <v>3887</v>
      </c>
      <c r="B29" s="3">
        <f>_xlfn.IFNA(_xlfn.XLOOKUP(A29,'Price list'!J:J,'Price list'!K:K),0)</f>
        <v>37000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3888</v>
      </c>
      <c r="B30" s="3">
        <f>_xlfn.IFNA(_xlfn.XLOOKUP(A30,'Price list'!J:J,'Price list'!K:K),0)</f>
        <v>37000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3889</v>
      </c>
      <c r="B31" s="3">
        <f>_xlfn.IFNA(_xlfn.XLOOKUP(A31,'Price list'!J:J,'Price list'!K:K),0)</f>
        <v>37000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3890</v>
      </c>
      <c r="B32" s="3">
        <f>_xlfn.IFNA(_xlfn.XLOOKUP(A32,'Price list'!J:J,'Price list'!K:K),0)</f>
        <v>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8</v>
      </c>
      <c r="B33" s="3">
        <f>_xlfn.IFNA(_xlfn.XLOOKUP(A33,'Price list'!J:J,'Price list'!K:K),0)</f>
        <v>50000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10</v>
      </c>
      <c r="B34" s="3">
        <f>_xlfn.IFNA(_xlfn.XLOOKUP(A34,'Price list'!J:J,'Price list'!K:K),0)</f>
        <v>48000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12</v>
      </c>
      <c r="B35" s="3">
        <f>_xlfn.IFNA(_xlfn.XLOOKUP(A35,'Price list'!J:J,'Price list'!K:K),0)</f>
        <v>49000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2159</v>
      </c>
      <c r="B36" s="3">
        <f>_xlfn.IFNA(_xlfn.XLOOKUP(A36,'Price list'!J:J,'Price list'!K:K),0)</f>
        <v>12500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3891</v>
      </c>
      <c r="B37" s="3">
        <f>_xlfn.IFNA(_xlfn.XLOOKUP(A37,'Price list'!J:J,'Price list'!K:K),0)</f>
        <v>32000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3892</v>
      </c>
      <c r="B38" s="3">
        <f>_xlfn.IFNA(_xlfn.XLOOKUP(A38,'Price list'!J:J,'Price list'!K:K),0)</f>
        <v>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x14ac:dyDescent="0.35">
      <c r="A39" t="s">
        <v>3852</v>
      </c>
      <c r="B39" s="3">
        <f>_xlfn.IFNA(_xlfn.XLOOKUP(A39,'Price list'!J:J,'Price list'!K:K),0)</f>
        <v>32000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si="1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6" x14ac:dyDescent="0.35">
      <c r="A40" t="s">
        <v>17</v>
      </c>
      <c r="B40" s="3">
        <f>_xlfn.IFNA(_xlfn.XLOOKUP(A40,'Price list'!J:J,'Price list'!K:K),0)</f>
        <v>5000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1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6" x14ac:dyDescent="0.35">
      <c r="A41" t="s">
        <v>2199</v>
      </c>
      <c r="B41" s="3">
        <f>_xlfn.IFNA(_xlfn.XLOOKUP(A41,'Price list'!J:J,'Price list'!K:K),0)</f>
        <v>35000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3">
        <v>0</v>
      </c>
      <c r="J41" s="26">
        <f t="shared" si="4"/>
        <v>0</v>
      </c>
      <c r="K41" s="3">
        <f t="shared" si="0"/>
        <v>0</v>
      </c>
      <c r="L41" s="27">
        <f t="shared" si="1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6" s="186" customFormat="1" x14ac:dyDescent="0.35">
      <c r="A42" s="186" t="s">
        <v>2161</v>
      </c>
      <c r="B42" s="187">
        <f>_xlfn.IFNA(_xlfn.XLOOKUP(A42,'Price list'!J:J,'Price list'!K:K),0)</f>
        <v>24000</v>
      </c>
      <c r="C42" s="186" t="s">
        <v>9</v>
      </c>
      <c r="E42" s="187"/>
      <c r="F42" s="187"/>
      <c r="G42" s="187" t="s">
        <v>19</v>
      </c>
      <c r="H42" s="187" t="str">
        <f>IF(G42=0,"",_xlfn.XLOOKUP(G42,List_item!A:A,List_item!B:B))</f>
        <v>Boneless BL Frozen Lemak</v>
      </c>
      <c r="I42" s="187">
        <v>69.3</v>
      </c>
      <c r="J42" s="189">
        <f t="shared" si="4"/>
        <v>3.4523643464918394E-3</v>
      </c>
      <c r="K42" s="187">
        <f t="shared" si="0"/>
        <v>1663200</v>
      </c>
      <c r="L42" s="191">
        <f t="shared" si="1"/>
        <v>25252.367776532512</v>
      </c>
      <c r="M42" s="187">
        <f t="shared" si="2"/>
        <v>1749989.086913703</v>
      </c>
      <c r="N42" s="187">
        <f t="shared" si="3"/>
        <v>-1252.3677765325119</v>
      </c>
      <c r="O42" s="187">
        <f t="shared" si="5"/>
        <v>-86789.086913703009</v>
      </c>
      <c r="P42" s="187"/>
    </row>
    <row r="43" spans="1:16" s="186" customFormat="1" x14ac:dyDescent="0.35">
      <c r="A43" s="186" t="s">
        <v>2162</v>
      </c>
      <c r="B43" s="187">
        <f>_xlfn.IFNA(_xlfn.XLOOKUP(A43,'Price list'!J:J,'Price list'!K:K),0)</f>
        <v>9500</v>
      </c>
      <c r="C43" s="186" t="s">
        <v>9</v>
      </c>
      <c r="E43" s="187"/>
      <c r="F43" s="187"/>
      <c r="G43" s="187" t="s">
        <v>310</v>
      </c>
      <c r="H43" s="187" t="str">
        <f>IF(G43=0,"",_xlfn.XLOOKUP(G43,List_item!A:A,List_item!B:B))</f>
        <v>Boneless BL Frozen Kepala</v>
      </c>
      <c r="I43" s="187">
        <v>1022.1</v>
      </c>
      <c r="J43" s="189">
        <f t="shared" si="4"/>
        <v>5.0918637785704324E-2</v>
      </c>
      <c r="K43" s="187">
        <f t="shared" si="0"/>
        <v>9709950</v>
      </c>
      <c r="L43" s="191">
        <f t="shared" ref="L43:L74" si="11">IFERROR(((K43/SUM($K$11:$K$82))*$F$10)/(F43+I43),0)</f>
        <v>9995.7289115441199</v>
      </c>
      <c r="M43" s="187">
        <f t="shared" si="2"/>
        <v>10216634.520489246</v>
      </c>
      <c r="N43" s="187">
        <f t="shared" si="3"/>
        <v>-495.72891154411991</v>
      </c>
      <c r="O43" s="187">
        <f t="shared" si="5"/>
        <v>-506684.52048924565</v>
      </c>
      <c r="P43" s="187"/>
    </row>
    <row r="44" spans="1:16" s="186" customFormat="1" x14ac:dyDescent="0.35">
      <c r="A44" s="186" t="s">
        <v>0</v>
      </c>
      <c r="B44" s="187">
        <f>_xlfn.IFNA(_xlfn.XLOOKUP(A44,'Price list'!J:J,'Price list'!K:K),0)</f>
        <v>16000</v>
      </c>
      <c r="C44" s="186" t="s">
        <v>9</v>
      </c>
      <c r="E44" s="187"/>
      <c r="F44" s="187"/>
      <c r="G44" s="187" t="s">
        <v>22</v>
      </c>
      <c r="H44" s="187" t="str">
        <f>IF(G44=0,"",_xlfn.XLOOKUP(G44,List_item!A:A,List_item!B:B))</f>
        <v>Boneless BL Frozen Ceker</v>
      </c>
      <c r="I44" s="187">
        <v>635.5</v>
      </c>
      <c r="J44" s="189">
        <f t="shared" si="4"/>
        <v>3.1659127593009581E-2</v>
      </c>
      <c r="K44" s="187">
        <f t="shared" si="0"/>
        <v>10168000</v>
      </c>
      <c r="L44" s="191">
        <f t="shared" si="11"/>
        <v>16834.911851021676</v>
      </c>
      <c r="M44" s="187">
        <f t="shared" si="2"/>
        <v>10698586.481324274</v>
      </c>
      <c r="N44" s="187">
        <f t="shared" si="3"/>
        <v>-834.91185102167583</v>
      </c>
      <c r="O44" s="187">
        <f t="shared" si="5"/>
        <v>-530586.48132427409</v>
      </c>
      <c r="P44" s="187"/>
    </row>
    <row r="45" spans="1:16" x14ac:dyDescent="0.35">
      <c r="A45" t="s">
        <v>24</v>
      </c>
      <c r="B45" s="3">
        <f>_xlfn.IFNA(_xlfn.XLOOKUP(A45,'Price list'!J:J,'Price list'!K:K),0)</f>
        <v>4500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27">
        <f t="shared" si="11"/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/>
    </row>
    <row r="46" spans="1:16" x14ac:dyDescent="0.35">
      <c r="A46" t="s">
        <v>3893</v>
      </c>
      <c r="B46" s="3">
        <f>_xlfn.IFNA(_xlfn.XLOOKUP(A46,'Price list'!J:J,'Price list'!K:K),0)</f>
        <v>1500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11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 t="s">
        <v>3947</v>
      </c>
    </row>
    <row r="47" spans="1:16" x14ac:dyDescent="0.35">
      <c r="A47" t="s">
        <v>2167</v>
      </c>
      <c r="B47" s="3">
        <f>_xlfn.IFNA(_xlfn.XLOOKUP(A47,'Price list'!J:J,'Price list'!K:K),0)</f>
        <v>22000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11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6" x14ac:dyDescent="0.35">
      <c r="A48" t="s">
        <v>2168</v>
      </c>
      <c r="B48" s="3">
        <f>_xlfn.IFNA(_xlfn.XLOOKUP(A48,'Price list'!J:J,'Price list'!K:K),0)</f>
        <v>16000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1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2169</v>
      </c>
      <c r="B49" s="3">
        <f>_xlfn.IFNA(_xlfn.XLOOKUP(A49,'Price list'!J:J,'Price list'!K:K),0)</f>
        <v>5000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1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s="186" customFormat="1" x14ac:dyDescent="0.35">
      <c r="A50" s="186" t="s">
        <v>3894</v>
      </c>
      <c r="B50" s="187">
        <f>_xlfn.IFNA(_xlfn.XLOOKUP(A50,'Price list'!J:J,'Price list'!K:K),0)</f>
        <v>4500</v>
      </c>
      <c r="C50" s="186" t="s">
        <v>9</v>
      </c>
      <c r="E50" s="187"/>
      <c r="F50" s="187"/>
      <c r="G50" s="187" t="s">
        <v>286</v>
      </c>
      <c r="H50" s="187" t="str">
        <f>IF(G50=0,"",_xlfn.XLOOKUP(G50,List_item!A:A,List_item!B:B))</f>
        <v>Boneless BL Frozen HJA</v>
      </c>
      <c r="I50" s="187">
        <v>1230.5999999999999</v>
      </c>
      <c r="J50" s="189">
        <f t="shared" si="4"/>
        <v>6.1305621425582359E-2</v>
      </c>
      <c r="K50" s="187">
        <f t="shared" si="0"/>
        <v>5537700</v>
      </c>
      <c r="L50" s="191">
        <f t="shared" si="11"/>
        <v>4734.818958099846</v>
      </c>
      <c r="M50" s="187">
        <f t="shared" si="2"/>
        <v>5826668.2098376704</v>
      </c>
      <c r="N50" s="187">
        <f t="shared" si="3"/>
        <v>-234.81895809984599</v>
      </c>
      <c r="O50" s="187">
        <f t="shared" si="5"/>
        <v>-288968.20983767044</v>
      </c>
      <c r="P50" s="187"/>
    </row>
    <row r="51" spans="1:16" x14ac:dyDescent="0.35">
      <c r="A51" t="s">
        <v>2170</v>
      </c>
      <c r="B51" s="3">
        <f>_xlfn.IFNA(_xlfn.XLOOKUP(A51,'Price list'!J:J,'Price list'!K:K),0)</f>
        <v>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11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2171</v>
      </c>
      <c r="B52" s="3">
        <f>_xlfn.IFNA(_xlfn.XLOOKUP(A52,'Price list'!J:J,'Price list'!K:K),0)</f>
        <v>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1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3895</v>
      </c>
      <c r="B53" s="3">
        <f>_xlfn.IFNA(_xlfn.XLOOKUP(A53,'Price list'!J:J,'Price list'!K:K),0)</f>
        <v>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11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3896</v>
      </c>
      <c r="B54" s="3">
        <f>_xlfn.IFNA(_xlfn.XLOOKUP(A54,'Price list'!J:J,'Price list'!K:K),0)</f>
        <v>34000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0"/>
        <v>0</v>
      </c>
      <c r="L54" s="27">
        <f t="shared" si="11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s="186" customFormat="1" x14ac:dyDescent="0.35">
      <c r="A55" s="186" t="s">
        <v>3897</v>
      </c>
      <c r="B55" s="187">
        <f>_xlfn.IFNA(_xlfn.XLOOKUP(A55,'Price list'!J:J,'Price list'!K:K),0)</f>
        <v>34000</v>
      </c>
      <c r="C55" s="186" t="s">
        <v>9</v>
      </c>
      <c r="E55" s="187"/>
      <c r="F55" s="187"/>
      <c r="G55" s="187" t="s">
        <v>571</v>
      </c>
      <c r="H55" s="187" t="str">
        <f>IF(G55=0,"",_xlfn.XLOOKUP(G55,List_item!A:A,List_item!B:B))</f>
        <v>Karkas Uk 0.5 Karkas Uk 0.5 Frozen Grade A</v>
      </c>
      <c r="I55" s="187">
        <v>7.1</v>
      </c>
      <c r="J55" s="189">
        <f t="shared" si="4"/>
        <v>3.5370543809656651E-4</v>
      </c>
      <c r="K55" s="187">
        <f t="shared" si="0"/>
        <v>241400</v>
      </c>
      <c r="L55" s="191">
        <f t="shared" si="11"/>
        <v>35774.187683421063</v>
      </c>
      <c r="M55" s="187">
        <f t="shared" si="2"/>
        <v>253996.73255228953</v>
      </c>
      <c r="N55" s="187">
        <f t="shared" si="3"/>
        <v>-1774.1876834210634</v>
      </c>
      <c r="O55" s="187">
        <f t="shared" si="5"/>
        <v>-12596.732552289526</v>
      </c>
      <c r="P55" s="187"/>
    </row>
    <row r="56" spans="1:16" s="186" customFormat="1" x14ac:dyDescent="0.35">
      <c r="A56" s="186" t="s">
        <v>3898</v>
      </c>
      <c r="B56" s="187">
        <f>_xlfn.IFNA(_xlfn.XLOOKUP(A56,'Price list'!J:J,'Price list'!K:K),0)</f>
        <v>34000</v>
      </c>
      <c r="C56" s="186" t="s">
        <v>9</v>
      </c>
      <c r="E56" s="187"/>
      <c r="F56" s="187"/>
      <c r="G56" s="187" t="s">
        <v>636</v>
      </c>
      <c r="H56" s="187" t="str">
        <f>IF(G56=0,"",_xlfn.XLOOKUP(G56,List_item!A:A,List_item!B:B))</f>
        <v>Karkas Uk 0.6 Karkas Uk 0.6 Frozen Grade A</v>
      </c>
      <c r="I56" s="187">
        <v>18.600000000000001</v>
      </c>
      <c r="J56" s="189">
        <f t="shared" si="4"/>
        <v>9.2660861247832933E-4</v>
      </c>
      <c r="K56" s="187">
        <f t="shared" si="0"/>
        <v>632400</v>
      </c>
      <c r="L56" s="191">
        <f t="shared" si="11"/>
        <v>35774.187683421056</v>
      </c>
      <c r="M56" s="187">
        <f t="shared" si="2"/>
        <v>665399.89091163175</v>
      </c>
      <c r="N56" s="187">
        <f t="shared" si="3"/>
        <v>-1774.1876834210561</v>
      </c>
      <c r="O56" s="187">
        <f t="shared" si="5"/>
        <v>-32999.890911631752</v>
      </c>
      <c r="P56" s="187"/>
    </row>
    <row r="57" spans="1:16" s="186" customFormat="1" x14ac:dyDescent="0.35">
      <c r="A57" s="186" t="s">
        <v>3899</v>
      </c>
      <c r="B57" s="187">
        <f>_xlfn.IFNA(_xlfn.XLOOKUP(A57,'Price list'!J:J,'Price list'!K:K),0)</f>
        <v>34000</v>
      </c>
      <c r="C57" s="186" t="s">
        <v>9</v>
      </c>
      <c r="E57" s="187"/>
      <c r="F57" s="187"/>
      <c r="G57" s="187" t="s">
        <v>701</v>
      </c>
      <c r="H57" s="187" t="str">
        <f>IF(G57=0,"",_xlfn.XLOOKUP(G57,List_item!A:A,List_item!B:B))</f>
        <v>Karkas Uk 0.7 Karkas Uk 0.7 Frozen Grade A</v>
      </c>
      <c r="I57" s="187">
        <v>103.4</v>
      </c>
      <c r="J57" s="189">
        <f t="shared" si="4"/>
        <v>5.1511468027021102E-3</v>
      </c>
      <c r="K57" s="187">
        <f t="shared" si="0"/>
        <v>3515600</v>
      </c>
      <c r="L57" s="191">
        <f t="shared" si="11"/>
        <v>35774.187683421056</v>
      </c>
      <c r="M57" s="187">
        <f t="shared" si="2"/>
        <v>3699051.0064657372</v>
      </c>
      <c r="N57" s="187">
        <f t="shared" si="3"/>
        <v>-1774.1876834210561</v>
      </c>
      <c r="O57" s="187">
        <f t="shared" si="5"/>
        <v>-183451.00646573724</v>
      </c>
      <c r="P57" s="187"/>
    </row>
    <row r="58" spans="1:16" s="186" customFormat="1" x14ac:dyDescent="0.35">
      <c r="A58" s="186" t="s">
        <v>3900</v>
      </c>
      <c r="B58" s="187">
        <f>_xlfn.IFNA(_xlfn.XLOOKUP(A58,'Price list'!J:J,'Price list'!K:K),0)</f>
        <v>34000</v>
      </c>
      <c r="C58" s="186" t="s">
        <v>9</v>
      </c>
      <c r="E58" s="187"/>
      <c r="F58" s="187"/>
      <c r="G58" s="187" t="s">
        <v>766</v>
      </c>
      <c r="H58" s="187" t="str">
        <f>IF(G58=0,"",_xlfn.XLOOKUP(G58,List_item!A:A,List_item!B:B))</f>
        <v>Karkas Uk 0.8 Karkas Uk 0.8 Frozen Grade A</v>
      </c>
      <c r="I58" s="187">
        <v>180.8</v>
      </c>
      <c r="J58" s="189">
        <f t="shared" si="4"/>
        <v>9.0070342546280623E-3</v>
      </c>
      <c r="K58" s="187">
        <f t="shared" si="0"/>
        <v>6147200</v>
      </c>
      <c r="L58" s="191">
        <f t="shared" si="11"/>
        <v>35774.187683421063</v>
      </c>
      <c r="M58" s="187">
        <f t="shared" si="2"/>
        <v>6467973.1331625283</v>
      </c>
      <c r="N58" s="187">
        <f t="shared" si="3"/>
        <v>-1774.1876834210634</v>
      </c>
      <c r="O58" s="187">
        <f t="shared" si="5"/>
        <v>-320773.13316252828</v>
      </c>
      <c r="P58" s="187"/>
    </row>
    <row r="59" spans="1:16" s="186" customFormat="1" x14ac:dyDescent="0.35">
      <c r="A59" s="186" t="s">
        <v>3901</v>
      </c>
      <c r="B59" s="187">
        <f>_xlfn.IFNA(_xlfn.XLOOKUP(A59,'Price list'!J:J,'Price list'!K:K),0)</f>
        <v>34000</v>
      </c>
      <c r="C59" s="186" t="s">
        <v>9</v>
      </c>
      <c r="E59" s="187"/>
      <c r="F59" s="187"/>
      <c r="G59" s="187" t="s">
        <v>831</v>
      </c>
      <c r="H59" s="187" t="str">
        <f>IF(G59=0,"",_xlfn.XLOOKUP(G59,List_item!A:A,List_item!B:B))</f>
        <v>Karkas Uk 0.9 Karkas Uk 0.9 Frozen Grade A</v>
      </c>
      <c r="I59" s="187">
        <v>261.60000000000002</v>
      </c>
      <c r="J59" s="189">
        <f t="shared" si="4"/>
        <v>1.3032301775501664E-2</v>
      </c>
      <c r="K59" s="187">
        <f t="shared" si="0"/>
        <v>8894400</v>
      </c>
      <c r="L59" s="191">
        <f t="shared" si="11"/>
        <v>35774.187683421063</v>
      </c>
      <c r="M59" s="187">
        <f t="shared" si="2"/>
        <v>9358527.4979829509</v>
      </c>
      <c r="N59" s="187">
        <f t="shared" si="3"/>
        <v>-1774.1876834210634</v>
      </c>
      <c r="O59" s="187">
        <f t="shared" si="5"/>
        <v>-464127.49798295088</v>
      </c>
      <c r="P59" s="187"/>
    </row>
    <row r="60" spans="1:16" s="186" customFormat="1" x14ac:dyDescent="0.35">
      <c r="A60" s="186" t="s">
        <v>3902</v>
      </c>
      <c r="B60" s="187">
        <f>_xlfn.IFNA(_xlfn.XLOOKUP(A60,'Price list'!J:J,'Price list'!K:K),0)</f>
        <v>34000</v>
      </c>
      <c r="C60" s="186" t="s">
        <v>9</v>
      </c>
      <c r="E60" s="187"/>
      <c r="F60" s="187"/>
      <c r="G60" s="187" t="s">
        <v>896</v>
      </c>
      <c r="H60" s="187" t="str">
        <f>IF(G60=0,"",_xlfn.XLOOKUP(G60,List_item!A:A,List_item!B:B))</f>
        <v>Karkas Uk 1.0 Karkas Uk 1.0 Frozen Grade A</v>
      </c>
      <c r="I60" s="187">
        <v>244.9</v>
      </c>
      <c r="J60" s="189">
        <f t="shared" si="4"/>
        <v>1.220034673096467E-2</v>
      </c>
      <c r="K60" s="187">
        <f t="shared" si="0"/>
        <v>8326600</v>
      </c>
      <c r="L60" s="191">
        <f t="shared" si="11"/>
        <v>35774.187683421056</v>
      </c>
      <c r="M60" s="187">
        <f t="shared" si="2"/>
        <v>8761098.5636698175</v>
      </c>
      <c r="N60" s="187">
        <f t="shared" si="3"/>
        <v>-1774.1876834210561</v>
      </c>
      <c r="O60" s="187">
        <f t="shared" si="5"/>
        <v>-434498.56366981752</v>
      </c>
      <c r="P60" s="187"/>
    </row>
    <row r="61" spans="1:16" s="186" customFormat="1" x14ac:dyDescent="0.35">
      <c r="A61" s="186" t="s">
        <v>3903</v>
      </c>
      <c r="B61" s="187">
        <f>_xlfn.IFNA(_xlfn.XLOOKUP(A61,'Price list'!J:J,'Price list'!K:K),0)</f>
        <v>34000</v>
      </c>
      <c r="C61" s="186" t="s">
        <v>9</v>
      </c>
      <c r="E61" s="187"/>
      <c r="F61" s="187"/>
      <c r="G61" s="187" t="s">
        <v>962</v>
      </c>
      <c r="H61" s="187" t="str">
        <f>IF(G61=0,"",_xlfn.XLOOKUP(G61,List_item!A:A,List_item!B:B))</f>
        <v>Karkas Uk 1.1 Karkas Uk 1.1 Frozen Grade A</v>
      </c>
      <c r="I61" s="187">
        <v>130.30000000000001</v>
      </c>
      <c r="J61" s="189">
        <f t="shared" si="4"/>
        <v>6.4912420540820604E-3</v>
      </c>
      <c r="K61" s="187">
        <f t="shared" si="0"/>
        <v>4430200</v>
      </c>
      <c r="L61" s="191">
        <f t="shared" si="11"/>
        <v>35774.187683421056</v>
      </c>
      <c r="M61" s="187">
        <f t="shared" si="2"/>
        <v>4661376.6551497644</v>
      </c>
      <c r="N61" s="187">
        <f t="shared" si="3"/>
        <v>-1774.1876834210561</v>
      </c>
      <c r="O61" s="187">
        <f t="shared" si="5"/>
        <v>-231176.65514976438</v>
      </c>
      <c r="P61" s="187"/>
    </row>
    <row r="62" spans="1:16" s="186" customFormat="1" x14ac:dyDescent="0.35">
      <c r="A62" s="186" t="s">
        <v>3904</v>
      </c>
      <c r="B62" s="187">
        <f>_xlfn.IFNA(_xlfn.XLOOKUP(A62,'Price list'!J:J,'Price list'!K:K),0)</f>
        <v>34000</v>
      </c>
      <c r="C62" s="186" t="s">
        <v>9</v>
      </c>
      <c r="E62" s="187"/>
      <c r="F62" s="187"/>
      <c r="G62" s="187" t="s">
        <v>1028</v>
      </c>
      <c r="H62" s="187" t="str">
        <f>IF(G62=0,"",_xlfn.XLOOKUP(G62,List_item!A:A,List_item!B:B))</f>
        <v>Karkas Uk 1.2 Karkas Uk 1.2 Frozen Grade A</v>
      </c>
      <c r="I62" s="187">
        <v>53.4</v>
      </c>
      <c r="J62" s="189">
        <f t="shared" si="4"/>
        <v>2.6602634358248809E-3</v>
      </c>
      <c r="K62" s="187">
        <f t="shared" si="0"/>
        <v>1815600</v>
      </c>
      <c r="L62" s="191">
        <f t="shared" si="11"/>
        <v>35774.187683421063</v>
      </c>
      <c r="M62" s="187">
        <f t="shared" si="2"/>
        <v>1910341.6222946846</v>
      </c>
      <c r="N62" s="187">
        <f t="shared" si="3"/>
        <v>-1774.1876834210634</v>
      </c>
      <c r="O62" s="187">
        <f t="shared" si="5"/>
        <v>-94741.622294684639</v>
      </c>
      <c r="P62" s="187"/>
    </row>
    <row r="63" spans="1:16" s="186" customFormat="1" x14ac:dyDescent="0.35">
      <c r="A63" s="186" t="s">
        <v>3905</v>
      </c>
      <c r="B63" s="187">
        <f>_xlfn.IFNA(_xlfn.XLOOKUP(A63,'Price list'!J:J,'Price list'!K:K),0)</f>
        <v>34000</v>
      </c>
      <c r="C63" s="186" t="s">
        <v>9</v>
      </c>
      <c r="E63" s="187"/>
      <c r="F63" s="187"/>
      <c r="G63" s="187" t="s">
        <v>1094</v>
      </c>
      <c r="H63" s="187" t="str">
        <f>IF(G63=0,"",_xlfn.XLOOKUP(G63,List_item!A:A,List_item!B:B))</f>
        <v>Karkas Uk 1.3 Karkas Uk 1.3 Frozen Grade A</v>
      </c>
      <c r="I63" s="187">
        <v>16.2</v>
      </c>
      <c r="J63" s="189">
        <f t="shared" si="4"/>
        <v>8.0704621086822225E-4</v>
      </c>
      <c r="K63" s="187">
        <f t="shared" si="0"/>
        <v>550800</v>
      </c>
      <c r="L63" s="191">
        <f t="shared" si="11"/>
        <v>35774.187683421056</v>
      </c>
      <c r="M63" s="187">
        <f t="shared" si="2"/>
        <v>579541.84047142114</v>
      </c>
      <c r="N63" s="187">
        <f t="shared" si="3"/>
        <v>-1774.1876834210561</v>
      </c>
      <c r="O63" s="187">
        <f t="shared" si="5"/>
        <v>-28741.840471421136</v>
      </c>
      <c r="P63" s="187"/>
    </row>
    <row r="64" spans="1:16" x14ac:dyDescent="0.35">
      <c r="A64" t="s">
        <v>3906</v>
      </c>
      <c r="B64" s="3">
        <f>_xlfn.IFNA(_xlfn.XLOOKUP(A64,'Price list'!J:J,'Price list'!K:K),0)</f>
        <v>34000</v>
      </c>
      <c r="C64" t="s">
        <v>9</v>
      </c>
      <c r="E64" s="3"/>
      <c r="F64" s="3"/>
      <c r="G64" s="3"/>
      <c r="H64" s="3" t="str">
        <f>IF(G64=0,"",_xlfn.XLOOKUP(G64,List_item!A:A,List_item!B:B))</f>
        <v/>
      </c>
      <c r="I64" s="3">
        <v>0</v>
      </c>
      <c r="J64" s="26">
        <f t="shared" si="4"/>
        <v>0</v>
      </c>
      <c r="K64" s="3">
        <f t="shared" si="0"/>
        <v>0</v>
      </c>
      <c r="L64" s="27">
        <f t="shared" si="11"/>
        <v>0</v>
      </c>
      <c r="M64" s="3">
        <f t="shared" si="2"/>
        <v>0</v>
      </c>
      <c r="N64" s="3">
        <f t="shared" si="3"/>
        <v>0</v>
      </c>
      <c r="O64" s="3">
        <f t="shared" si="5"/>
        <v>0</v>
      </c>
      <c r="P64" s="3"/>
    </row>
    <row r="65" spans="1:16" x14ac:dyDescent="0.35">
      <c r="A65" t="s">
        <v>3907</v>
      </c>
      <c r="B65" s="3">
        <f>_xlfn.IFNA(_xlfn.XLOOKUP(A65,'Price list'!J:J,'Price list'!K:K),0)</f>
        <v>34000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1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6" x14ac:dyDescent="0.35">
      <c r="A66" t="s">
        <v>3908</v>
      </c>
      <c r="B66" s="3">
        <f>_xlfn.IFNA(_xlfn.XLOOKUP(A66,'Price list'!J:J,'Price list'!K:K),0)</f>
        <v>34000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1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6" x14ac:dyDescent="0.35">
      <c r="A67" t="s">
        <v>3909</v>
      </c>
      <c r="B67" s="3">
        <f>_xlfn.IFNA(_xlfn.XLOOKUP(A67,'Price list'!J:J,'Price list'!K:K),0)</f>
        <v>34000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1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6" x14ac:dyDescent="0.35">
      <c r="A68" t="s">
        <v>3945</v>
      </c>
      <c r="B68" s="3">
        <f>_xlfn.IFNA(_xlfn.XLOOKUP(A68,'Price list'!J:J,'Price list'!K:K),0)</f>
        <v>34000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1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6" x14ac:dyDescent="0.35">
      <c r="A69" t="s">
        <v>3911</v>
      </c>
      <c r="B69" s="3">
        <f>_xlfn.IFNA(_xlfn.XLOOKUP(A69,'Price list'!J:J,'Price list'!K:K),0)</f>
        <v>34000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1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6" x14ac:dyDescent="0.35">
      <c r="A70" t="s">
        <v>3912</v>
      </c>
      <c r="B70" s="3">
        <f>_xlfn.IFNA(_xlfn.XLOOKUP(A70,'Price list'!J:J,'Price list'!K:K),0)</f>
        <v>34000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1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6" x14ac:dyDescent="0.35">
      <c r="A71" t="s">
        <v>3913</v>
      </c>
      <c r="B71" s="3">
        <f>_xlfn.IFNA(_xlfn.XLOOKUP(A71,'Price list'!J:J,'Price list'!K:K),0)</f>
        <v>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11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6" x14ac:dyDescent="0.35">
      <c r="A72" t="s">
        <v>3914</v>
      </c>
      <c r="B72" s="3">
        <f>_xlfn.IFNA(_xlfn.XLOOKUP(A72,'Price list'!J:J,'Price list'!K:K),0)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11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6" x14ac:dyDescent="0.35">
      <c r="A73" t="s">
        <v>3915</v>
      </c>
      <c r="B73" s="3">
        <f>_xlfn.IFNA(_xlfn.XLOOKUP(A73,'Price list'!J:J,'Price list'!K:K),0)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1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6" x14ac:dyDescent="0.35">
      <c r="A74" t="s">
        <v>3916</v>
      </c>
      <c r="B74" s="3">
        <f>_xlfn.IFNA(_xlfn.XLOOKUP(A74,'Price list'!J:J,'Price list'!K:K),0)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1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6" x14ac:dyDescent="0.35">
      <c r="A75" t="s">
        <v>3917</v>
      </c>
      <c r="B75" s="3">
        <f>_xlfn.IFNA(_xlfn.XLOOKUP(A75,'Price list'!J:J,'Price list'!K:K),0)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ref="L75:L82" si="12">IFERROR(((K75/SUM($K$11:$K$82))*$F$10)/(F75+I75),0)</f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6" x14ac:dyDescent="0.35">
      <c r="A76" t="s">
        <v>3918</v>
      </c>
      <c r="B76" s="3">
        <f>_xlfn.IFNA(_xlfn.XLOOKUP(A76,'Price list'!J:J,'Price list'!K:K),0)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si="0"/>
        <v>0</v>
      </c>
      <c r="L76" s="27">
        <f t="shared" si="12"/>
        <v>0</v>
      </c>
      <c r="M76" s="3">
        <f t="shared" si="2"/>
        <v>0</v>
      </c>
      <c r="N76" s="3">
        <f t="shared" si="3"/>
        <v>0</v>
      </c>
      <c r="O76" s="3">
        <f t="shared" si="5"/>
        <v>0</v>
      </c>
      <c r="P76" s="3"/>
    </row>
    <row r="77" spans="1:16" x14ac:dyDescent="0.35">
      <c r="A77" t="s">
        <v>3919</v>
      </c>
      <c r="B77" s="3">
        <f>_xlfn.IFNA(_xlfn.XLOOKUP(A77,'Price list'!J:J,'Price list'!K:K),0)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4"/>
        <v>0</v>
      </c>
      <c r="K77" s="3">
        <f t="shared" si="0"/>
        <v>0</v>
      </c>
      <c r="L77" s="27">
        <f t="shared" si="12"/>
        <v>0</v>
      </c>
      <c r="M77" s="3">
        <f t="shared" si="2"/>
        <v>0</v>
      </c>
      <c r="N77" s="3">
        <f t="shared" si="3"/>
        <v>0</v>
      </c>
      <c r="O77" s="3">
        <f t="shared" si="5"/>
        <v>0</v>
      </c>
      <c r="P77" s="3"/>
    </row>
    <row r="78" spans="1:16" x14ac:dyDescent="0.35">
      <c r="A78" t="s">
        <v>3920</v>
      </c>
      <c r="B78" s="3">
        <f>_xlfn.IFNA(_xlfn.XLOOKUP(A78,'Price list'!J:J,'Price list'!K:K),0)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4"/>
        <v>0</v>
      </c>
      <c r="K78" s="3">
        <f t="shared" ref="K78:K82" si="13">+B78*(F78+I78)</f>
        <v>0</v>
      </c>
      <c r="L78" s="27">
        <f t="shared" si="12"/>
        <v>0</v>
      </c>
      <c r="M78" s="3">
        <f t="shared" ref="M78:M82" si="14">+L78*(F78+I78)</f>
        <v>0</v>
      </c>
      <c r="N78" s="3">
        <f t="shared" ref="N78:N82" si="15">IF(L78=0,0,B78-L78)</f>
        <v>0</v>
      </c>
      <c r="O78" s="3">
        <f t="shared" si="5"/>
        <v>0</v>
      </c>
      <c r="P78" s="3"/>
    </row>
    <row r="79" spans="1:16" x14ac:dyDescent="0.35">
      <c r="A79" t="s">
        <v>3921</v>
      </c>
      <c r="B79" s="3">
        <f>_xlfn.IFNA(_xlfn.XLOOKUP(A79,'Price list'!J:J,'Price list'!K:K),0)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ref="J79:J82" si="16">IF(F79/J$5&gt;0,F79/J$5,I79/J$5)</f>
        <v>0</v>
      </c>
      <c r="K79" s="3">
        <f t="shared" si="13"/>
        <v>0</v>
      </c>
      <c r="L79" s="27">
        <f t="shared" si="12"/>
        <v>0</v>
      </c>
      <c r="M79" s="3">
        <f t="shared" si="14"/>
        <v>0</v>
      </c>
      <c r="N79" s="3">
        <f t="shared" si="15"/>
        <v>0</v>
      </c>
      <c r="O79" s="3">
        <f t="shared" ref="O79:O82" si="17">+K79-M79</f>
        <v>0</v>
      </c>
      <c r="P79" s="3"/>
    </row>
    <row r="80" spans="1:16" x14ac:dyDescent="0.35">
      <c r="A80" t="s">
        <v>3922</v>
      </c>
      <c r="B80" s="3">
        <f>_xlfn.IFNA(_xlfn.XLOOKUP(A80,'Price list'!J:J,'Price list'!K:K),0)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16"/>
        <v>0</v>
      </c>
      <c r="K80" s="3">
        <f t="shared" si="13"/>
        <v>0</v>
      </c>
      <c r="L80" s="27">
        <f t="shared" si="12"/>
        <v>0</v>
      </c>
      <c r="M80" s="3">
        <f t="shared" si="14"/>
        <v>0</v>
      </c>
      <c r="N80" s="3">
        <f t="shared" si="15"/>
        <v>0</v>
      </c>
      <c r="O80" s="3">
        <f t="shared" si="17"/>
        <v>0</v>
      </c>
      <c r="P80" s="3"/>
    </row>
    <row r="81" spans="1:18" x14ac:dyDescent="0.35">
      <c r="A81" t="s">
        <v>3923</v>
      </c>
      <c r="B81" s="3">
        <f>_xlfn.IFNA(_xlfn.XLOOKUP(A81,'Price list'!J:J,'Price list'!K:K),0)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16"/>
        <v>0</v>
      </c>
      <c r="K81" s="3">
        <f t="shared" si="13"/>
        <v>0</v>
      </c>
      <c r="L81" s="27">
        <f t="shared" si="12"/>
        <v>0</v>
      </c>
      <c r="M81" s="3">
        <f t="shared" si="14"/>
        <v>0</v>
      </c>
      <c r="N81" s="3">
        <f t="shared" si="15"/>
        <v>0</v>
      </c>
      <c r="O81" s="3">
        <f t="shared" si="17"/>
        <v>0</v>
      </c>
      <c r="P81" s="3"/>
    </row>
    <row r="82" spans="1:18" x14ac:dyDescent="0.35">
      <c r="A82" t="s">
        <v>3924</v>
      </c>
      <c r="B82" s="3">
        <f>_xlfn.IFNA(_xlfn.XLOOKUP(A82,'Price list'!J:J,'Price list'!K:K),0)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3">
        <v>0</v>
      </c>
      <c r="J82" s="26">
        <f t="shared" si="16"/>
        <v>0</v>
      </c>
      <c r="K82" s="3">
        <f t="shared" si="13"/>
        <v>0</v>
      </c>
      <c r="L82" s="27">
        <f t="shared" si="12"/>
        <v>0</v>
      </c>
      <c r="M82" s="3">
        <f t="shared" si="14"/>
        <v>0</v>
      </c>
      <c r="N82" s="3">
        <f t="shared" si="15"/>
        <v>0</v>
      </c>
      <c r="O82" s="3">
        <f t="shared" si="17"/>
        <v>0</v>
      </c>
      <c r="P82" s="3"/>
    </row>
    <row r="85" spans="1:18" s="2" customFormat="1" x14ac:dyDescent="0.35">
      <c r="A85" t="s">
        <v>3929</v>
      </c>
      <c r="B85"/>
      <c r="C85"/>
      <c r="D85"/>
      <c r="E85"/>
      <c r="F85" s="117"/>
      <c r="G85" t="s">
        <v>3930</v>
      </c>
      <c r="Q85"/>
      <c r="R85"/>
    </row>
    <row r="86" spans="1:18" s="2" customFormat="1" x14ac:dyDescent="0.35">
      <c r="A86"/>
      <c r="B86"/>
      <c r="C86"/>
      <c r="D86"/>
      <c r="E86"/>
      <c r="F86" s="117"/>
      <c r="G86"/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/>
      <c r="B89"/>
      <c r="C89"/>
      <c r="D89"/>
      <c r="E89"/>
      <c r="F89" s="117"/>
      <c r="G89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  <row r="91" spans="1:18" s="2" customFormat="1" x14ac:dyDescent="0.35">
      <c r="A91" s="118"/>
      <c r="B91"/>
      <c r="C91"/>
      <c r="D91"/>
      <c r="E91"/>
      <c r="F91" s="117"/>
      <c r="G91" s="118"/>
      <c r="Q91"/>
      <c r="R91"/>
    </row>
    <row r="92" spans="1:18" s="2" customFormat="1" x14ac:dyDescent="0.35">
      <c r="A92"/>
      <c r="B92"/>
      <c r="C92"/>
      <c r="D92"/>
      <c r="E92"/>
      <c r="F92" s="117"/>
      <c r="G92"/>
      <c r="Q92"/>
      <c r="R92"/>
    </row>
  </sheetData>
  <autoFilter ref="A10:P82" xr:uid="{9E3D57EB-0D9F-40FE-B4FE-C94EEFF00F8F}"/>
  <conditionalFormatting sqref="O10">
    <cfRule type="cellIs" dxfId="12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rowBreaks count="1" manualBreakCount="1">
    <brk id="67" max="1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58A1-DAC8-43AA-A289-9576BF4A6B8F}">
  <sheetPr>
    <tabColor theme="3"/>
    <pageSetUpPr fitToPage="1"/>
  </sheetPr>
  <dimension ref="A1:R92"/>
  <sheetViews>
    <sheetView view="pageBreakPreview" zoomScale="60" zoomScaleNormal="80" workbookViewId="0">
      <pane xSplit="3" ySplit="9" topLeftCell="D10" activePane="bottomRight" state="frozen"/>
      <selection activeCell="A751" sqref="A751"/>
      <selection pane="topRight" activeCell="A751" sqref="A751"/>
      <selection pane="bottomLeft" activeCell="A751" sqref="A751"/>
      <selection pane="bottomRight" activeCell="A24" sqref="A24:XFD24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2.269531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s="18" t="s">
        <v>3865</v>
      </c>
      <c r="C2" s="6">
        <f>B3*0.25%</f>
        <v>1338781.875</v>
      </c>
      <c r="D2" s="161">
        <v>46286</v>
      </c>
      <c r="E2" s="159">
        <v>46286</v>
      </c>
      <c r="F2" s="159">
        <v>46286</v>
      </c>
      <c r="G2" s="19" t="s">
        <v>3943</v>
      </c>
    </row>
    <row r="3" spans="1:18" x14ac:dyDescent="0.35">
      <c r="A3" s="101" t="s">
        <v>3866</v>
      </c>
      <c r="B3" s="2">
        <f>357012750+178500000</f>
        <v>535512750</v>
      </c>
      <c r="C3" s="162" t="s">
        <v>4131</v>
      </c>
      <c r="D3" s="157" t="s">
        <v>4126</v>
      </c>
      <c r="E3" s="157" t="s">
        <v>4128</v>
      </c>
      <c r="F3" s="157" t="s">
        <v>4129</v>
      </c>
      <c r="G3" s="156" t="s">
        <v>4048</v>
      </c>
      <c r="H3" s="157" t="s">
        <v>4125</v>
      </c>
      <c r="I3" s="101" t="s">
        <v>3870</v>
      </c>
      <c r="J3" s="2" t="s">
        <v>4047</v>
      </c>
      <c r="Q3" s="25"/>
      <c r="R3" s="2"/>
    </row>
    <row r="4" spans="1:18" x14ac:dyDescent="0.35">
      <c r="A4" s="101" t="s">
        <v>3867</v>
      </c>
      <c r="B4" s="2">
        <f>6*2600000</f>
        <v>15600000</v>
      </c>
      <c r="C4" t="s">
        <v>4127</v>
      </c>
      <c r="D4" t="s">
        <v>4127</v>
      </c>
      <c r="E4" t="s">
        <v>4127</v>
      </c>
      <c r="F4" s="157" t="s">
        <v>4130</v>
      </c>
      <c r="G4" s="157"/>
      <c r="H4" s="157" t="s">
        <v>4052</v>
      </c>
      <c r="I4" s="101" t="s">
        <v>3872</v>
      </c>
      <c r="J4" s="115">
        <v>46286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27983107</v>
      </c>
      <c r="C5" s="2">
        <v>31061280</v>
      </c>
      <c r="D5">
        <v>272002750</v>
      </c>
      <c r="E5" s="157">
        <v>65000000</v>
      </c>
      <c r="F5" s="157">
        <v>178490000</v>
      </c>
      <c r="G5" s="157" t="s">
        <v>4124</v>
      </c>
      <c r="H5" s="157" t="s">
        <v>4051</v>
      </c>
      <c r="I5" s="101" t="s">
        <v>3944</v>
      </c>
      <c r="J5" s="19">
        <f>3400.4+3300.1+3800+3500+1939.5+1560.5+3500</f>
        <v>21000.5</v>
      </c>
      <c r="K5" s="2">
        <f>3365.3+3535.9+3188.2+2951.9+3267+3105</f>
        <v>19413.300000000003</v>
      </c>
      <c r="L5" s="2">
        <f>J5-K5</f>
        <v>1587.1999999999971</v>
      </c>
      <c r="M5" s="147">
        <f>L5/J5</f>
        <v>7.5579152877312303E-2</v>
      </c>
      <c r="N5" s="2">
        <f>1+14+5+23+2+7</f>
        <v>52</v>
      </c>
      <c r="O5" s="2">
        <f>1.2+24.5+7+29.5+2.1+9.2</f>
        <v>73.5</v>
      </c>
    </row>
    <row r="6" spans="1:18" x14ac:dyDescent="0.35">
      <c r="A6" s="102" t="s">
        <v>3869</v>
      </c>
      <c r="B6" s="19">
        <f>SUM(B3:B5)</f>
        <v>579095857</v>
      </c>
      <c r="C6" s="160">
        <v>46289</v>
      </c>
      <c r="E6" s="157"/>
      <c r="F6" s="157"/>
      <c r="G6" s="157"/>
      <c r="H6" s="157"/>
      <c r="J6" s="2">
        <f>3400.4+3300.1+3800+3500</f>
        <v>14000.5</v>
      </c>
      <c r="Q6" s="25"/>
    </row>
    <row r="7" spans="1:18" ht="4.5" customHeight="1" x14ac:dyDescent="0.35">
      <c r="A7" s="101"/>
    </row>
    <row r="8" spans="1:18" x14ac:dyDescent="0.35">
      <c r="A8" s="8"/>
      <c r="B8" s="19"/>
      <c r="C8" s="18">
        <v>20000000</v>
      </c>
      <c r="E8" s="18"/>
      <c r="J8" s="2">
        <f>J5-J6</f>
        <v>7000</v>
      </c>
      <c r="K8" s="19" t="s">
        <v>3931</v>
      </c>
      <c r="L8" s="28">
        <f>SUM(K11:K68)/M10-1</f>
        <v>-9.3433438257183199E-2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579095857</v>
      </c>
      <c r="G10" s="5"/>
      <c r="H10" s="5"/>
      <c r="I10" s="5">
        <f>SUM(I11:I82)</f>
        <v>17633.96</v>
      </c>
      <c r="J10" s="111">
        <f>SUM(J11:J82)</f>
        <v>0.83969238827646964</v>
      </c>
      <c r="K10" s="5">
        <f>+SUM(K11:K82)</f>
        <v>524988940</v>
      </c>
      <c r="L10" s="5"/>
      <c r="M10" s="5">
        <f>+SUM(M11:M82)</f>
        <v>579095857.00000012</v>
      </c>
      <c r="N10" s="5"/>
      <c r="O10" s="5">
        <f>+SUM(O11:O82)</f>
        <v>-54106916.999999955</v>
      </c>
    </row>
    <row r="11" spans="1:18" x14ac:dyDescent="0.35">
      <c r="A11" t="s">
        <v>3873</v>
      </c>
      <c r="B11" s="3">
        <f>_xlfn.IFNA(_xlfn.XLOOKUP(A11,'Price list'!G:G,'Price list'!H:H),0)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77" si="0">+B11*(F11+I11)</f>
        <v>0</v>
      </c>
      <c r="L11" s="27">
        <f t="shared" ref="L11:L42" si="1">IFERROR(((K11/SUM($K$11:$K$82))*$F$10)/(F11+I11),0)</f>
        <v>0</v>
      </c>
      <c r="M11" s="3">
        <f t="shared" ref="M11:M77" si="2">+L11*(F11+I11)</f>
        <v>0</v>
      </c>
      <c r="N11" s="3">
        <f t="shared" ref="N11:N77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list'!G:G,'Price list'!H:H),0)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78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78" si="5">+K12-M12</f>
        <v>0</v>
      </c>
      <c r="P12" s="3"/>
      <c r="R12" s="3"/>
    </row>
    <row r="13" spans="1:18" s="186" customFormat="1" x14ac:dyDescent="0.35">
      <c r="A13" s="186" t="s">
        <v>3875</v>
      </c>
      <c r="B13" s="187">
        <f>_xlfn.IFNA(_xlfn.XLOOKUP(A13,'Price list'!G:G,'Price list'!H:H),0)</f>
        <v>36500</v>
      </c>
      <c r="C13" s="186" t="s">
        <v>9</v>
      </c>
      <c r="E13" s="187"/>
      <c r="F13" s="187"/>
      <c r="G13" s="187" t="s">
        <v>2219</v>
      </c>
      <c r="H13" s="187" t="str">
        <f>IF(G13=0,"",_xlfn.XLOOKUP(G13,List_item!A:A,List_item!B:B))</f>
        <v>Karkas Uk 0.5 Karkas Uk 0.5 Frozen Premium</v>
      </c>
      <c r="I13" s="187">
        <v>31.1</v>
      </c>
      <c r="J13" s="189">
        <f t="shared" si="4"/>
        <v>1.4809171210209281E-3</v>
      </c>
      <c r="K13" s="187">
        <f t="shared" si="0"/>
        <v>1135150</v>
      </c>
      <c r="L13" s="191">
        <f t="shared" si="1"/>
        <v>40261.798239978161</v>
      </c>
      <c r="M13" s="187">
        <f t="shared" si="2"/>
        <v>1252141.9252633208</v>
      </c>
      <c r="N13" s="187">
        <f t="shared" si="3"/>
        <v>-3761.7982399781613</v>
      </c>
      <c r="O13" s="187">
        <f t="shared" si="5"/>
        <v>-116991.92526332079</v>
      </c>
      <c r="P13" s="187"/>
    </row>
    <row r="14" spans="1:18" s="186" customFormat="1" x14ac:dyDescent="0.35">
      <c r="A14" s="186" t="s">
        <v>3876</v>
      </c>
      <c r="B14" s="187">
        <f>_xlfn.IFNA(_xlfn.XLOOKUP(A14,'Price list'!G:G,'Price list'!H:H),0)</f>
        <v>36500</v>
      </c>
      <c r="C14" s="186" t="s">
        <v>9</v>
      </c>
      <c r="E14" s="187"/>
      <c r="F14" s="187"/>
      <c r="G14" s="187" t="s">
        <v>2220</v>
      </c>
      <c r="H14" s="187" t="str">
        <f>IF(G14=0,"",_xlfn.XLOOKUP(G14,List_item!A:A,List_item!B:B))</f>
        <v>Karkas Uk 0.6 Karkas Uk 0.6 Frozen Premium</v>
      </c>
      <c r="I14" s="187">
        <v>192.2</v>
      </c>
      <c r="J14" s="189">
        <f t="shared" si="4"/>
        <v>9.1521630437370535E-3</v>
      </c>
      <c r="K14" s="187">
        <f t="shared" si="0"/>
        <v>7015300</v>
      </c>
      <c r="L14" s="191">
        <f t="shared" si="1"/>
        <v>40261.798239978161</v>
      </c>
      <c r="M14" s="187">
        <f t="shared" si="2"/>
        <v>7738317.6217238018</v>
      </c>
      <c r="N14" s="187">
        <f t="shared" si="3"/>
        <v>-3761.7982399781613</v>
      </c>
      <c r="O14" s="187">
        <f t="shared" si="5"/>
        <v>-723017.62172380183</v>
      </c>
      <c r="P14" s="187"/>
    </row>
    <row r="15" spans="1:18" s="186" customFormat="1" x14ac:dyDescent="0.35">
      <c r="A15" s="186" t="s">
        <v>3877</v>
      </c>
      <c r="B15" s="187">
        <f>_xlfn.IFNA(_xlfn.XLOOKUP(A15,'Price list'!G:G,'Price list'!H:H),0)</f>
        <v>36500</v>
      </c>
      <c r="C15" s="186" t="s">
        <v>9</v>
      </c>
      <c r="E15" s="187"/>
      <c r="F15" s="187"/>
      <c r="G15" s="187" t="s">
        <v>2221</v>
      </c>
      <c r="H15" s="187" t="str">
        <f>IF(G15=0,"",_xlfn.XLOOKUP(G15,List_item!A:A,List_item!B:B))</f>
        <v>Karkas Uk 0.7 Karkas Uk 0.7 Frozen Premium</v>
      </c>
      <c r="I15" s="187">
        <v>619.9</v>
      </c>
      <c r="J15" s="189">
        <f t="shared" si="4"/>
        <v>2.9518344801314253E-2</v>
      </c>
      <c r="K15" s="187">
        <f t="shared" si="0"/>
        <v>22626350</v>
      </c>
      <c r="L15" s="191">
        <f t="shared" si="1"/>
        <v>40261.798239978154</v>
      </c>
      <c r="M15" s="187">
        <f t="shared" si="2"/>
        <v>24958288.728962455</v>
      </c>
      <c r="N15" s="187">
        <f t="shared" si="3"/>
        <v>-3761.798239978154</v>
      </c>
      <c r="O15" s="187">
        <f t="shared" si="5"/>
        <v>-2331938.7289624549</v>
      </c>
      <c r="P15" s="187"/>
    </row>
    <row r="16" spans="1:18" s="186" customFormat="1" x14ac:dyDescent="0.35">
      <c r="A16" s="186" t="s">
        <v>3878</v>
      </c>
      <c r="B16" s="187">
        <f>_xlfn.IFNA(_xlfn.XLOOKUP(A16,'Price list'!G:G,'Price list'!H:H),0)</f>
        <v>36500</v>
      </c>
      <c r="C16" s="186" t="s">
        <v>9</v>
      </c>
      <c r="E16" s="187"/>
      <c r="F16" s="187"/>
      <c r="G16" s="187" t="s">
        <v>2222</v>
      </c>
      <c r="H16" s="187" t="str">
        <f>IF(G16=0,"",_xlfn.XLOOKUP(G16,List_item!A:A,List_item!B:B))</f>
        <v>Karkas Uk 0.8 Frozen Premium</v>
      </c>
      <c r="I16" s="187">
        <v>1288.5</v>
      </c>
      <c r="J16" s="189">
        <f t="shared" si="4"/>
        <v>6.1355682007571251E-2</v>
      </c>
      <c r="K16" s="187">
        <f t="shared" si="0"/>
        <v>47030250</v>
      </c>
      <c r="L16" s="191">
        <f t="shared" si="1"/>
        <v>40261.798239978161</v>
      </c>
      <c r="M16" s="187">
        <f t="shared" si="2"/>
        <v>51877327.032211863</v>
      </c>
      <c r="N16" s="187">
        <f t="shared" si="3"/>
        <v>-3761.7982399781613</v>
      </c>
      <c r="O16" s="187">
        <f t="shared" si="5"/>
        <v>-4847077.0322118625</v>
      </c>
      <c r="P16" s="187"/>
    </row>
    <row r="17" spans="1:16" s="186" customFormat="1" x14ac:dyDescent="0.35">
      <c r="A17" s="186" t="s">
        <v>3879</v>
      </c>
      <c r="B17" s="187">
        <f>_xlfn.IFNA(_xlfn.XLOOKUP(A17,'Price list'!G:G,'Price list'!H:H),0)</f>
        <v>36500</v>
      </c>
      <c r="C17" s="186" t="s">
        <v>9</v>
      </c>
      <c r="E17" s="187"/>
      <c r="F17" s="187"/>
      <c r="G17" s="187" t="s">
        <v>2223</v>
      </c>
      <c r="H17" s="187" t="str">
        <f>IF(G17=0,"",_xlfn.XLOOKUP(G17,List_item!A:A,List_item!B:B))</f>
        <v>Karkas Uk 0.9 Frozen Premium</v>
      </c>
      <c r="I17" s="187">
        <v>827.8</v>
      </c>
      <c r="J17" s="189">
        <f t="shared" si="4"/>
        <v>3.9418109092640652E-2</v>
      </c>
      <c r="K17" s="187">
        <f t="shared" si="0"/>
        <v>30214700</v>
      </c>
      <c r="L17" s="191">
        <f t="shared" si="1"/>
        <v>40261.798239978161</v>
      </c>
      <c r="M17" s="187">
        <f t="shared" si="2"/>
        <v>33328716.58305392</v>
      </c>
      <c r="N17" s="187">
        <f t="shared" si="3"/>
        <v>-3761.7982399781613</v>
      </c>
      <c r="O17" s="187">
        <f t="shared" si="5"/>
        <v>-3114016.5830539204</v>
      </c>
      <c r="P17" s="187"/>
    </row>
    <row r="18" spans="1:16" s="186" customFormat="1" x14ac:dyDescent="0.35">
      <c r="A18" s="186" t="s">
        <v>3879</v>
      </c>
      <c r="B18" s="187">
        <f>_xlfn.IFNA(_xlfn.XLOOKUP(A18,'Price list'!G:G,'Price list'!H:H),0)</f>
        <v>36500</v>
      </c>
      <c r="C18" s="186" t="s">
        <v>9</v>
      </c>
      <c r="E18" s="187"/>
      <c r="F18" s="187"/>
      <c r="G18" s="187" t="s">
        <v>826</v>
      </c>
      <c r="H18" s="187" t="str">
        <f>IF(G18=0,"",_xlfn.XLOOKUP(G18,List_item!A:A,List_item!B:B))</f>
        <v>Karkas Uk 0.9 Karkas Uk 0.9 Fresh Premium</v>
      </c>
      <c r="I18" s="187">
        <v>4912.8</v>
      </c>
      <c r="J18" s="189">
        <f t="shared" si="4"/>
        <v>0.23393728720744744</v>
      </c>
      <c r="K18" s="187">
        <f t="shared" si="0"/>
        <v>179317200</v>
      </c>
      <c r="L18" s="191">
        <f t="shared" si="1"/>
        <v>40261.798239978154</v>
      </c>
      <c r="M18" s="187">
        <f t="shared" si="2"/>
        <v>197798162.39336467</v>
      </c>
      <c r="N18" s="187">
        <f t="shared" si="3"/>
        <v>-3761.798239978154</v>
      </c>
      <c r="O18" s="187">
        <f t="shared" si="5"/>
        <v>-18480962.393364668</v>
      </c>
      <c r="P18" s="187"/>
    </row>
    <row r="19" spans="1:16" s="186" customFormat="1" x14ac:dyDescent="0.35">
      <c r="A19" s="186" t="s">
        <v>3880</v>
      </c>
      <c r="B19" s="187">
        <f>_xlfn.IFNA(_xlfn.XLOOKUP(A19,'Price list'!G:G,'Price list'!H:H),0)</f>
        <v>36500</v>
      </c>
      <c r="C19" s="186" t="s">
        <v>9</v>
      </c>
      <c r="E19" s="187"/>
      <c r="F19" s="187"/>
      <c r="G19" s="187" t="s">
        <v>923</v>
      </c>
      <c r="H19" s="187" t="str">
        <f>IF(G19=0,"",_xlfn.XLOOKUP(G19,List_item!A:A,List_item!B:B))</f>
        <v>Karkas Uk 1.0 Karkas Uk 1.0 Frozen Premium</v>
      </c>
      <c r="I19" s="187">
        <v>283.89999999999998</v>
      </c>
      <c r="J19" s="189">
        <f t="shared" si="4"/>
        <v>1.3518725744625128E-2</v>
      </c>
      <c r="K19" s="187">
        <f t="shared" si="0"/>
        <v>10362350</v>
      </c>
      <c r="L19" s="191">
        <f t="shared" si="1"/>
        <v>40261.798239978161</v>
      </c>
      <c r="M19" s="187">
        <f t="shared" si="2"/>
        <v>11430324.5203298</v>
      </c>
      <c r="N19" s="187">
        <f t="shared" si="3"/>
        <v>-3761.7982399781613</v>
      </c>
      <c r="O19" s="187">
        <f t="shared" si="5"/>
        <v>-1067974.5203297995</v>
      </c>
      <c r="P19" s="187"/>
    </row>
    <row r="20" spans="1:16" s="186" customFormat="1" x14ac:dyDescent="0.35">
      <c r="A20" s="186" t="s">
        <v>3881</v>
      </c>
      <c r="B20" s="187">
        <f>_xlfn.IFNA(_xlfn.XLOOKUP(A20,'Price list'!G:G,'Price list'!H:H),0)</f>
        <v>36500</v>
      </c>
      <c r="C20" s="186" t="s">
        <v>9</v>
      </c>
      <c r="E20" s="187"/>
      <c r="F20" s="187"/>
      <c r="G20" s="187" t="s">
        <v>989</v>
      </c>
      <c r="H20" s="187" t="str">
        <f>IF(G20=0,"",_xlfn.XLOOKUP(G20,List_item!A:A,List_item!B:B))</f>
        <v>Karkas Uk 1.1 Karkas Uk 1.1 Frozen Premium</v>
      </c>
      <c r="I20" s="187">
        <v>2934.76</v>
      </c>
      <c r="J20" s="189">
        <f t="shared" si="4"/>
        <v>0.13974714887740769</v>
      </c>
      <c r="K20" s="187">
        <f t="shared" si="0"/>
        <v>107118740.00000001</v>
      </c>
      <c r="L20" s="191">
        <f t="shared" si="1"/>
        <v>40261.798239978161</v>
      </c>
      <c r="M20" s="187">
        <f t="shared" si="2"/>
        <v>118158715.00275832</v>
      </c>
      <c r="N20" s="187">
        <f t="shared" si="3"/>
        <v>-3761.7982399781613</v>
      </c>
      <c r="O20" s="187">
        <f t="shared" si="5"/>
        <v>-11039975.002758309</v>
      </c>
      <c r="P20" s="187"/>
    </row>
    <row r="21" spans="1:16" s="186" customFormat="1" x14ac:dyDescent="0.35">
      <c r="A21" s="186" t="s">
        <v>3881</v>
      </c>
      <c r="B21" s="187">
        <f>_xlfn.IFNA(_xlfn.XLOOKUP(A21,'Price list'!G:G,'Price list'!H:H),0)</f>
        <v>36500</v>
      </c>
      <c r="C21" s="186" t="s">
        <v>9</v>
      </c>
      <c r="E21" s="187"/>
      <c r="F21" s="187"/>
      <c r="G21" s="187" t="s">
        <v>957</v>
      </c>
      <c r="H21" s="187" t="str">
        <f>IF(G21=0,"",_xlfn.XLOOKUP(G21,List_item!A:A,List_item!B:B))</f>
        <v>Karkas Uk 1.1 Karkas Uk 1.1 Fresh Premium</v>
      </c>
      <c r="I21" s="187">
        <v>78.2</v>
      </c>
      <c r="J21" s="189">
        <f t="shared" si="4"/>
        <v>3.7237208637889577E-3</v>
      </c>
      <c r="K21" s="187">
        <f t="shared" si="0"/>
        <v>2854300</v>
      </c>
      <c r="L21" s="191">
        <f t="shared" si="1"/>
        <v>40261.798239978161</v>
      </c>
      <c r="M21" s="187">
        <f t="shared" si="2"/>
        <v>3148472.6223662924</v>
      </c>
      <c r="N21" s="187">
        <f t="shared" si="3"/>
        <v>-3761.7982399781613</v>
      </c>
      <c r="O21" s="187">
        <f t="shared" si="5"/>
        <v>-294172.6223662924</v>
      </c>
      <c r="P21" s="187"/>
    </row>
    <row r="22" spans="1:16" s="186" customFormat="1" x14ac:dyDescent="0.35">
      <c r="A22" s="186" t="s">
        <v>3882</v>
      </c>
      <c r="B22" s="187">
        <f>_xlfn.IFNA(_xlfn.XLOOKUP(A22,'Price list'!G:G,'Price list'!H:H),0)</f>
        <v>36500</v>
      </c>
      <c r="C22" s="186" t="s">
        <v>9</v>
      </c>
      <c r="E22" s="187"/>
      <c r="F22" s="187"/>
      <c r="G22" s="187" t="s">
        <v>1055</v>
      </c>
      <c r="H22" s="187" t="str">
        <f>IF(G22=0,"",_xlfn.XLOOKUP(G22,List_item!A:A,List_item!B:B))</f>
        <v>Karkas Uk 1.2 Karkas Uk 1.2 Frozen Premium</v>
      </c>
      <c r="I22" s="187">
        <v>864.7</v>
      </c>
      <c r="J22" s="189">
        <f t="shared" si="4"/>
        <v>4.1175210114044909E-2</v>
      </c>
      <c r="K22" s="187">
        <f t="shared" si="0"/>
        <v>31561550</v>
      </c>
      <c r="L22" s="191">
        <f t="shared" si="1"/>
        <v>40261.798239978161</v>
      </c>
      <c r="M22" s="187">
        <f t="shared" si="2"/>
        <v>34814376.938109115</v>
      </c>
      <c r="N22" s="187">
        <f t="shared" si="3"/>
        <v>-3761.7982399781613</v>
      </c>
      <c r="O22" s="187">
        <f t="shared" si="5"/>
        <v>-3252826.9381091148</v>
      </c>
      <c r="P22" s="187"/>
    </row>
    <row r="23" spans="1:16" s="186" customFormat="1" x14ac:dyDescent="0.35">
      <c r="A23" s="186" t="s">
        <v>3883</v>
      </c>
      <c r="B23" s="187">
        <f>_xlfn.IFNA(_xlfn.XLOOKUP(A23,'Price list'!G:G,'Price list'!H:H),0)</f>
        <v>36500</v>
      </c>
      <c r="C23" s="186" t="s">
        <v>9</v>
      </c>
      <c r="E23" s="187"/>
      <c r="F23" s="187"/>
      <c r="G23" s="187" t="s">
        <v>1121</v>
      </c>
      <c r="H23" s="187" t="str">
        <f>IF(G23=0,"",_xlfn.XLOOKUP(G23,List_item!A:A,List_item!B:B))</f>
        <v>Karkas Uk 1.3 Karkas Uk 1.3 Frozen Premium</v>
      </c>
      <c r="I23" s="187">
        <v>226.9</v>
      </c>
      <c r="J23" s="189">
        <f t="shared" si="4"/>
        <v>1.0804504654651079E-2</v>
      </c>
      <c r="K23" s="187">
        <f t="shared" si="0"/>
        <v>8281850</v>
      </c>
      <c r="L23" s="191">
        <f t="shared" si="1"/>
        <v>40261.798239978161</v>
      </c>
      <c r="M23" s="187">
        <f t="shared" si="2"/>
        <v>9135402.0206510443</v>
      </c>
      <c r="N23" s="187">
        <f t="shared" si="3"/>
        <v>-3761.7982399781613</v>
      </c>
      <c r="O23" s="187">
        <f t="shared" si="5"/>
        <v>-853552.02065104432</v>
      </c>
      <c r="P23" s="187"/>
    </row>
    <row r="24" spans="1:16" s="186" customFormat="1" x14ac:dyDescent="0.35">
      <c r="A24" s="186" t="s">
        <v>3884</v>
      </c>
      <c r="B24" s="187">
        <f>_xlfn.IFNA(_xlfn.XLOOKUP(A24,'Price list'!G:G,'Price list'!H:H),0)</f>
        <v>36500</v>
      </c>
      <c r="C24" s="186" t="s">
        <v>9</v>
      </c>
      <c r="E24" s="187"/>
      <c r="F24" s="187"/>
      <c r="G24" s="187" t="s">
        <v>1187</v>
      </c>
      <c r="H24" s="187" t="str">
        <f>IF(G24=0,"",_xlfn.XLOOKUP(G24,List_item!A:A,List_item!B:B))</f>
        <v>Karkas Uk 1.4 Karkas Uk 1.4 Frozen Premium</v>
      </c>
      <c r="I24" s="187">
        <v>46</v>
      </c>
      <c r="J24" s="189">
        <f t="shared" si="4"/>
        <v>2.190424037522916E-3</v>
      </c>
      <c r="K24" s="187">
        <f t="shared" si="0"/>
        <v>1679000</v>
      </c>
      <c r="L24" s="191">
        <f t="shared" si="1"/>
        <v>40261.798239978161</v>
      </c>
      <c r="M24" s="187">
        <f t="shared" si="2"/>
        <v>1852042.7190389954</v>
      </c>
      <c r="N24" s="187">
        <f t="shared" si="3"/>
        <v>-3761.7982399781613</v>
      </c>
      <c r="O24" s="187">
        <f t="shared" si="5"/>
        <v>-173042.71903899545</v>
      </c>
      <c r="P24" s="187"/>
    </row>
    <row r="25" spans="1:16" x14ac:dyDescent="0.35">
      <c r="A25" t="s">
        <v>3849</v>
      </c>
      <c r="B25" s="3">
        <f>_xlfn.IFNA(_xlfn.XLOOKUP(A25,'Price list'!G:G,'Price list'!H:H),0)</f>
        <v>36500</v>
      </c>
      <c r="C25" t="s">
        <v>9</v>
      </c>
      <c r="E25" s="3"/>
      <c r="F25" s="3"/>
      <c r="G25" s="3"/>
      <c r="H25" s="3" t="str">
        <f>IF(G25=0,"",_xlfn.XLOOKUP(G25,List_item!A:A,List_item!B:B))</f>
        <v/>
      </c>
      <c r="I25" s="3">
        <v>0</v>
      </c>
      <c r="J25" s="26">
        <f t="shared" si="4"/>
        <v>0</v>
      </c>
      <c r="K25" s="3">
        <f t="shared" si="0"/>
        <v>0</v>
      </c>
      <c r="L25" s="27">
        <f t="shared" si="1"/>
        <v>0</v>
      </c>
      <c r="M25" s="3">
        <f t="shared" si="2"/>
        <v>0</v>
      </c>
      <c r="N25" s="3">
        <f t="shared" si="3"/>
        <v>0</v>
      </c>
      <c r="O25" s="3">
        <f t="shared" si="5"/>
        <v>0</v>
      </c>
      <c r="P25" s="3"/>
    </row>
    <row r="26" spans="1:16" x14ac:dyDescent="0.35">
      <c r="A26" t="s">
        <v>3885</v>
      </c>
      <c r="B26" s="3">
        <f>_xlfn.IFNA(_xlfn.XLOOKUP(A26,'Price list'!G:G,'Price list'!H:H),0)</f>
        <v>36500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3">
        <v>0</v>
      </c>
      <c r="J26" s="26">
        <f t="shared" si="4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6" x14ac:dyDescent="0.35">
      <c r="A27" t="s">
        <v>3886</v>
      </c>
      <c r="B27" s="3">
        <f>_xlfn.IFNA(_xlfn.XLOOKUP(A27,'Price list'!G:G,'Price list'!H:H),0)</f>
        <v>36500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6" x14ac:dyDescent="0.35">
      <c r="A28" t="s">
        <v>3887</v>
      </c>
      <c r="B28" s="3">
        <f>_xlfn.IFNA(_xlfn.XLOOKUP(A28,'Price list'!G:G,'Price list'!H:H),0)</f>
        <v>36500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6" x14ac:dyDescent="0.35">
      <c r="A29" t="s">
        <v>3888</v>
      </c>
      <c r="B29" s="3">
        <f>_xlfn.IFNA(_xlfn.XLOOKUP(A29,'Price list'!G:G,'Price list'!H:H),0)</f>
        <v>36500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3889</v>
      </c>
      <c r="B30" s="3">
        <f>_xlfn.IFNA(_xlfn.XLOOKUP(A30,'Price list'!G:G,'Price list'!H:H),0)</f>
        <v>36500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3890</v>
      </c>
      <c r="B31" s="3">
        <f>_xlfn.IFNA(_xlfn.XLOOKUP(A31,'Price list'!G:G,'Price list'!H:H),0)</f>
        <v>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8</v>
      </c>
      <c r="B32" s="3">
        <f>_xlfn.IFNA(_xlfn.XLOOKUP(A32,'Price list'!G:G,'Price list'!H:H),0)</f>
        <v>50000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10</v>
      </c>
      <c r="B33" s="3">
        <f>_xlfn.IFNA(_xlfn.XLOOKUP(A33,'Price list'!G:G,'Price list'!H:H),0)</f>
        <v>48000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12</v>
      </c>
      <c r="B34" s="3">
        <f>_xlfn.IFNA(_xlfn.XLOOKUP(A34,'Price list'!G:G,'Price list'!H:H),0)</f>
        <v>49000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2159</v>
      </c>
      <c r="B35" s="3">
        <f>_xlfn.IFNA(_xlfn.XLOOKUP(A35,'Price list'!G:G,'Price list'!H:H),0)</f>
        <v>5500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3891</v>
      </c>
      <c r="B36" s="3">
        <f>_xlfn.IFNA(_xlfn.XLOOKUP(A36,'Price list'!G:G,'Price list'!H:H),0)</f>
        <v>20000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3892</v>
      </c>
      <c r="B37" s="3">
        <f>_xlfn.IFNA(_xlfn.XLOOKUP(A37,'Price list'!G:G,'Price list'!H:H),0)</f>
        <v>22000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3852</v>
      </c>
      <c r="B38" s="3">
        <f>_xlfn.IFNA(_xlfn.XLOOKUP(A38,'Price list'!G:G,'Price list'!H:H),0)</f>
        <v>18000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x14ac:dyDescent="0.35">
      <c r="A39" t="s">
        <v>17</v>
      </c>
      <c r="B39" s="3">
        <f>_xlfn.IFNA(_xlfn.XLOOKUP(A39,'Price list'!G:G,'Price list'!H:H),0)</f>
        <v>3500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si="1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6" x14ac:dyDescent="0.35">
      <c r="A40" t="s">
        <v>2199</v>
      </c>
      <c r="B40" s="3">
        <f>_xlfn.IFNA(_xlfn.XLOOKUP(A40,'Price list'!G:G,'Price list'!H:H),0)</f>
        <v>38000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1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6" s="186" customFormat="1" x14ac:dyDescent="0.35">
      <c r="A41" s="186" t="s">
        <v>2161</v>
      </c>
      <c r="B41" s="187">
        <f>_xlfn.IFNA(_xlfn.XLOOKUP(A41,'Price list'!G:G,'Price list'!H:H),0)</f>
        <v>18000</v>
      </c>
      <c r="C41" s="186" t="s">
        <v>9</v>
      </c>
      <c r="E41" s="187"/>
      <c r="F41" s="187"/>
      <c r="G41" s="187" t="s">
        <v>19</v>
      </c>
      <c r="H41" s="187" t="str">
        <f>IF(G41=0,"",_xlfn.XLOOKUP(G41,List_item!A:A,List_item!B:B))</f>
        <v>Boneless BL Frozen Lemak</v>
      </c>
      <c r="I41" s="187">
        <v>56.9</v>
      </c>
      <c r="J41" s="189">
        <f t="shared" si="4"/>
        <v>2.7094592985881286E-3</v>
      </c>
      <c r="K41" s="187">
        <f t="shared" si="0"/>
        <v>1024200</v>
      </c>
      <c r="L41" s="191">
        <f t="shared" si="1"/>
        <v>19855.133378619368</v>
      </c>
      <c r="M41" s="187">
        <f t="shared" si="2"/>
        <v>1129757.0892434421</v>
      </c>
      <c r="N41" s="187">
        <f t="shared" si="3"/>
        <v>-1855.1333786193682</v>
      </c>
      <c r="O41" s="187">
        <f t="shared" si="5"/>
        <v>-105557.08924344205</v>
      </c>
      <c r="P41" s="187"/>
    </row>
    <row r="42" spans="1:16" s="186" customFormat="1" x14ac:dyDescent="0.35">
      <c r="A42" s="186" t="s">
        <v>2162</v>
      </c>
      <c r="B42" s="187">
        <f>_xlfn.IFNA(_xlfn.XLOOKUP(A42,'Price list'!G:G,'Price list'!H:H),0)</f>
        <v>8000</v>
      </c>
      <c r="C42" s="186" t="s">
        <v>9</v>
      </c>
      <c r="E42" s="187"/>
      <c r="F42" s="187"/>
      <c r="G42" s="187" t="s">
        <v>310</v>
      </c>
      <c r="H42" s="187" t="str">
        <f>IF(G42=0,"",_xlfn.XLOOKUP(G42,List_item!A:A,List_item!B:B))</f>
        <v>Boneless BL Frozen Kepala</v>
      </c>
      <c r="I42" s="187">
        <v>965.5</v>
      </c>
      <c r="J42" s="189">
        <f t="shared" si="4"/>
        <v>4.5975095831051645E-2</v>
      </c>
      <c r="K42" s="187">
        <f t="shared" si="0"/>
        <v>7724000</v>
      </c>
      <c r="L42" s="191">
        <f t="shared" si="1"/>
        <v>8824.5037238308305</v>
      </c>
      <c r="M42" s="187">
        <f t="shared" si="2"/>
        <v>8520058.345358666</v>
      </c>
      <c r="N42" s="187">
        <f t="shared" si="3"/>
        <v>-824.50372383083049</v>
      </c>
      <c r="O42" s="187">
        <f t="shared" si="5"/>
        <v>-796058.34535866603</v>
      </c>
      <c r="P42" s="187"/>
    </row>
    <row r="43" spans="1:16" s="186" customFormat="1" x14ac:dyDescent="0.35">
      <c r="A43" s="186" t="s">
        <v>0</v>
      </c>
      <c r="B43" s="187">
        <f>_xlfn.IFNA(_xlfn.XLOOKUP(A43,'Price list'!G:G,'Price list'!H:H),0)</f>
        <v>10000</v>
      </c>
      <c r="C43" s="186" t="s">
        <v>9</v>
      </c>
      <c r="E43" s="187"/>
      <c r="F43" s="187"/>
      <c r="G43" s="187" t="s">
        <v>22</v>
      </c>
      <c r="H43" s="187" t="str">
        <f>IF(G43=0,"",_xlfn.XLOOKUP(G43,List_item!A:A,List_item!B:B))</f>
        <v>Boneless BL Frozen Ceker</v>
      </c>
      <c r="I43" s="187">
        <v>654.20000000000005</v>
      </c>
      <c r="J43" s="189">
        <f t="shared" si="4"/>
        <v>3.1151639246684605E-2</v>
      </c>
      <c r="K43" s="187">
        <f t="shared" si="0"/>
        <v>6542000</v>
      </c>
      <c r="L43" s="191">
        <f t="shared" ref="L43:L74" si="6">IFERROR(((K43/SUM($K$11:$K$82))*$F$10)/(F43+I43),0)</f>
        <v>11030.629654788536</v>
      </c>
      <c r="M43" s="187">
        <f t="shared" si="2"/>
        <v>7216237.920162661</v>
      </c>
      <c r="N43" s="187">
        <f t="shared" si="3"/>
        <v>-1030.6296547885358</v>
      </c>
      <c r="O43" s="187">
        <f t="shared" si="5"/>
        <v>-674237.920162661</v>
      </c>
      <c r="P43" s="187"/>
    </row>
    <row r="44" spans="1:16" x14ac:dyDescent="0.35">
      <c r="A44" t="s">
        <v>24</v>
      </c>
      <c r="B44" s="3">
        <f>_xlfn.IFNA(_xlfn.XLOOKUP(A44,'Price list'!G:G,'Price list'!H:H),0)</f>
        <v>4000</v>
      </c>
      <c r="C44" t="s">
        <v>9</v>
      </c>
      <c r="E44" s="3"/>
      <c r="F44" s="3"/>
      <c r="G44" s="3"/>
      <c r="H44" s="3" t="str">
        <f>IF(G44=0,"",_xlfn.XLOOKUP(G44,List_item!A:A,List_item!B:B))</f>
        <v/>
      </c>
      <c r="I44" s="3">
        <v>0</v>
      </c>
      <c r="J44" s="26">
        <f t="shared" si="4"/>
        <v>0</v>
      </c>
      <c r="K44" s="3">
        <f t="shared" si="0"/>
        <v>0</v>
      </c>
      <c r="L44" s="27">
        <f t="shared" si="6"/>
        <v>0</v>
      </c>
      <c r="M44" s="3">
        <f t="shared" si="2"/>
        <v>0</v>
      </c>
      <c r="N44" s="3">
        <f t="shared" si="3"/>
        <v>0</v>
      </c>
      <c r="O44" s="3">
        <f t="shared" si="5"/>
        <v>0</v>
      </c>
      <c r="P44" s="3"/>
    </row>
    <row r="45" spans="1:16" s="186" customFormat="1" x14ac:dyDescent="0.35">
      <c r="A45" s="186" t="s">
        <v>3893</v>
      </c>
      <c r="B45" s="187">
        <f>_xlfn.IFNA(_xlfn.XLOOKUP(A45,'Price list'!G:G,'Price list'!H:H),0)</f>
        <v>5000</v>
      </c>
      <c r="C45" s="186" t="s">
        <v>9</v>
      </c>
      <c r="E45" s="187"/>
      <c r="F45" s="187"/>
      <c r="G45" s="187" t="s">
        <v>387</v>
      </c>
      <c r="H45" s="187" t="str">
        <f>IF(G45=0,"",_xlfn.XLOOKUP(G45,List_item!A:A,List_item!B:B))</f>
        <v>Boneless BL Frozen Usus Kotor</v>
      </c>
      <c r="I45" s="187">
        <v>948.5</v>
      </c>
      <c r="J45" s="189">
        <f t="shared" si="4"/>
        <v>4.5165591295445347E-2</v>
      </c>
      <c r="K45" s="187">
        <f t="shared" si="0"/>
        <v>4742500</v>
      </c>
      <c r="L45" s="191">
        <f t="shared" si="6"/>
        <v>5515.3148273942688</v>
      </c>
      <c r="M45" s="187">
        <f t="shared" si="2"/>
        <v>5231276.1137834638</v>
      </c>
      <c r="N45" s="187">
        <f t="shared" si="3"/>
        <v>-515.31482739426883</v>
      </c>
      <c r="O45" s="187">
        <f t="shared" si="5"/>
        <v>-488776.11378346384</v>
      </c>
      <c r="P45" s="187" t="s">
        <v>3947</v>
      </c>
    </row>
    <row r="46" spans="1:16" x14ac:dyDescent="0.35">
      <c r="A46" t="s">
        <v>2167</v>
      </c>
      <c r="B46" s="3">
        <f>_xlfn.IFNA(_xlfn.XLOOKUP(A46,'Price list'!G:G,'Price list'!H:H),0)</f>
        <v>16000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6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6" x14ac:dyDescent="0.35">
      <c r="A47" t="s">
        <v>2168</v>
      </c>
      <c r="B47" s="3">
        <f>_xlfn.IFNA(_xlfn.XLOOKUP(A47,'Price list'!G:G,'Price list'!H:H),0)</f>
        <v>10000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6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6" s="186" customFormat="1" x14ac:dyDescent="0.35">
      <c r="A48" s="186" t="s">
        <v>2169</v>
      </c>
      <c r="B48" s="187">
        <f>_xlfn.IFNA(_xlfn.XLOOKUP(A48,'Price list'!G:G,'Price list'!H:H),0)</f>
        <v>5000</v>
      </c>
      <c r="C48" s="186" t="s">
        <v>9</v>
      </c>
      <c r="E48" s="187"/>
      <c r="F48" s="187"/>
      <c r="G48" s="187" t="s">
        <v>286</v>
      </c>
      <c r="H48" s="187" t="str">
        <f>IF(G48=0,"",_xlfn.XLOOKUP(G48,List_item!A:A,List_item!B:B))</f>
        <v>Boneless BL Frozen HJA</v>
      </c>
      <c r="I48" s="187">
        <v>1293.8</v>
      </c>
      <c r="J48" s="189">
        <f t="shared" si="4"/>
        <v>6.1608056951024975E-2</v>
      </c>
      <c r="K48" s="187">
        <f t="shared" si="0"/>
        <v>6469000</v>
      </c>
      <c r="L48" s="191">
        <f t="shared" si="6"/>
        <v>5515.3148273942679</v>
      </c>
      <c r="M48" s="187">
        <f t="shared" si="2"/>
        <v>7135714.323682704</v>
      </c>
      <c r="N48" s="187">
        <f t="shared" si="3"/>
        <v>-515.31482739426792</v>
      </c>
      <c r="O48" s="187">
        <f t="shared" si="5"/>
        <v>-666714.32368270401</v>
      </c>
      <c r="P48" s="187"/>
    </row>
    <row r="49" spans="1:16" x14ac:dyDescent="0.35">
      <c r="A49" t="s">
        <v>3894</v>
      </c>
      <c r="B49" s="3">
        <f>_xlfn.IFNA(_xlfn.XLOOKUP(A49,'Price list'!G:G,'Price list'!H:H),0)</f>
        <v>5000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6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2170</v>
      </c>
      <c r="B50" s="3">
        <f>_xlfn.IFNA(_xlfn.XLOOKUP(A50,'Price list'!G:G,'Price list'!H:H),0)</f>
        <v>45000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6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2171</v>
      </c>
      <c r="B51" s="3">
        <f>_xlfn.IFNA(_xlfn.XLOOKUP(A51,'Price list'!G:G,'Price list'!H:H),0)</f>
        <v>44000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6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3895</v>
      </c>
      <c r="B52" s="3">
        <f>_xlfn.IFNA(_xlfn.XLOOKUP(A52,'Price list'!G:G,'Price list'!H:H),0)</f>
        <v>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6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3896</v>
      </c>
      <c r="B53" s="3">
        <f>_xlfn.IFNA(_xlfn.XLOOKUP(A53,'Price list'!G:G,'Price list'!H:H),0)</f>
        <v>35000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6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s="186" customFormat="1" x14ac:dyDescent="0.35">
      <c r="A54" s="186" t="s">
        <v>3897</v>
      </c>
      <c r="B54" s="187">
        <f>_xlfn.IFNA(_xlfn.XLOOKUP(A54,'Price list'!G:G,'Price list'!H:H),0)</f>
        <v>35000</v>
      </c>
      <c r="C54" s="186" t="s">
        <v>9</v>
      </c>
      <c r="E54" s="187"/>
      <c r="F54" s="187"/>
      <c r="G54" s="187" t="s">
        <v>571</v>
      </c>
      <c r="H54" s="187" t="str">
        <f>IF(G54=0,"",_xlfn.XLOOKUP(G54,List_item!A:A,List_item!B:B))</f>
        <v>Karkas Uk 0.5 Karkas Uk 0.5 Frozen Grade A</v>
      </c>
      <c r="I54" s="187">
        <v>12.8</v>
      </c>
      <c r="J54" s="189">
        <f t="shared" si="4"/>
        <v>6.0950929739768107E-4</v>
      </c>
      <c r="K54" s="187">
        <f t="shared" si="0"/>
        <v>448000</v>
      </c>
      <c r="L54" s="191">
        <f t="shared" si="6"/>
        <v>38607.203791759879</v>
      </c>
      <c r="M54" s="187">
        <f t="shared" si="2"/>
        <v>494172.20853452646</v>
      </c>
      <c r="N54" s="187">
        <f t="shared" si="3"/>
        <v>-3607.2037917598791</v>
      </c>
      <c r="O54" s="187">
        <f t="shared" si="5"/>
        <v>-46172.208534526464</v>
      </c>
      <c r="P54" s="187"/>
    </row>
    <row r="55" spans="1:16" s="186" customFormat="1" x14ac:dyDescent="0.35">
      <c r="A55" s="186" t="s">
        <v>3898</v>
      </c>
      <c r="B55" s="187">
        <f>_xlfn.IFNA(_xlfn.XLOOKUP(A55,'Price list'!G:G,'Price list'!H:H),0)</f>
        <v>35000</v>
      </c>
      <c r="C55" s="186" t="s">
        <v>9</v>
      </c>
      <c r="E55" s="187"/>
      <c r="F55" s="187"/>
      <c r="G55" s="187" t="s">
        <v>636</v>
      </c>
      <c r="H55" s="187" t="str">
        <f>IF(G55=0,"",_xlfn.XLOOKUP(G55,List_item!A:A,List_item!B:B))</f>
        <v>Karkas Uk 0.6 Karkas Uk 0.6 Frozen Grade A</v>
      </c>
      <c r="I55" s="187">
        <v>36.5</v>
      </c>
      <c r="J55" s="189">
        <f t="shared" si="4"/>
        <v>1.7380538558605747E-3</v>
      </c>
      <c r="K55" s="187">
        <f t="shared" si="0"/>
        <v>1277500</v>
      </c>
      <c r="L55" s="191">
        <f t="shared" si="6"/>
        <v>38607.203791759879</v>
      </c>
      <c r="M55" s="187">
        <f t="shared" si="2"/>
        <v>1409162.9383992355</v>
      </c>
      <c r="N55" s="187">
        <f t="shared" si="3"/>
        <v>-3607.2037917598791</v>
      </c>
      <c r="O55" s="187">
        <f t="shared" si="5"/>
        <v>-131662.93839923549</v>
      </c>
      <c r="P55" s="187"/>
    </row>
    <row r="56" spans="1:16" s="186" customFormat="1" x14ac:dyDescent="0.35">
      <c r="A56" s="186" t="s">
        <v>3899</v>
      </c>
      <c r="B56" s="187">
        <f>_xlfn.IFNA(_xlfn.XLOOKUP(A56,'Price list'!G:G,'Price list'!H:H),0)</f>
        <v>35000</v>
      </c>
      <c r="C56" s="186" t="s">
        <v>9</v>
      </c>
      <c r="E56" s="187"/>
      <c r="F56" s="187"/>
      <c r="G56" s="187" t="s">
        <v>701</v>
      </c>
      <c r="H56" s="187" t="str">
        <f>IF(G56=0,"",_xlfn.XLOOKUP(G56,List_item!A:A,List_item!B:B))</f>
        <v>Karkas Uk 0.7 Karkas Uk 0.7 Frozen Grade A</v>
      </c>
      <c r="I56" s="187">
        <v>106.2</v>
      </c>
      <c r="J56" s="189">
        <f t="shared" si="4"/>
        <v>5.0570224518463845E-3</v>
      </c>
      <c r="K56" s="187">
        <f t="shared" si="0"/>
        <v>3717000</v>
      </c>
      <c r="L56" s="191">
        <f t="shared" si="6"/>
        <v>38607.203791759879</v>
      </c>
      <c r="M56" s="187">
        <f t="shared" si="2"/>
        <v>4100085.0426848992</v>
      </c>
      <c r="N56" s="187">
        <f t="shared" si="3"/>
        <v>-3607.2037917598791</v>
      </c>
      <c r="O56" s="187">
        <f t="shared" si="5"/>
        <v>-383085.04268489918</v>
      </c>
      <c r="P56" s="187"/>
    </row>
    <row r="57" spans="1:16" s="186" customFormat="1" x14ac:dyDescent="0.35">
      <c r="A57" s="186" t="s">
        <v>3900</v>
      </c>
      <c r="B57" s="187">
        <f>_xlfn.IFNA(_xlfn.XLOOKUP(A57,'Price list'!G:G,'Price list'!H:H),0)</f>
        <v>35000</v>
      </c>
      <c r="C57" s="186" t="s">
        <v>9</v>
      </c>
      <c r="E57" s="187"/>
      <c r="F57" s="187"/>
      <c r="G57" s="187" t="s">
        <v>766</v>
      </c>
      <c r="H57" s="187" t="str">
        <f>IF(G57=0,"",_xlfn.XLOOKUP(G57,List_item!A:A,List_item!B:B))</f>
        <v>Karkas Uk 0.8 Karkas Uk 0.8 Frozen Grade A</v>
      </c>
      <c r="I57" s="187">
        <v>210.4</v>
      </c>
      <c r="J57" s="189">
        <f t="shared" si="4"/>
        <v>1.0018809075974381E-2</v>
      </c>
      <c r="K57" s="187">
        <f t="shared" si="0"/>
        <v>7364000</v>
      </c>
      <c r="L57" s="191">
        <f t="shared" si="6"/>
        <v>38607.203791759879</v>
      </c>
      <c r="M57" s="187">
        <f t="shared" si="2"/>
        <v>8122955.6777862785</v>
      </c>
      <c r="N57" s="187">
        <f t="shared" si="3"/>
        <v>-3607.2037917598791</v>
      </c>
      <c r="O57" s="187">
        <f t="shared" si="5"/>
        <v>-758955.67778627854</v>
      </c>
      <c r="P57" s="187"/>
    </row>
    <row r="58" spans="1:16" s="186" customFormat="1" x14ac:dyDescent="0.35">
      <c r="A58" s="186" t="s">
        <v>3901</v>
      </c>
      <c r="B58" s="187">
        <f>_xlfn.IFNA(_xlfn.XLOOKUP(A58,'Price list'!G:G,'Price list'!H:H),0)</f>
        <v>35000</v>
      </c>
      <c r="C58" s="186" t="s">
        <v>9</v>
      </c>
      <c r="E58" s="187"/>
      <c r="F58" s="187"/>
      <c r="G58" s="187" t="s">
        <v>831</v>
      </c>
      <c r="H58" s="187" t="str">
        <f>IF(G58=0,"",_xlfn.XLOOKUP(G58,List_item!A:A,List_item!B:B))</f>
        <v>Karkas Uk 0.9 Karkas Uk 0.9 Frozen Grade A</v>
      </c>
      <c r="I58" s="187">
        <v>339.3</v>
      </c>
      <c r="J58" s="189">
        <f t="shared" si="4"/>
        <v>1.6156758172424467E-2</v>
      </c>
      <c r="K58" s="187">
        <f t="shared" si="0"/>
        <v>11875500</v>
      </c>
      <c r="L58" s="191">
        <f t="shared" si="6"/>
        <v>38607.203791759879</v>
      </c>
      <c r="M58" s="187">
        <f t="shared" si="2"/>
        <v>13099424.246544128</v>
      </c>
      <c r="N58" s="187">
        <f t="shared" si="3"/>
        <v>-3607.2037917598791</v>
      </c>
      <c r="O58" s="187">
        <f t="shared" si="5"/>
        <v>-1223924.2465441283</v>
      </c>
      <c r="P58" s="187"/>
    </row>
    <row r="59" spans="1:16" s="186" customFormat="1" x14ac:dyDescent="0.35">
      <c r="A59" s="186" t="s">
        <v>3902</v>
      </c>
      <c r="B59" s="187">
        <f>_xlfn.IFNA(_xlfn.XLOOKUP(A59,'Price list'!G:G,'Price list'!H:H),0)</f>
        <v>35000</v>
      </c>
      <c r="C59" s="186" t="s">
        <v>9</v>
      </c>
      <c r="E59" s="187"/>
      <c r="F59" s="187"/>
      <c r="G59" s="187" t="s">
        <v>896</v>
      </c>
      <c r="H59" s="187" t="str">
        <f>IF(G59=0,"",_xlfn.XLOOKUP(G59,List_item!A:A,List_item!B:B))</f>
        <v>Karkas Uk 1.0 Karkas Uk 1.0 Frozen Grade A</v>
      </c>
      <c r="I59" s="187">
        <v>333.3</v>
      </c>
      <c r="J59" s="189">
        <f t="shared" si="4"/>
        <v>1.5871050689269302E-2</v>
      </c>
      <c r="K59" s="187">
        <f t="shared" si="0"/>
        <v>11665500</v>
      </c>
      <c r="L59" s="191">
        <f t="shared" si="6"/>
        <v>38607.203791759879</v>
      </c>
      <c r="M59" s="187">
        <f t="shared" si="2"/>
        <v>12867781.023793569</v>
      </c>
      <c r="N59" s="187">
        <f t="shared" si="3"/>
        <v>-3607.2037917598791</v>
      </c>
      <c r="O59" s="187">
        <f t="shared" si="5"/>
        <v>-1202281.0237935688</v>
      </c>
      <c r="P59" s="187"/>
    </row>
    <row r="60" spans="1:16" s="186" customFormat="1" x14ac:dyDescent="0.35">
      <c r="A60" s="186" t="s">
        <v>3902</v>
      </c>
      <c r="B60" s="187">
        <f>_xlfn.IFNA(_xlfn.XLOOKUP(A60,'Price list'!G:G,'Price list'!H:H),0)</f>
        <v>35000</v>
      </c>
      <c r="C60" s="186" t="s">
        <v>9</v>
      </c>
      <c r="E60" s="187"/>
      <c r="F60" s="187"/>
      <c r="G60" s="187" t="s">
        <v>863</v>
      </c>
      <c r="H60" s="187" t="str">
        <f>IF(G60=0,"",_xlfn.XLOOKUP(G60,List_item!A:A,List_item!B:B))</f>
        <v>Karkas Uk 1.0 Karkas Uk 1.0 Fresh Grade A</v>
      </c>
      <c r="I60" s="187">
        <v>10</v>
      </c>
      <c r="J60" s="189">
        <f t="shared" si="4"/>
        <v>4.761791385919383E-4</v>
      </c>
      <c r="K60" s="187">
        <f t="shared" si="0"/>
        <v>350000</v>
      </c>
      <c r="L60" s="191">
        <f t="shared" si="6"/>
        <v>38607.203791759879</v>
      </c>
      <c r="M60" s="187">
        <f t="shared" si="2"/>
        <v>386072.03791759879</v>
      </c>
      <c r="N60" s="187">
        <f t="shared" si="3"/>
        <v>-3607.2037917598791</v>
      </c>
      <c r="O60" s="187">
        <f t="shared" si="5"/>
        <v>-36072.037917598791</v>
      </c>
      <c r="P60" s="187"/>
    </row>
    <row r="61" spans="1:16" s="186" customFormat="1" x14ac:dyDescent="0.35">
      <c r="A61" s="186" t="s">
        <v>3903</v>
      </c>
      <c r="B61" s="187">
        <f>_xlfn.IFNA(_xlfn.XLOOKUP(A61,'Price list'!G:G,'Price list'!H:H),0)</f>
        <v>35000</v>
      </c>
      <c r="C61" s="186" t="s">
        <v>9</v>
      </c>
      <c r="E61" s="187"/>
      <c r="F61" s="187"/>
      <c r="G61" s="187" t="s">
        <v>962</v>
      </c>
      <c r="H61" s="187" t="str">
        <f>IF(G61=0,"",_xlfn.XLOOKUP(G61,List_item!A:A,List_item!B:B))</f>
        <v>Karkas Uk 1.1 Karkas Uk 1.1 Frozen Grade A</v>
      </c>
      <c r="I61" s="187">
        <v>242.7</v>
      </c>
      <c r="J61" s="189">
        <f t="shared" si="4"/>
        <v>1.1556867693626342E-2</v>
      </c>
      <c r="K61" s="187">
        <f t="shared" si="0"/>
        <v>8494500</v>
      </c>
      <c r="L61" s="191">
        <f t="shared" si="6"/>
        <v>38607.203791759886</v>
      </c>
      <c r="M61" s="187">
        <f t="shared" si="2"/>
        <v>9369968.3602601234</v>
      </c>
      <c r="N61" s="187">
        <f t="shared" si="3"/>
        <v>-3607.2037917598864</v>
      </c>
      <c r="O61" s="187">
        <f t="shared" si="5"/>
        <v>-875468.36026012339</v>
      </c>
      <c r="P61" s="187"/>
    </row>
    <row r="62" spans="1:16" s="186" customFormat="1" x14ac:dyDescent="0.35">
      <c r="A62" s="186" t="s">
        <v>3904</v>
      </c>
      <c r="B62" s="187">
        <f>_xlfn.IFNA(_xlfn.XLOOKUP(A62,'Price list'!G:G,'Price list'!H:H),0)</f>
        <v>35000</v>
      </c>
      <c r="C62" s="186" t="s">
        <v>9</v>
      </c>
      <c r="E62" s="187"/>
      <c r="F62" s="187"/>
      <c r="G62" s="187" t="s">
        <v>1028</v>
      </c>
      <c r="H62" s="187" t="str">
        <f>IF(G62=0,"",_xlfn.XLOOKUP(G62,List_item!A:A,List_item!B:B))</f>
        <v>Karkas Uk 1.2 Karkas Uk 1.2 Frozen Grade A</v>
      </c>
      <c r="I62" s="187">
        <v>75.3</v>
      </c>
      <c r="J62" s="189">
        <f t="shared" si="4"/>
        <v>3.585628913597295E-3</v>
      </c>
      <c r="K62" s="187">
        <f t="shared" si="0"/>
        <v>2635500</v>
      </c>
      <c r="L62" s="191">
        <f t="shared" si="6"/>
        <v>38607.203791759879</v>
      </c>
      <c r="M62" s="187">
        <f t="shared" si="2"/>
        <v>2907122.4455195186</v>
      </c>
      <c r="N62" s="187">
        <f t="shared" si="3"/>
        <v>-3607.2037917598791</v>
      </c>
      <c r="O62" s="187">
        <f t="shared" si="5"/>
        <v>-271622.44551951857</v>
      </c>
      <c r="P62" s="187"/>
    </row>
    <row r="63" spans="1:16" s="186" customFormat="1" x14ac:dyDescent="0.35">
      <c r="A63" s="186" t="s">
        <v>3905</v>
      </c>
      <c r="B63" s="187">
        <f>_xlfn.IFNA(_xlfn.XLOOKUP(A63,'Price list'!G:G,'Price list'!H:H),0)</f>
        <v>35000</v>
      </c>
      <c r="C63" s="186" t="s">
        <v>9</v>
      </c>
      <c r="E63" s="187"/>
      <c r="F63" s="187"/>
      <c r="G63" s="187" t="s">
        <v>1094</v>
      </c>
      <c r="H63" s="187" t="str">
        <f>IF(G63=0,"",_xlfn.XLOOKUP(G63,List_item!A:A,List_item!B:B))</f>
        <v>Karkas Uk 1.3 Karkas Uk 1.3 Frozen Grade A</v>
      </c>
      <c r="I63" s="187">
        <v>21.7</v>
      </c>
      <c r="J63" s="189">
        <f t="shared" si="4"/>
        <v>1.0333087307445061E-3</v>
      </c>
      <c r="K63" s="187">
        <f t="shared" si="0"/>
        <v>759500</v>
      </c>
      <c r="L63" s="191">
        <f t="shared" si="6"/>
        <v>38607.203791759879</v>
      </c>
      <c r="M63" s="187">
        <f t="shared" si="2"/>
        <v>837776.32228118938</v>
      </c>
      <c r="N63" s="187">
        <f t="shared" si="3"/>
        <v>-3607.2037917598791</v>
      </c>
      <c r="O63" s="187">
        <f t="shared" si="5"/>
        <v>-78276.322281189379</v>
      </c>
      <c r="P63" s="187"/>
    </row>
    <row r="64" spans="1:16" s="186" customFormat="1" x14ac:dyDescent="0.35">
      <c r="A64" s="186" t="s">
        <v>3906</v>
      </c>
      <c r="B64" s="187">
        <f>_xlfn.IFNA(_xlfn.XLOOKUP(A64,'Price list'!G:G,'Price list'!H:H),0)</f>
        <v>35000</v>
      </c>
      <c r="C64" s="186" t="s">
        <v>9</v>
      </c>
      <c r="E64" s="187"/>
      <c r="F64" s="187"/>
      <c r="G64" s="187" t="s">
        <v>1160</v>
      </c>
      <c r="H64" s="187" t="str">
        <f>IF(G64=0,"",_xlfn.XLOOKUP(G64,List_item!A:A,List_item!B:B))</f>
        <v>Karkas Uk 1.4 Karkas Uk 1.4 Frozen Grade A</v>
      </c>
      <c r="I64" s="187">
        <v>20.100000000000001</v>
      </c>
      <c r="J64" s="189">
        <f t="shared" si="4"/>
        <v>9.57120068569796E-4</v>
      </c>
      <c r="K64" s="187">
        <f t="shared" si="0"/>
        <v>703500</v>
      </c>
      <c r="L64" s="191">
        <f t="shared" si="6"/>
        <v>38607.203791759879</v>
      </c>
      <c r="M64" s="187">
        <f t="shared" si="2"/>
        <v>776004.79621437367</v>
      </c>
      <c r="N64" s="187">
        <f t="shared" si="3"/>
        <v>-3607.2037917598791</v>
      </c>
      <c r="O64" s="187">
        <f t="shared" si="5"/>
        <v>-72504.796214373666</v>
      </c>
      <c r="P64" s="187"/>
    </row>
    <row r="65" spans="1:16" x14ac:dyDescent="0.35">
      <c r="A65" t="s">
        <v>3907</v>
      </c>
      <c r="B65" s="3">
        <f>_xlfn.IFNA(_xlfn.XLOOKUP(A65,'Price list'!G:G,'Price list'!H:H),0)</f>
        <v>35000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6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6" x14ac:dyDescent="0.35">
      <c r="A66" t="s">
        <v>3908</v>
      </c>
      <c r="B66" s="3">
        <f>_xlfn.IFNA(_xlfn.XLOOKUP(A66,'Price list'!G:G,'Price list'!H:H),0)</f>
        <v>35000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6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6" x14ac:dyDescent="0.35">
      <c r="A67" t="s">
        <v>3909</v>
      </c>
      <c r="B67" s="3">
        <f>_xlfn.IFNA(_xlfn.XLOOKUP(A67,'Price list'!G:G,'Price list'!H:H),0)</f>
        <v>35000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6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6" x14ac:dyDescent="0.35">
      <c r="A68" t="s">
        <v>3945</v>
      </c>
      <c r="B68" s="3">
        <f>_xlfn.IFNA(_xlfn.XLOOKUP(A68,'Price list'!G:G,'Price list'!H:H),0)</f>
        <v>35000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6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6" x14ac:dyDescent="0.35">
      <c r="A69" t="s">
        <v>3911</v>
      </c>
      <c r="B69" s="3">
        <f>_xlfn.IFNA(_xlfn.XLOOKUP(A69,'Price list'!G:G,'Price list'!H:H),0)</f>
        <v>35000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6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6" x14ac:dyDescent="0.35">
      <c r="A70" t="s">
        <v>3912</v>
      </c>
      <c r="B70" s="3">
        <f>_xlfn.IFNA(_xlfn.XLOOKUP(A70,'Price list'!G:G,'Price list'!H:H),0)</f>
        <v>35000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6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6" x14ac:dyDescent="0.35">
      <c r="A71" t="s">
        <v>3913</v>
      </c>
      <c r="B71" s="3">
        <f>_xlfn.IFNA(_xlfn.XLOOKUP(A71,'Price list'!G:G,'Price list'!H:H),0)</f>
        <v>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6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6" x14ac:dyDescent="0.35">
      <c r="A72" t="s">
        <v>3914</v>
      </c>
      <c r="B72" s="3">
        <f>_xlfn.IFNA(_xlfn.XLOOKUP(A72,'Price list'!G:G,'Price list'!H:H),0)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6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6" x14ac:dyDescent="0.35">
      <c r="A73" t="s">
        <v>3915</v>
      </c>
      <c r="B73" s="3">
        <f>_xlfn.IFNA(_xlfn.XLOOKUP(A73,'Price list'!G:G,'Price list'!H:H),0)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6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6" x14ac:dyDescent="0.35">
      <c r="A74" t="s">
        <v>3916</v>
      </c>
      <c r="B74" s="3">
        <f>_xlfn.IFNA(_xlfn.XLOOKUP(A74,'Price list'!G:G,'Price list'!H:H),0)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6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6" x14ac:dyDescent="0.35">
      <c r="A75" t="s">
        <v>3917</v>
      </c>
      <c r="B75" s="3">
        <f>_xlfn.IFNA(_xlfn.XLOOKUP(A75,'Price list'!G:G,'Price list'!H:H),0)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ref="L75:L82" si="7">IFERROR(((K75/SUM($K$11:$K$82))*$F$10)/(F75+I75),0)</f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6" x14ac:dyDescent="0.35">
      <c r="A76" t="s">
        <v>3918</v>
      </c>
      <c r="B76" s="3">
        <f>_xlfn.IFNA(_xlfn.XLOOKUP(A76,'Price list'!G:G,'Price list'!H:H),0)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si="0"/>
        <v>0</v>
      </c>
      <c r="L76" s="27">
        <f t="shared" si="7"/>
        <v>0</v>
      </c>
      <c r="M76" s="3">
        <f t="shared" si="2"/>
        <v>0</v>
      </c>
      <c r="N76" s="3">
        <f t="shared" si="3"/>
        <v>0</v>
      </c>
      <c r="O76" s="3">
        <f t="shared" si="5"/>
        <v>0</v>
      </c>
      <c r="P76" s="3"/>
    </row>
    <row r="77" spans="1:16" x14ac:dyDescent="0.35">
      <c r="A77" t="s">
        <v>3919</v>
      </c>
      <c r="B77" s="3">
        <f>_xlfn.IFNA(_xlfn.XLOOKUP(A77,'Price list'!G:G,'Price list'!H:H),0)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4"/>
        <v>0</v>
      </c>
      <c r="K77" s="3">
        <f t="shared" si="0"/>
        <v>0</v>
      </c>
      <c r="L77" s="27">
        <f t="shared" si="7"/>
        <v>0</v>
      </c>
      <c r="M77" s="3">
        <f t="shared" si="2"/>
        <v>0</v>
      </c>
      <c r="N77" s="3">
        <f t="shared" si="3"/>
        <v>0</v>
      </c>
      <c r="O77" s="3">
        <f t="shared" si="5"/>
        <v>0</v>
      </c>
      <c r="P77" s="3"/>
    </row>
    <row r="78" spans="1:16" x14ac:dyDescent="0.35">
      <c r="A78" t="s">
        <v>3920</v>
      </c>
      <c r="B78" s="3">
        <f>_xlfn.IFNA(_xlfn.XLOOKUP(A78,'Price list'!G:G,'Price list'!H:H),0)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4"/>
        <v>0</v>
      </c>
      <c r="K78" s="3">
        <f t="shared" ref="K78:K82" si="8">+B78*(F78+I78)</f>
        <v>0</v>
      </c>
      <c r="L78" s="27">
        <f t="shared" si="7"/>
        <v>0</v>
      </c>
      <c r="M78" s="3">
        <f t="shared" ref="M78:M82" si="9">+L78*(F78+I78)</f>
        <v>0</v>
      </c>
      <c r="N78" s="3">
        <f t="shared" ref="N78:N82" si="10">IF(L78=0,0,B78-L78)</f>
        <v>0</v>
      </c>
      <c r="O78" s="3">
        <f t="shared" si="5"/>
        <v>0</v>
      </c>
      <c r="P78" s="3"/>
    </row>
    <row r="79" spans="1:16" x14ac:dyDescent="0.35">
      <c r="A79" t="s">
        <v>3921</v>
      </c>
      <c r="B79" s="3">
        <f>_xlfn.IFNA(_xlfn.XLOOKUP(A79,'Price list'!G:G,'Price list'!H:H),0)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ref="J79:J82" si="11">IF(F79/J$5&gt;0,F79/J$5,I79/J$5)</f>
        <v>0</v>
      </c>
      <c r="K79" s="3">
        <f t="shared" si="8"/>
        <v>0</v>
      </c>
      <c r="L79" s="27">
        <f t="shared" si="7"/>
        <v>0</v>
      </c>
      <c r="M79" s="3">
        <f t="shared" si="9"/>
        <v>0</v>
      </c>
      <c r="N79" s="3">
        <f t="shared" si="10"/>
        <v>0</v>
      </c>
      <c r="O79" s="3">
        <f t="shared" ref="O79:O82" si="12">+K79-M79</f>
        <v>0</v>
      </c>
      <c r="P79" s="3"/>
    </row>
    <row r="80" spans="1:16" x14ac:dyDescent="0.35">
      <c r="A80" t="s">
        <v>3922</v>
      </c>
      <c r="B80" s="3">
        <f>_xlfn.IFNA(_xlfn.XLOOKUP(A80,'Price list'!G:G,'Price list'!H:H),0)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11"/>
        <v>0</v>
      </c>
      <c r="K80" s="3">
        <f t="shared" si="8"/>
        <v>0</v>
      </c>
      <c r="L80" s="27">
        <f t="shared" si="7"/>
        <v>0</v>
      </c>
      <c r="M80" s="3">
        <f t="shared" si="9"/>
        <v>0</v>
      </c>
      <c r="N80" s="3">
        <f t="shared" si="10"/>
        <v>0</v>
      </c>
      <c r="O80" s="3">
        <f t="shared" si="12"/>
        <v>0</v>
      </c>
      <c r="P80" s="3"/>
    </row>
    <row r="81" spans="1:18" x14ac:dyDescent="0.35">
      <c r="A81" t="s">
        <v>3923</v>
      </c>
      <c r="B81" s="3">
        <f>_xlfn.IFNA(_xlfn.XLOOKUP(A81,'Price list'!G:G,'Price list'!H:H),0)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11"/>
        <v>0</v>
      </c>
      <c r="K81" s="3">
        <f t="shared" si="8"/>
        <v>0</v>
      </c>
      <c r="L81" s="27">
        <f t="shared" si="7"/>
        <v>0</v>
      </c>
      <c r="M81" s="3">
        <f t="shared" si="9"/>
        <v>0</v>
      </c>
      <c r="N81" s="3">
        <f t="shared" si="10"/>
        <v>0</v>
      </c>
      <c r="O81" s="3">
        <f t="shared" si="12"/>
        <v>0</v>
      </c>
      <c r="P81" s="3"/>
    </row>
    <row r="82" spans="1:18" x14ac:dyDescent="0.35">
      <c r="A82" t="s">
        <v>3924</v>
      </c>
      <c r="B82" s="3">
        <f>_xlfn.IFNA(_xlfn.XLOOKUP(A82,'Price list'!G:G,'Price list'!H:H),0)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3">
        <v>0</v>
      </c>
      <c r="J82" s="26">
        <f t="shared" si="11"/>
        <v>0</v>
      </c>
      <c r="K82" s="3">
        <f t="shared" si="8"/>
        <v>0</v>
      </c>
      <c r="L82" s="27">
        <f t="shared" si="7"/>
        <v>0</v>
      </c>
      <c r="M82" s="3">
        <f t="shared" si="9"/>
        <v>0</v>
      </c>
      <c r="N82" s="3">
        <f t="shared" si="10"/>
        <v>0</v>
      </c>
      <c r="O82" s="3">
        <f t="shared" si="12"/>
        <v>0</v>
      </c>
      <c r="P82" s="3"/>
    </row>
    <row r="85" spans="1:18" s="2" customFormat="1" x14ac:dyDescent="0.35">
      <c r="A85" t="s">
        <v>3929</v>
      </c>
      <c r="B85"/>
      <c r="C85"/>
      <c r="D85"/>
      <c r="E85"/>
      <c r="F85" s="117"/>
      <c r="G85" t="s">
        <v>3930</v>
      </c>
      <c r="Q85"/>
      <c r="R85"/>
    </row>
    <row r="86" spans="1:18" s="2" customFormat="1" x14ac:dyDescent="0.35">
      <c r="A86"/>
      <c r="B86"/>
      <c r="C86"/>
      <c r="D86"/>
      <c r="E86"/>
      <c r="F86" s="117"/>
      <c r="G86"/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/>
      <c r="B89"/>
      <c r="C89"/>
      <c r="D89"/>
      <c r="E89"/>
      <c r="F89" s="117"/>
      <c r="G89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  <row r="91" spans="1:18" s="2" customFormat="1" x14ac:dyDescent="0.35">
      <c r="A91" s="118"/>
      <c r="B91"/>
      <c r="C91"/>
      <c r="D91"/>
      <c r="E91"/>
      <c r="F91" s="117"/>
      <c r="G91" s="118"/>
      <c r="Q91"/>
      <c r="R91"/>
    </row>
    <row r="92" spans="1:18" s="2" customFormat="1" x14ac:dyDescent="0.35">
      <c r="A92"/>
      <c r="B92"/>
      <c r="C92"/>
      <c r="D92"/>
      <c r="E92"/>
      <c r="F92" s="117"/>
      <c r="G92"/>
      <c r="Q92"/>
      <c r="R92"/>
    </row>
  </sheetData>
  <autoFilter ref="A10:P82" xr:uid="{9E3D57EB-0D9F-40FE-B4FE-C94EEFF00F8F}"/>
  <conditionalFormatting sqref="O10">
    <cfRule type="cellIs" dxfId="11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rowBreaks count="1" manualBreakCount="1">
    <brk id="67" max="1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E7CC-CFC3-4C7C-B9A7-49E2B8723D9A}">
  <sheetPr>
    <tabColor theme="3"/>
    <pageSetUpPr fitToPage="1"/>
  </sheetPr>
  <dimension ref="A1:R93"/>
  <sheetViews>
    <sheetView view="pageBreakPreview" zoomScale="60" zoomScaleNormal="80" workbookViewId="0">
      <pane xSplit="3" ySplit="9" topLeftCell="D10" activePane="bottomRight" state="frozen"/>
      <selection activeCell="A751" sqref="A751"/>
      <selection pane="topRight" activeCell="A751" sqref="A751"/>
      <selection pane="bottomLeft" activeCell="A751" sqref="A751"/>
      <selection pane="bottomRight" activeCell="A13" sqref="A13:XFD13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2.269531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s="18" t="s">
        <v>3865</v>
      </c>
      <c r="E2" s="159">
        <v>46283</v>
      </c>
      <c r="F2" s="159">
        <v>46283</v>
      </c>
      <c r="G2" s="19" t="s">
        <v>3943</v>
      </c>
    </row>
    <row r="3" spans="1:18" x14ac:dyDescent="0.35">
      <c r="A3" s="101" t="s">
        <v>3866</v>
      </c>
      <c r="B3" s="2">
        <v>346685250</v>
      </c>
      <c r="C3" s="19">
        <f>B3*0.25%</f>
        <v>866713.125</v>
      </c>
      <c r="E3" s="157" t="s">
        <v>4121</v>
      </c>
      <c r="F3" s="157" t="s">
        <v>4123</v>
      </c>
      <c r="G3" s="156" t="s">
        <v>4049</v>
      </c>
      <c r="H3" s="157" t="s">
        <v>4050</v>
      </c>
      <c r="I3" s="101" t="s">
        <v>3870</v>
      </c>
      <c r="J3" s="2" t="s">
        <v>3950</v>
      </c>
      <c r="Q3" s="25"/>
      <c r="R3" s="2"/>
    </row>
    <row r="4" spans="1:18" x14ac:dyDescent="0.35">
      <c r="A4" s="101" t="s">
        <v>3867</v>
      </c>
      <c r="B4" s="2">
        <v>10400000</v>
      </c>
      <c r="E4" s="157" t="s">
        <v>4122</v>
      </c>
      <c r="F4" s="157" t="s">
        <v>4122</v>
      </c>
      <c r="G4" s="157"/>
      <c r="H4" s="157" t="s">
        <v>4046</v>
      </c>
      <c r="I4" s="101" t="s">
        <v>3872</v>
      </c>
      <c r="J4" s="115">
        <v>46283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f>17963802+432432</f>
        <v>18396234</v>
      </c>
      <c r="C5" s="2">
        <f>19939840+480000</f>
        <v>20419840</v>
      </c>
      <c r="E5" s="157">
        <v>180000000</v>
      </c>
      <c r="F5" s="157">
        <v>166675250</v>
      </c>
      <c r="G5" s="157" t="s">
        <v>4120</v>
      </c>
      <c r="H5" s="157" t="s">
        <v>4045</v>
      </c>
      <c r="I5" s="101" t="s">
        <v>3944</v>
      </c>
      <c r="J5" s="19">
        <f>3340.7+3412.3+3305.9+3536.6</f>
        <v>13595.5</v>
      </c>
      <c r="K5" s="2">
        <v>12462.4</v>
      </c>
      <c r="L5" s="2">
        <f>J5-K5</f>
        <v>1133.1000000000004</v>
      </c>
      <c r="M5" s="147">
        <f>L5/J5</f>
        <v>8.3343753447832028E-2</v>
      </c>
      <c r="N5" s="2">
        <f>43+4+12+145</f>
        <v>204</v>
      </c>
      <c r="O5" s="2">
        <f>63.5+5.4+15.4+237.3</f>
        <v>321.60000000000002</v>
      </c>
    </row>
    <row r="6" spans="1:18" x14ac:dyDescent="0.35">
      <c r="A6" s="102" t="s">
        <v>3869</v>
      </c>
      <c r="B6" s="19">
        <f>SUM(B3:B5)</f>
        <v>375481484</v>
      </c>
      <c r="E6" s="157"/>
      <c r="F6" s="157"/>
      <c r="G6" s="157"/>
      <c r="H6" s="157"/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SUM(K11:K69)/M10-1</f>
        <v>-9.0092016361584371E-2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375481484</v>
      </c>
      <c r="G10" s="5"/>
      <c r="H10" s="5"/>
      <c r="I10" s="5">
        <f>SUM(I11:I83)</f>
        <v>10984</v>
      </c>
      <c r="J10" s="111">
        <f>SUM(J11:J83)</f>
        <v>0.80791438343569522</v>
      </c>
      <c r="K10" s="5">
        <f>+SUM(K11:K83)</f>
        <v>341653600</v>
      </c>
      <c r="L10" s="5"/>
      <c r="M10" s="5">
        <f>+SUM(M11:M83)</f>
        <v>375481484</v>
      </c>
      <c r="N10" s="5"/>
      <c r="O10" s="5">
        <f>+SUM(O11:O83)</f>
        <v>-33827883.999999993</v>
      </c>
    </row>
    <row r="11" spans="1:18" x14ac:dyDescent="0.35">
      <c r="A11" t="s">
        <v>3873</v>
      </c>
      <c r="B11" s="3">
        <f>_xlfn.IFNA(_xlfn.XLOOKUP(A11,'Price list'!G:G,'Price list'!H:H),0)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78" si="0">+B11*(F11+I11)</f>
        <v>0</v>
      </c>
      <c r="L11" s="27">
        <f t="shared" ref="L11:L42" si="1">IFERROR(((K11/SUM($K$11:$K$83))*$F$10)/(F11+I11),0)</f>
        <v>0</v>
      </c>
      <c r="M11" s="3">
        <f t="shared" ref="M11:M78" si="2">+L11*(F11+I11)</f>
        <v>0</v>
      </c>
      <c r="N11" s="3">
        <f t="shared" ref="N11:N78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list'!G:G,'Price list'!H:H),0)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79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79" si="5">+K12-M12</f>
        <v>0</v>
      </c>
      <c r="P12" s="3"/>
      <c r="R12" s="3"/>
    </row>
    <row r="13" spans="1:18" s="186" customFormat="1" x14ac:dyDescent="0.35">
      <c r="A13" s="186" t="s">
        <v>3875</v>
      </c>
      <c r="B13" s="187">
        <f>_xlfn.IFNA(_xlfn.XLOOKUP(A13,'Price list'!G:G,'Price list'!H:H),0)</f>
        <v>36500</v>
      </c>
      <c r="C13" s="186" t="s">
        <v>9</v>
      </c>
      <c r="E13" s="187"/>
      <c r="F13" s="187"/>
      <c r="G13" s="187" t="s">
        <v>2219</v>
      </c>
      <c r="H13" s="187" t="str">
        <f>IF(G13=0,"",_xlfn.XLOOKUP(G13,List_item!A:A,List_item!B:B))</f>
        <v>Karkas Uk 0.5 Karkas Uk 0.5 Frozen Premium</v>
      </c>
      <c r="I13" s="187">
        <v>15.5</v>
      </c>
      <c r="J13" s="189">
        <f t="shared" si="4"/>
        <v>1.1400831157368247E-3</v>
      </c>
      <c r="K13" s="187">
        <f t="shared" si="0"/>
        <v>565750</v>
      </c>
      <c r="L13" s="191">
        <f t="shared" si="1"/>
        <v>40113.946307019745</v>
      </c>
      <c r="M13" s="187">
        <f t="shared" si="2"/>
        <v>621766.16775880603</v>
      </c>
      <c r="N13" s="187">
        <f t="shared" si="3"/>
        <v>-3613.9463070197453</v>
      </c>
      <c r="O13" s="187">
        <f t="shared" si="5"/>
        <v>-56016.167758806027</v>
      </c>
      <c r="P13" s="187"/>
    </row>
    <row r="14" spans="1:18" s="186" customFormat="1" x14ac:dyDescent="0.35">
      <c r="A14" s="186" t="s">
        <v>3876</v>
      </c>
      <c r="B14" s="187">
        <f>_xlfn.IFNA(_xlfn.XLOOKUP(A14,'Price list'!G:G,'Price list'!H:H),0)</f>
        <v>36500</v>
      </c>
      <c r="C14" s="186" t="s">
        <v>9</v>
      </c>
      <c r="E14" s="187"/>
      <c r="F14" s="187"/>
      <c r="G14" s="187" t="s">
        <v>2220</v>
      </c>
      <c r="H14" s="187" t="str">
        <f>IF(G14=0,"",_xlfn.XLOOKUP(G14,List_item!A:A,List_item!B:B))</f>
        <v>Karkas Uk 0.6 Karkas Uk 0.6 Frozen Premium</v>
      </c>
      <c r="I14" s="187">
        <v>126.8</v>
      </c>
      <c r="J14" s="189">
        <f t="shared" si="4"/>
        <v>9.32661542422125E-3</v>
      </c>
      <c r="K14" s="187">
        <f t="shared" si="0"/>
        <v>4628200</v>
      </c>
      <c r="L14" s="191">
        <f t="shared" si="1"/>
        <v>40113.946307019738</v>
      </c>
      <c r="M14" s="187">
        <f t="shared" si="2"/>
        <v>5086448.3917301027</v>
      </c>
      <c r="N14" s="187">
        <f t="shared" si="3"/>
        <v>-3613.946307019738</v>
      </c>
      <c r="O14" s="187">
        <f t="shared" si="5"/>
        <v>-458248.39173010271</v>
      </c>
      <c r="P14" s="187"/>
    </row>
    <row r="15" spans="1:18" s="186" customFormat="1" x14ac:dyDescent="0.35">
      <c r="A15" s="186" t="s">
        <v>3877</v>
      </c>
      <c r="B15" s="187">
        <f>_xlfn.IFNA(_xlfn.XLOOKUP(A15,'Price list'!G:G,'Price list'!H:H),0)</f>
        <v>36500</v>
      </c>
      <c r="C15" s="186" t="s">
        <v>9</v>
      </c>
      <c r="E15" s="187"/>
      <c r="F15" s="187"/>
      <c r="G15" s="187" t="s">
        <v>2221</v>
      </c>
      <c r="H15" s="187" t="str">
        <f>IF(G15=0,"",_xlfn.XLOOKUP(G15,List_item!A:A,List_item!B:B))</f>
        <v>Karkas Uk 0.7 Karkas Uk 0.7 Frozen Premium</v>
      </c>
      <c r="I15" s="187">
        <v>437.3</v>
      </c>
      <c r="J15" s="189">
        <f t="shared" si="4"/>
        <v>3.2165054613658935E-2</v>
      </c>
      <c r="K15" s="187">
        <f t="shared" si="0"/>
        <v>15961450</v>
      </c>
      <c r="L15" s="191">
        <f t="shared" si="1"/>
        <v>40113.946307019745</v>
      </c>
      <c r="M15" s="187">
        <f t="shared" si="2"/>
        <v>17541828.720059734</v>
      </c>
      <c r="N15" s="187">
        <f t="shared" si="3"/>
        <v>-3613.9463070197453</v>
      </c>
      <c r="O15" s="187">
        <f t="shared" si="5"/>
        <v>-1580378.7200597338</v>
      </c>
      <c r="P15" s="187"/>
    </row>
    <row r="16" spans="1:18" s="186" customFormat="1" x14ac:dyDescent="0.35">
      <c r="A16" s="186" t="s">
        <v>3878</v>
      </c>
      <c r="B16" s="187">
        <f>_xlfn.IFNA(_xlfn.XLOOKUP(A16,'Price list'!G:G,'Price list'!H:H),0)</f>
        <v>36500</v>
      </c>
      <c r="C16" s="186" t="s">
        <v>9</v>
      </c>
      <c r="E16" s="187"/>
      <c r="F16" s="187"/>
      <c r="G16" s="187" t="s">
        <v>2222</v>
      </c>
      <c r="H16" s="187" t="str">
        <f>IF(G16=0,"",_xlfn.XLOOKUP(G16,List_item!A:A,List_item!B:B))</f>
        <v>Karkas Uk 0.8 Frozen Premium</v>
      </c>
      <c r="I16" s="187">
        <v>477.3</v>
      </c>
      <c r="J16" s="189">
        <f t="shared" si="4"/>
        <v>3.5107204589753964E-2</v>
      </c>
      <c r="K16" s="187">
        <f t="shared" si="0"/>
        <v>17421450</v>
      </c>
      <c r="L16" s="191">
        <f t="shared" si="1"/>
        <v>40113.946307019738</v>
      </c>
      <c r="M16" s="187">
        <f t="shared" si="2"/>
        <v>19146386.572340522</v>
      </c>
      <c r="N16" s="187">
        <f t="shared" si="3"/>
        <v>-3613.946307019738</v>
      </c>
      <c r="O16" s="187">
        <f t="shared" si="5"/>
        <v>-1724936.572340522</v>
      </c>
      <c r="P16" s="187"/>
    </row>
    <row r="17" spans="1:16" s="186" customFormat="1" x14ac:dyDescent="0.35">
      <c r="A17" s="186" t="s">
        <v>3879</v>
      </c>
      <c r="B17" s="187">
        <f>_xlfn.IFNA(_xlfn.XLOOKUP(A17,'Price list'!G:G,'Price list'!H:H),0)</f>
        <v>36500</v>
      </c>
      <c r="C17" s="186" t="s">
        <v>9</v>
      </c>
      <c r="E17" s="187"/>
      <c r="F17" s="187"/>
      <c r="G17" s="187" t="s">
        <v>826</v>
      </c>
      <c r="H17" s="187" t="str">
        <f>IF(G17=0,"",_xlfn.XLOOKUP(G17,List_item!A:A,List_item!B:B))</f>
        <v>Karkas Uk 0.9 Karkas Uk 0.9 Fresh Premium</v>
      </c>
      <c r="I17" s="187">
        <v>2166.1999999999998</v>
      </c>
      <c r="J17" s="189">
        <f t="shared" si="4"/>
        <v>0.15933213195542642</v>
      </c>
      <c r="K17" s="187">
        <f t="shared" si="0"/>
        <v>79066300</v>
      </c>
      <c r="L17" s="191">
        <f t="shared" si="1"/>
        <v>40113.946307019745</v>
      </c>
      <c r="M17" s="187">
        <f t="shared" si="2"/>
        <v>86894830.490266159</v>
      </c>
      <c r="N17" s="187">
        <f t="shared" si="3"/>
        <v>-3613.9463070197453</v>
      </c>
      <c r="O17" s="187">
        <f t="shared" si="5"/>
        <v>-7828530.4902661592</v>
      </c>
      <c r="P17" s="187"/>
    </row>
    <row r="18" spans="1:16" s="186" customFormat="1" x14ac:dyDescent="0.35">
      <c r="A18" s="186" t="s">
        <v>3879</v>
      </c>
      <c r="B18" s="187">
        <f>_xlfn.IFNA(_xlfn.XLOOKUP(A18,'Price list'!G:G,'Price list'!H:H),0)</f>
        <v>36500</v>
      </c>
      <c r="C18" s="186" t="s">
        <v>9</v>
      </c>
      <c r="E18" s="187"/>
      <c r="F18" s="187"/>
      <c r="G18" s="187" t="s">
        <v>2223</v>
      </c>
      <c r="H18" s="187" t="str">
        <f>IF(G18=0,"",_xlfn.XLOOKUP(G18,List_item!A:A,List_item!B:B))</f>
        <v>Karkas Uk 0.9 Frozen Premium</v>
      </c>
      <c r="I18" s="187">
        <v>302</v>
      </c>
      <c r="J18" s="189">
        <f t="shared" si="4"/>
        <v>2.2213232319517488E-2</v>
      </c>
      <c r="K18" s="187">
        <f t="shared" si="0"/>
        <v>11023000</v>
      </c>
      <c r="L18" s="191">
        <f t="shared" si="1"/>
        <v>40113.946307019745</v>
      </c>
      <c r="M18" s="187">
        <f t="shared" si="2"/>
        <v>12114411.784719963</v>
      </c>
      <c r="N18" s="187">
        <f t="shared" si="3"/>
        <v>-3613.9463070197453</v>
      </c>
      <c r="O18" s="187">
        <f t="shared" si="5"/>
        <v>-1091411.7847199626</v>
      </c>
      <c r="P18" s="187"/>
    </row>
    <row r="19" spans="1:16" s="186" customFormat="1" x14ac:dyDescent="0.35">
      <c r="A19" s="186" t="s">
        <v>3880</v>
      </c>
      <c r="B19" s="187">
        <f>_xlfn.IFNA(_xlfn.XLOOKUP(A19,'Price list'!G:G,'Price list'!H:H),0)</f>
        <v>36500</v>
      </c>
      <c r="C19" s="186" t="s">
        <v>9</v>
      </c>
      <c r="E19" s="187"/>
      <c r="F19" s="187"/>
      <c r="G19" s="187" t="s">
        <v>923</v>
      </c>
      <c r="H19" s="187" t="str">
        <f>IF(G19=0,"",_xlfn.XLOOKUP(G19,List_item!A:A,List_item!B:B))</f>
        <v>Karkas Uk 1.0 Karkas Uk 1.0 Frozen Premium</v>
      </c>
      <c r="I19" s="187">
        <v>283.3</v>
      </c>
      <c r="J19" s="189">
        <f t="shared" si="4"/>
        <v>2.0837777205693062E-2</v>
      </c>
      <c r="K19" s="187">
        <f t="shared" si="0"/>
        <v>10340450</v>
      </c>
      <c r="L19" s="191">
        <f t="shared" si="1"/>
        <v>40113.946307019745</v>
      </c>
      <c r="M19" s="187">
        <f t="shared" si="2"/>
        <v>11364280.988778694</v>
      </c>
      <c r="N19" s="187">
        <f t="shared" si="3"/>
        <v>-3613.9463070197453</v>
      </c>
      <c r="O19" s="187">
        <f t="shared" si="5"/>
        <v>-1023830.9887786936</v>
      </c>
      <c r="P19" s="187"/>
    </row>
    <row r="20" spans="1:16" s="186" customFormat="1" x14ac:dyDescent="0.35">
      <c r="A20" s="186" t="s">
        <v>3881</v>
      </c>
      <c r="B20" s="187">
        <f>_xlfn.IFNA(_xlfn.XLOOKUP(A20,'Price list'!G:G,'Price list'!H:H),0)</f>
        <v>36500</v>
      </c>
      <c r="C20" s="186" t="s">
        <v>9</v>
      </c>
      <c r="E20" s="187"/>
      <c r="F20" s="187"/>
      <c r="G20" s="187" t="s">
        <v>957</v>
      </c>
      <c r="H20" s="187" t="str">
        <f>IF(G20=0,"",_xlfn.XLOOKUP(G20,List_item!A:A,List_item!B:B))</f>
        <v>Karkas Uk 1.1 Karkas Uk 1.1 Fresh Premium</v>
      </c>
      <c r="I20" s="187">
        <v>1602.6</v>
      </c>
      <c r="J20" s="189">
        <f t="shared" si="4"/>
        <v>0.11787723879224743</v>
      </c>
      <c r="K20" s="187">
        <f t="shared" si="0"/>
        <v>58494900</v>
      </c>
      <c r="L20" s="191">
        <f t="shared" si="1"/>
        <v>40113.946307019745</v>
      </c>
      <c r="M20" s="187">
        <f t="shared" si="2"/>
        <v>64286610.351629838</v>
      </c>
      <c r="N20" s="187">
        <f t="shared" si="3"/>
        <v>-3613.9463070197453</v>
      </c>
      <c r="O20" s="187">
        <f t="shared" si="5"/>
        <v>-5791710.3516298383</v>
      </c>
      <c r="P20" s="187"/>
    </row>
    <row r="21" spans="1:16" s="186" customFormat="1" x14ac:dyDescent="0.35">
      <c r="A21" s="186" t="s">
        <v>3881</v>
      </c>
      <c r="B21" s="187">
        <f>_xlfn.IFNA(_xlfn.XLOOKUP(A21,'Price list'!G:G,'Price list'!H:H),0)</f>
        <v>36500</v>
      </c>
      <c r="C21" s="186" t="s">
        <v>9</v>
      </c>
      <c r="E21" s="187"/>
      <c r="F21" s="187"/>
      <c r="G21" s="187" t="s">
        <v>989</v>
      </c>
      <c r="H21" s="187" t="str">
        <f>IF(G21=0,"",_xlfn.XLOOKUP(G21,List_item!A:A,List_item!B:B))</f>
        <v>Karkas Uk 1.1 Karkas Uk 1.1 Frozen Premium</v>
      </c>
      <c r="I21" s="187">
        <v>181.8</v>
      </c>
      <c r="J21" s="189">
        <f t="shared" si="4"/>
        <v>1.3372071641351919E-2</v>
      </c>
      <c r="K21" s="187">
        <f t="shared" si="0"/>
        <v>6635700</v>
      </c>
      <c r="L21" s="191">
        <f t="shared" si="1"/>
        <v>40113.946307019738</v>
      </c>
      <c r="M21" s="187">
        <f t="shared" si="2"/>
        <v>7292715.4386161892</v>
      </c>
      <c r="N21" s="187">
        <f t="shared" si="3"/>
        <v>-3613.946307019738</v>
      </c>
      <c r="O21" s="187">
        <f t="shared" si="5"/>
        <v>-657015.43861618917</v>
      </c>
      <c r="P21" s="187"/>
    </row>
    <row r="22" spans="1:16" s="186" customFormat="1" x14ac:dyDescent="0.35">
      <c r="A22" s="186" t="s">
        <v>3882</v>
      </c>
      <c r="B22" s="187">
        <f>_xlfn.IFNA(_xlfn.XLOOKUP(A22,'Price list'!G:G,'Price list'!H:H),0)</f>
        <v>36500</v>
      </c>
      <c r="C22" s="186" t="s">
        <v>9</v>
      </c>
      <c r="E22" s="187"/>
      <c r="F22" s="187"/>
      <c r="G22" s="187" t="s">
        <v>1055</v>
      </c>
      <c r="H22" s="187" t="str">
        <f>IF(G22=0,"",_xlfn.XLOOKUP(G22,List_item!A:A,List_item!B:B))</f>
        <v>Karkas Uk 1.2 Karkas Uk 1.2 Frozen Premium</v>
      </c>
      <c r="I22" s="187">
        <v>1037.8</v>
      </c>
      <c r="J22" s="189">
        <f t="shared" si="4"/>
        <v>7.6334081129785583E-2</v>
      </c>
      <c r="K22" s="187">
        <f t="shared" si="0"/>
        <v>37879700</v>
      </c>
      <c r="L22" s="191">
        <f t="shared" si="1"/>
        <v>40113.946307019745</v>
      </c>
      <c r="M22" s="187">
        <f t="shared" si="2"/>
        <v>41630253.477425091</v>
      </c>
      <c r="N22" s="187">
        <f t="shared" si="3"/>
        <v>-3613.9463070197453</v>
      </c>
      <c r="O22" s="187">
        <f t="shared" si="5"/>
        <v>-3750553.477425091</v>
      </c>
      <c r="P22" s="187"/>
    </row>
    <row r="23" spans="1:16" s="186" customFormat="1" x14ac:dyDescent="0.35">
      <c r="A23" s="186" t="s">
        <v>3883</v>
      </c>
      <c r="B23" s="187">
        <f>_xlfn.IFNA(_xlfn.XLOOKUP(A23,'Price list'!G:G,'Price list'!H:H),0)</f>
        <v>36500</v>
      </c>
      <c r="C23" s="186" t="s">
        <v>9</v>
      </c>
      <c r="E23" s="187"/>
      <c r="F23" s="187"/>
      <c r="G23" s="187" t="s">
        <v>1121</v>
      </c>
      <c r="H23" s="187" t="str">
        <f>IF(G23=0,"",_xlfn.XLOOKUP(G23,List_item!A:A,List_item!B:B))</f>
        <v>Karkas Uk 1.3 Karkas Uk 1.3 Frozen Premium</v>
      </c>
      <c r="I23" s="187">
        <v>713.4</v>
      </c>
      <c r="J23" s="189">
        <f t="shared" si="4"/>
        <v>5.2473244823654883E-2</v>
      </c>
      <c r="K23" s="187">
        <f t="shared" si="0"/>
        <v>26039100</v>
      </c>
      <c r="L23" s="191">
        <f t="shared" si="1"/>
        <v>40113.946307019745</v>
      </c>
      <c r="M23" s="187">
        <f t="shared" si="2"/>
        <v>28617289.295427885</v>
      </c>
      <c r="N23" s="187">
        <f t="shared" si="3"/>
        <v>-3613.9463070197453</v>
      </c>
      <c r="O23" s="187">
        <f t="shared" si="5"/>
        <v>-2578189.2954278849</v>
      </c>
      <c r="P23" s="187"/>
    </row>
    <row r="24" spans="1:16" s="186" customFormat="1" x14ac:dyDescent="0.35">
      <c r="A24" s="186" t="s">
        <v>3884</v>
      </c>
      <c r="B24" s="187">
        <f>_xlfn.IFNA(_xlfn.XLOOKUP(A24,'Price list'!G:G,'Price list'!H:H),0)</f>
        <v>36500</v>
      </c>
      <c r="C24" s="186" t="s">
        <v>9</v>
      </c>
      <c r="E24" s="187"/>
      <c r="F24" s="187"/>
      <c r="G24" s="187" t="s">
        <v>1187</v>
      </c>
      <c r="H24" s="187" t="str">
        <f>IF(G24=0,"",_xlfn.XLOOKUP(G24,List_item!A:A,List_item!B:B))</f>
        <v>Karkas Uk 1.4 Karkas Uk 1.4 Frozen Premium</v>
      </c>
      <c r="I24" s="187">
        <v>367.6</v>
      </c>
      <c r="J24" s="189">
        <f t="shared" si="4"/>
        <v>2.703835828031334E-2</v>
      </c>
      <c r="K24" s="187">
        <f t="shared" si="0"/>
        <v>13417400</v>
      </c>
      <c r="L24" s="191">
        <f t="shared" si="1"/>
        <v>40113.946307019738</v>
      </c>
      <c r="M24" s="187">
        <f t="shared" si="2"/>
        <v>14745886.662460458</v>
      </c>
      <c r="N24" s="187">
        <f t="shared" si="3"/>
        <v>-3613.946307019738</v>
      </c>
      <c r="O24" s="187">
        <f t="shared" si="5"/>
        <v>-1328486.6624604575</v>
      </c>
      <c r="P24" s="187"/>
    </row>
    <row r="25" spans="1:16" s="186" customFormat="1" x14ac:dyDescent="0.35">
      <c r="A25" s="186" t="s">
        <v>3849</v>
      </c>
      <c r="B25" s="187">
        <f>_xlfn.IFNA(_xlfn.XLOOKUP(A25,'Price list'!G:G,'Price list'!H:H),0)</f>
        <v>36500</v>
      </c>
      <c r="C25" s="186" t="s">
        <v>9</v>
      </c>
      <c r="E25" s="187"/>
      <c r="F25" s="187"/>
      <c r="G25" s="187" t="s">
        <v>1252</v>
      </c>
      <c r="H25" s="187" t="str">
        <f>IF(G25=0,"",_xlfn.XLOOKUP(G25,List_item!A:A,List_item!B:B))</f>
        <v>Karkas Uk 1.5 Karkas Uk 1.5 Frozen Premium</v>
      </c>
      <c r="I25" s="187">
        <v>157.4</v>
      </c>
      <c r="J25" s="189">
        <f t="shared" si="4"/>
        <v>1.157736015593395E-2</v>
      </c>
      <c r="K25" s="187">
        <f t="shared" si="0"/>
        <v>5745100</v>
      </c>
      <c r="L25" s="191">
        <f t="shared" si="1"/>
        <v>40113.946307019738</v>
      </c>
      <c r="M25" s="187">
        <f t="shared" si="2"/>
        <v>6313935.1487249071</v>
      </c>
      <c r="N25" s="187">
        <f t="shared" si="3"/>
        <v>-3613.946307019738</v>
      </c>
      <c r="O25" s="187">
        <f t="shared" si="5"/>
        <v>-568835.14872490708</v>
      </c>
      <c r="P25" s="187"/>
    </row>
    <row r="26" spans="1:16" s="186" customFormat="1" x14ac:dyDescent="0.35">
      <c r="A26" s="186" t="s">
        <v>3885</v>
      </c>
      <c r="B26" s="187">
        <f>_xlfn.IFNA(_xlfn.XLOOKUP(A26,'Price list'!G:G,'Price list'!H:H),0)</f>
        <v>36500</v>
      </c>
      <c r="C26" s="186" t="s">
        <v>9</v>
      </c>
      <c r="E26" s="187"/>
      <c r="F26" s="187"/>
      <c r="G26" s="187" t="s">
        <v>1318</v>
      </c>
      <c r="H26" s="187" t="str">
        <f>IF(G26=0,"",_xlfn.XLOOKUP(G26,List_item!A:A,List_item!B:B))</f>
        <v>Karkas Uk 1.6 Karkas Uk 1.6 Frozen Premium</v>
      </c>
      <c r="I26" s="187">
        <v>56.5</v>
      </c>
      <c r="J26" s="189">
        <f t="shared" si="4"/>
        <v>4.1557868412342323E-3</v>
      </c>
      <c r="K26" s="187">
        <f t="shared" si="0"/>
        <v>2062250</v>
      </c>
      <c r="L26" s="191">
        <f t="shared" si="1"/>
        <v>40113.946307019745</v>
      </c>
      <c r="M26" s="187">
        <f t="shared" si="2"/>
        <v>2266437.9663466155</v>
      </c>
      <c r="N26" s="187">
        <f t="shared" si="3"/>
        <v>-3613.9463070197453</v>
      </c>
      <c r="O26" s="187">
        <f t="shared" si="5"/>
        <v>-204187.96634661546</v>
      </c>
      <c r="P26" s="187"/>
    </row>
    <row r="27" spans="1:16" s="186" customFormat="1" x14ac:dyDescent="0.35">
      <c r="A27" s="186" t="s">
        <v>3886</v>
      </c>
      <c r="B27" s="187">
        <f>_xlfn.IFNA(_xlfn.XLOOKUP(A27,'Price list'!G:G,'Price list'!H:H),0)</f>
        <v>36500</v>
      </c>
      <c r="C27" s="186" t="s">
        <v>9</v>
      </c>
      <c r="E27" s="187"/>
      <c r="F27" s="187"/>
      <c r="G27" s="187" t="s">
        <v>1384</v>
      </c>
      <c r="H27" s="187" t="str">
        <f>IF(G27=0,"",_xlfn.XLOOKUP(G27,List_item!A:A,List_item!B:B))</f>
        <v>Karkas Uk 1.7 Karkas Uk 1.7 Frozen Premium</v>
      </c>
      <c r="I27" s="187">
        <v>19.100000000000001</v>
      </c>
      <c r="J27" s="189">
        <f t="shared" si="4"/>
        <v>1.4048766135853776E-3</v>
      </c>
      <c r="K27" s="187">
        <f t="shared" si="0"/>
        <v>697150</v>
      </c>
      <c r="L27" s="191">
        <f t="shared" si="1"/>
        <v>40113.946307019745</v>
      </c>
      <c r="M27" s="187">
        <f t="shared" si="2"/>
        <v>766176.37446407718</v>
      </c>
      <c r="N27" s="187">
        <f t="shared" si="3"/>
        <v>-3613.9463070197453</v>
      </c>
      <c r="O27" s="187">
        <f t="shared" si="5"/>
        <v>-69026.374464077177</v>
      </c>
      <c r="P27" s="187"/>
    </row>
    <row r="28" spans="1:16" x14ac:dyDescent="0.35">
      <c r="A28" t="s">
        <v>3887</v>
      </c>
      <c r="B28" s="3">
        <f>_xlfn.IFNA(_xlfn.XLOOKUP(A28,'Price list'!G:G,'Price list'!H:H),0)</f>
        <v>36500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6" x14ac:dyDescent="0.35">
      <c r="A29" t="s">
        <v>3888</v>
      </c>
      <c r="B29" s="3">
        <f>_xlfn.IFNA(_xlfn.XLOOKUP(A29,'Price list'!G:G,'Price list'!H:H),0)</f>
        <v>36500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3889</v>
      </c>
      <c r="B30" s="3">
        <f>_xlfn.IFNA(_xlfn.XLOOKUP(A30,'Price list'!G:G,'Price list'!H:H),0)</f>
        <v>36500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3890</v>
      </c>
      <c r="B31" s="3">
        <f>_xlfn.IFNA(_xlfn.XLOOKUP(A31,'Price list'!G:G,'Price list'!H:H),0)</f>
        <v>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8</v>
      </c>
      <c r="B32" s="3">
        <f>_xlfn.IFNA(_xlfn.XLOOKUP(A32,'Price list'!G:G,'Price list'!H:H),0)</f>
        <v>50000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10</v>
      </c>
      <c r="B33" s="3">
        <f>_xlfn.IFNA(_xlfn.XLOOKUP(A33,'Price list'!G:G,'Price list'!H:H),0)</f>
        <v>48000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12</v>
      </c>
      <c r="B34" s="3">
        <f>_xlfn.IFNA(_xlfn.XLOOKUP(A34,'Price list'!G:G,'Price list'!H:H),0)</f>
        <v>49000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2159</v>
      </c>
      <c r="B35" s="3">
        <f>_xlfn.IFNA(_xlfn.XLOOKUP(A35,'Price list'!G:G,'Price list'!H:H),0)</f>
        <v>5500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3891</v>
      </c>
      <c r="B36" s="3">
        <f>_xlfn.IFNA(_xlfn.XLOOKUP(A36,'Price list'!G:G,'Price list'!H:H),0)</f>
        <v>20000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3892</v>
      </c>
      <c r="B37" s="3">
        <f>_xlfn.IFNA(_xlfn.XLOOKUP(A37,'Price list'!G:G,'Price list'!H:H),0)</f>
        <v>22000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3852</v>
      </c>
      <c r="B38" s="3">
        <f>_xlfn.IFNA(_xlfn.XLOOKUP(A38,'Price list'!G:G,'Price list'!H:H),0)</f>
        <v>18000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x14ac:dyDescent="0.35">
      <c r="A39" t="s">
        <v>17</v>
      </c>
      <c r="B39" s="3">
        <f>_xlfn.IFNA(_xlfn.XLOOKUP(A39,'Price list'!G:G,'Price list'!H:H),0)</f>
        <v>3500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si="1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6" x14ac:dyDescent="0.35">
      <c r="A40" t="s">
        <v>2199</v>
      </c>
      <c r="B40" s="3">
        <f>_xlfn.IFNA(_xlfn.XLOOKUP(A40,'Price list'!G:G,'Price list'!H:H),0)</f>
        <v>38000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1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6" s="186" customFormat="1" x14ac:dyDescent="0.35">
      <c r="A41" s="186" t="s">
        <v>2161</v>
      </c>
      <c r="B41" s="187">
        <f>_xlfn.IFNA(_xlfn.XLOOKUP(A41,'Price list'!G:G,'Price list'!H:H),0)</f>
        <v>18000</v>
      </c>
      <c r="C41" s="186" t="s">
        <v>9</v>
      </c>
      <c r="E41" s="187"/>
      <c r="F41" s="187"/>
      <c r="G41" s="187" t="s">
        <v>19</v>
      </c>
      <c r="H41" s="187" t="str">
        <f>IF(G41=0,"",_xlfn.XLOOKUP(G41,List_item!A:A,List_item!B:B))</f>
        <v>Boneless BL Frozen Lemak</v>
      </c>
      <c r="I41" s="187">
        <v>38</v>
      </c>
      <c r="J41" s="189">
        <f t="shared" si="4"/>
        <v>2.79504247729028E-3</v>
      </c>
      <c r="K41" s="187">
        <f t="shared" si="0"/>
        <v>684000</v>
      </c>
      <c r="L41" s="191">
        <f t="shared" si="1"/>
        <v>19782.220096612476</v>
      </c>
      <c r="M41" s="187">
        <f t="shared" si="2"/>
        <v>751724.36367127416</v>
      </c>
      <c r="N41" s="187">
        <f t="shared" si="3"/>
        <v>-1782.2200966124765</v>
      </c>
      <c r="O41" s="187">
        <f t="shared" si="5"/>
        <v>-67724.363671274157</v>
      </c>
      <c r="P41" s="187"/>
    </row>
    <row r="42" spans="1:16" s="186" customFormat="1" x14ac:dyDescent="0.35">
      <c r="A42" s="186" t="s">
        <v>2162</v>
      </c>
      <c r="B42" s="187">
        <f>_xlfn.IFNA(_xlfn.XLOOKUP(A42,'Price list'!G:G,'Price list'!H:H),0)</f>
        <v>8000</v>
      </c>
      <c r="C42" s="186" t="s">
        <v>9</v>
      </c>
      <c r="E42" s="187"/>
      <c r="F42" s="187"/>
      <c r="G42" s="187" t="s">
        <v>310</v>
      </c>
      <c r="H42" s="187" t="str">
        <f>IF(G42=0,"",_xlfn.XLOOKUP(G42,List_item!A:A,List_item!B:B))</f>
        <v>Boneless BL Frozen Kepala</v>
      </c>
      <c r="I42" s="187">
        <v>665.4</v>
      </c>
      <c r="J42" s="189">
        <f t="shared" si="4"/>
        <v>4.8942664852340848E-2</v>
      </c>
      <c r="K42" s="187">
        <f t="shared" si="0"/>
        <v>5323200</v>
      </c>
      <c r="L42" s="191">
        <f t="shared" si="1"/>
        <v>8792.0978207166572</v>
      </c>
      <c r="M42" s="187">
        <f t="shared" si="2"/>
        <v>5850261.8899048632</v>
      </c>
      <c r="N42" s="187">
        <f t="shared" si="3"/>
        <v>-792.09782071665722</v>
      </c>
      <c r="O42" s="187">
        <f t="shared" si="5"/>
        <v>-527061.8899048632</v>
      </c>
      <c r="P42" s="187"/>
    </row>
    <row r="43" spans="1:16" s="186" customFormat="1" x14ac:dyDescent="0.35">
      <c r="A43" s="186" t="s">
        <v>0</v>
      </c>
      <c r="B43" s="187">
        <f>_xlfn.IFNA(_xlfn.XLOOKUP(A43,'Price list'!G:G,'Price list'!H:H),0)</f>
        <v>10000</v>
      </c>
      <c r="C43" s="186" t="s">
        <v>9</v>
      </c>
      <c r="E43" s="187"/>
      <c r="F43" s="187"/>
      <c r="G43" s="187" t="s">
        <v>22</v>
      </c>
      <c r="H43" s="187" t="str">
        <f>IF(G43=0,"",_xlfn.XLOOKUP(G43,List_item!A:A,List_item!B:B))</f>
        <v>Boneless BL Frozen Ceker</v>
      </c>
      <c r="I43" s="187">
        <v>417.9</v>
      </c>
      <c r="J43" s="189">
        <f t="shared" si="4"/>
        <v>3.0738111875252841E-2</v>
      </c>
      <c r="K43" s="187">
        <f t="shared" si="0"/>
        <v>4179000</v>
      </c>
      <c r="L43" s="191">
        <f t="shared" ref="L43:L74" si="6">IFERROR(((K43/SUM($K$11:$K$83))*$F$10)/(F43+I43),0)</f>
        <v>10990.122275895821</v>
      </c>
      <c r="M43" s="187">
        <f t="shared" si="2"/>
        <v>4592772.0990968635</v>
      </c>
      <c r="N43" s="187">
        <f t="shared" si="3"/>
        <v>-990.12227589582108</v>
      </c>
      <c r="O43" s="187">
        <f t="shared" si="5"/>
        <v>-413772.09909686353</v>
      </c>
      <c r="P43" s="187"/>
    </row>
    <row r="44" spans="1:16" x14ac:dyDescent="0.35">
      <c r="A44" t="s">
        <v>24</v>
      </c>
      <c r="B44" s="3">
        <f>_xlfn.IFNA(_xlfn.XLOOKUP(A44,'Price list'!G:G,'Price list'!H:H),0)</f>
        <v>4000</v>
      </c>
      <c r="C44" t="s">
        <v>9</v>
      </c>
      <c r="E44" s="3"/>
      <c r="F44" s="3"/>
      <c r="G44" s="3"/>
      <c r="H44" s="3" t="str">
        <f>IF(G44=0,"",_xlfn.XLOOKUP(G44,List_item!A:A,List_item!B:B))</f>
        <v/>
      </c>
      <c r="I44" s="3">
        <v>0</v>
      </c>
      <c r="J44" s="26">
        <f t="shared" si="4"/>
        <v>0</v>
      </c>
      <c r="K44" s="3">
        <f t="shared" si="0"/>
        <v>0</v>
      </c>
      <c r="L44" s="27">
        <f t="shared" si="6"/>
        <v>0</v>
      </c>
      <c r="M44" s="3">
        <f t="shared" si="2"/>
        <v>0</v>
      </c>
      <c r="N44" s="3">
        <f t="shared" si="3"/>
        <v>0</v>
      </c>
      <c r="O44" s="3">
        <f t="shared" si="5"/>
        <v>0</v>
      </c>
      <c r="P44" s="3"/>
    </row>
    <row r="45" spans="1:16" x14ac:dyDescent="0.35">
      <c r="A45" t="s">
        <v>3893</v>
      </c>
      <c r="B45" s="3">
        <f>_xlfn.IFNA(_xlfn.XLOOKUP(A45,'Price list'!G:G,'Price list'!H:H),0)</f>
        <v>5000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27">
        <f t="shared" si="6"/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 t="s">
        <v>3947</v>
      </c>
    </row>
    <row r="46" spans="1:16" x14ac:dyDescent="0.35">
      <c r="A46" t="s">
        <v>2167</v>
      </c>
      <c r="B46" s="3">
        <f>_xlfn.IFNA(_xlfn.XLOOKUP(A46,'Price list'!G:G,'Price list'!H:H),0)</f>
        <v>16000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6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6" x14ac:dyDescent="0.35">
      <c r="A47" t="s">
        <v>2168</v>
      </c>
      <c r="B47" s="3">
        <f>_xlfn.IFNA(_xlfn.XLOOKUP(A47,'Price list'!G:G,'Price list'!H:H),0)</f>
        <v>10000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6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6" s="186" customFormat="1" x14ac:dyDescent="0.35">
      <c r="A48" s="186" t="s">
        <v>2169</v>
      </c>
      <c r="B48" s="187">
        <f>_xlfn.IFNA(_xlfn.XLOOKUP(A48,'Price list'!G:G,'Price list'!H:H),0)</f>
        <v>5000</v>
      </c>
      <c r="C48" s="186" t="s">
        <v>9</v>
      </c>
      <c r="E48" s="187"/>
      <c r="F48" s="187"/>
      <c r="G48" s="187" t="s">
        <v>286</v>
      </c>
      <c r="H48" s="187" t="str">
        <f>IF(G48=0,"",_xlfn.XLOOKUP(G48,List_item!A:A,List_item!B:B))</f>
        <v>Boneless BL Frozen HJA</v>
      </c>
      <c r="I48" s="187">
        <v>854.8</v>
      </c>
      <c r="J48" s="189">
        <f t="shared" si="4"/>
        <v>6.2873744989150812E-2</v>
      </c>
      <c r="K48" s="187">
        <f t="shared" si="0"/>
        <v>4274000</v>
      </c>
      <c r="L48" s="191">
        <f t="shared" si="6"/>
        <v>5495.0611379479105</v>
      </c>
      <c r="M48" s="187">
        <f t="shared" si="2"/>
        <v>4697178.2607178735</v>
      </c>
      <c r="N48" s="187">
        <f t="shared" si="3"/>
        <v>-495.06113794791054</v>
      </c>
      <c r="O48" s="187">
        <f t="shared" si="5"/>
        <v>-423178.26071787346</v>
      </c>
      <c r="P48" s="187"/>
    </row>
    <row r="49" spans="1:16" x14ac:dyDescent="0.35">
      <c r="A49" t="s">
        <v>3894</v>
      </c>
      <c r="B49" s="3">
        <f>_xlfn.IFNA(_xlfn.XLOOKUP(A49,'Price list'!G:G,'Price list'!H:H),0)</f>
        <v>5000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6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2170</v>
      </c>
      <c r="B50" s="3">
        <f>_xlfn.IFNA(_xlfn.XLOOKUP(A50,'Price list'!G:G,'Price list'!H:H),0)</f>
        <v>45000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6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2171</v>
      </c>
      <c r="B51" s="3">
        <f>_xlfn.IFNA(_xlfn.XLOOKUP(A51,'Price list'!G:G,'Price list'!H:H),0)</f>
        <v>44000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6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3895</v>
      </c>
      <c r="B52" s="3">
        <f>_xlfn.IFNA(_xlfn.XLOOKUP(A52,'Price list'!G:G,'Price list'!H:H),0)</f>
        <v>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6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3896</v>
      </c>
      <c r="B53" s="3">
        <f>_xlfn.IFNA(_xlfn.XLOOKUP(A53,'Price list'!G:G,'Price list'!H:H),0)</f>
        <v>35000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6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s="186" customFormat="1" x14ac:dyDescent="0.35">
      <c r="A54" s="186" t="s">
        <v>3897</v>
      </c>
      <c r="B54" s="187">
        <f>_xlfn.IFNA(_xlfn.XLOOKUP(A54,'Price list'!G:G,'Price list'!H:H),0)</f>
        <v>35000</v>
      </c>
      <c r="C54" s="186" t="s">
        <v>9</v>
      </c>
      <c r="E54" s="187"/>
      <c r="F54" s="187"/>
      <c r="G54" s="187" t="s">
        <v>571</v>
      </c>
      <c r="H54" s="187" t="str">
        <f>IF(G54=0,"",_xlfn.XLOOKUP(G54,List_item!A:A,List_item!B:B))</f>
        <v>Karkas Uk 0.5 Karkas Uk 0.5 Frozen Grade A</v>
      </c>
      <c r="I54" s="187">
        <v>8.6</v>
      </c>
      <c r="J54" s="189">
        <f t="shared" si="4"/>
        <v>6.3256224486043177E-4</v>
      </c>
      <c r="K54" s="187">
        <f t="shared" si="0"/>
        <v>301000</v>
      </c>
      <c r="L54" s="191">
        <f t="shared" si="6"/>
        <v>38465.427965635376</v>
      </c>
      <c r="M54" s="187">
        <f t="shared" si="2"/>
        <v>330802.6805044642</v>
      </c>
      <c r="N54" s="187">
        <f t="shared" si="3"/>
        <v>-3465.4279656353756</v>
      </c>
      <c r="O54" s="187">
        <f t="shared" si="5"/>
        <v>-29802.680504464195</v>
      </c>
      <c r="P54" s="187"/>
    </row>
    <row r="55" spans="1:16" s="186" customFormat="1" x14ac:dyDescent="0.35">
      <c r="A55" s="186" t="s">
        <v>3898</v>
      </c>
      <c r="B55" s="187">
        <f>_xlfn.IFNA(_xlfn.XLOOKUP(A55,'Price list'!G:G,'Price list'!H:H),0)</f>
        <v>35000</v>
      </c>
      <c r="C55" s="186" t="s">
        <v>9</v>
      </c>
      <c r="E55" s="187"/>
      <c r="F55" s="187"/>
      <c r="G55" s="187" t="s">
        <v>636</v>
      </c>
      <c r="H55" s="187" t="str">
        <f>IF(G55=0,"",_xlfn.XLOOKUP(G55,List_item!A:A,List_item!B:B))</f>
        <v>Karkas Uk 0.6 Karkas Uk 0.6 Frozen Grade A</v>
      </c>
      <c r="I55" s="187">
        <v>31.9</v>
      </c>
      <c r="J55" s="189">
        <f t="shared" si="4"/>
        <v>2.3463646059357873E-3</v>
      </c>
      <c r="K55" s="187">
        <f t="shared" si="0"/>
        <v>1116500</v>
      </c>
      <c r="L55" s="191">
        <f t="shared" si="6"/>
        <v>38465.427965635376</v>
      </c>
      <c r="M55" s="187">
        <f t="shared" si="2"/>
        <v>1227047.1521037684</v>
      </c>
      <c r="N55" s="187">
        <f t="shared" si="3"/>
        <v>-3465.4279656353756</v>
      </c>
      <c r="O55" s="187">
        <f t="shared" si="5"/>
        <v>-110547.15210376843</v>
      </c>
      <c r="P55" s="187"/>
    </row>
    <row r="56" spans="1:16" s="186" customFormat="1" x14ac:dyDescent="0.35">
      <c r="A56" s="186" t="s">
        <v>3899</v>
      </c>
      <c r="B56" s="187">
        <f>_xlfn.IFNA(_xlfn.XLOOKUP(A56,'Price list'!G:G,'Price list'!H:H),0)</f>
        <v>35000</v>
      </c>
      <c r="C56" s="186" t="s">
        <v>9</v>
      </c>
      <c r="E56" s="187"/>
      <c r="F56" s="187"/>
      <c r="G56" s="187" t="s">
        <v>701</v>
      </c>
      <c r="H56" s="187" t="str">
        <f>IF(G56=0,"",_xlfn.XLOOKUP(G56,List_item!A:A,List_item!B:B))</f>
        <v>Karkas Uk 0.7 Karkas Uk 0.7 Frozen Grade A</v>
      </c>
      <c r="I56" s="187">
        <v>73.099999999999994</v>
      </c>
      <c r="J56" s="189">
        <f t="shared" si="4"/>
        <v>5.3767790813136693E-3</v>
      </c>
      <c r="K56" s="187">
        <f t="shared" si="0"/>
        <v>2558500</v>
      </c>
      <c r="L56" s="191">
        <f t="shared" si="6"/>
        <v>38465.427965635368</v>
      </c>
      <c r="M56" s="187">
        <f t="shared" si="2"/>
        <v>2811822.7842879454</v>
      </c>
      <c r="N56" s="187">
        <f t="shared" si="3"/>
        <v>-3465.4279656353683</v>
      </c>
      <c r="O56" s="187">
        <f t="shared" si="5"/>
        <v>-253322.78428794537</v>
      </c>
      <c r="P56" s="187"/>
    </row>
    <row r="57" spans="1:16" s="186" customFormat="1" x14ac:dyDescent="0.35">
      <c r="A57" s="186" t="s">
        <v>3900</v>
      </c>
      <c r="B57" s="187">
        <f>_xlfn.IFNA(_xlfn.XLOOKUP(A57,'Price list'!G:G,'Price list'!H:H),0)</f>
        <v>35000</v>
      </c>
      <c r="C57" s="186" t="s">
        <v>9</v>
      </c>
      <c r="E57" s="187"/>
      <c r="F57" s="187"/>
      <c r="G57" s="187" t="s">
        <v>766</v>
      </c>
      <c r="H57" s="187" t="str">
        <f>IF(G57=0,"",_xlfn.XLOOKUP(G57,List_item!A:A,List_item!B:B))</f>
        <v>Karkas Uk 0.8 Karkas Uk 0.8 Frozen Grade A</v>
      </c>
      <c r="I57" s="187">
        <v>132.30000000000001</v>
      </c>
      <c r="J57" s="189">
        <f t="shared" si="4"/>
        <v>9.7311610459343174E-3</v>
      </c>
      <c r="K57" s="187">
        <f t="shared" si="0"/>
        <v>4630500</v>
      </c>
      <c r="L57" s="191">
        <f t="shared" si="6"/>
        <v>38465.427965635361</v>
      </c>
      <c r="M57" s="187">
        <f t="shared" si="2"/>
        <v>5088976.119853559</v>
      </c>
      <c r="N57" s="187">
        <f t="shared" si="3"/>
        <v>-3465.427965635361</v>
      </c>
      <c r="O57" s="187">
        <f t="shared" si="5"/>
        <v>-458476.11985355895</v>
      </c>
      <c r="P57" s="187"/>
    </row>
    <row r="58" spans="1:16" s="186" customFormat="1" x14ac:dyDescent="0.35">
      <c r="A58" s="186" t="s">
        <v>3901</v>
      </c>
      <c r="B58" s="187">
        <f>_xlfn.IFNA(_xlfn.XLOOKUP(A58,'Price list'!G:G,'Price list'!H:H),0)</f>
        <v>35000</v>
      </c>
      <c r="C58" s="186" t="s">
        <v>9</v>
      </c>
      <c r="E58" s="187"/>
      <c r="F58" s="187"/>
      <c r="G58" s="187" t="s">
        <v>831</v>
      </c>
      <c r="H58" s="187" t="str">
        <f>IF(G58=0,"",_xlfn.XLOOKUP(G58,List_item!A:A,List_item!B:B))</f>
        <v>Karkas Uk 0.9 Karkas Uk 0.9 Frozen Grade A</v>
      </c>
      <c r="I58" s="187">
        <v>172.6</v>
      </c>
      <c r="J58" s="189">
        <f t="shared" si="4"/>
        <v>1.2695377146850061E-2</v>
      </c>
      <c r="K58" s="187">
        <f t="shared" si="0"/>
        <v>6041000</v>
      </c>
      <c r="L58" s="191">
        <f t="shared" si="6"/>
        <v>38465.427965635368</v>
      </c>
      <c r="M58" s="187">
        <f t="shared" si="2"/>
        <v>6639132.8668686645</v>
      </c>
      <c r="N58" s="187">
        <f t="shared" si="3"/>
        <v>-3465.4279656353683</v>
      </c>
      <c r="O58" s="187">
        <f t="shared" si="5"/>
        <v>-598132.86686866451</v>
      </c>
      <c r="P58" s="187"/>
    </row>
    <row r="59" spans="1:16" s="186" customFormat="1" x14ac:dyDescent="0.35">
      <c r="A59" s="186" t="s">
        <v>3902</v>
      </c>
      <c r="B59" s="187">
        <f>_xlfn.IFNA(_xlfn.XLOOKUP(A59,'Price list'!G:G,'Price list'!H:H),0)</f>
        <v>35000</v>
      </c>
      <c r="C59" s="186" t="s">
        <v>9</v>
      </c>
      <c r="E59" s="187"/>
      <c r="F59" s="187"/>
      <c r="G59" s="187" t="s">
        <v>863</v>
      </c>
      <c r="H59" s="187" t="str">
        <f>IF(G59=0,"",_xlfn.XLOOKUP(G59,List_item!A:A,List_item!B:B))</f>
        <v>Karkas Uk 1.0 Karkas Uk 1.0 Fresh Grade A</v>
      </c>
      <c r="I59" s="187">
        <v>7</v>
      </c>
      <c r="J59" s="189">
        <f t="shared" si="4"/>
        <v>5.1487624581663055E-4</v>
      </c>
      <c r="K59" s="187">
        <f t="shared" si="0"/>
        <v>245000</v>
      </c>
      <c r="L59" s="191">
        <f t="shared" si="6"/>
        <v>38465.427965635368</v>
      </c>
      <c r="M59" s="187">
        <f t="shared" si="2"/>
        <v>269257.99575944757</v>
      </c>
      <c r="N59" s="187">
        <f t="shared" si="3"/>
        <v>-3465.4279656353683</v>
      </c>
      <c r="O59" s="187">
        <f t="shared" si="5"/>
        <v>-24257.995759447571</v>
      </c>
      <c r="P59" s="187"/>
    </row>
    <row r="60" spans="1:16" s="186" customFormat="1" x14ac:dyDescent="0.35">
      <c r="A60" s="186" t="s">
        <v>3902</v>
      </c>
      <c r="B60" s="187">
        <f>_xlfn.IFNA(_xlfn.XLOOKUP(A60,'Price list'!G:G,'Price list'!H:H),0)</f>
        <v>35000</v>
      </c>
      <c r="C60" s="186" t="s">
        <v>9</v>
      </c>
      <c r="E60" s="187"/>
      <c r="F60" s="187"/>
      <c r="G60" s="187" t="s">
        <v>896</v>
      </c>
      <c r="H60" s="187" t="str">
        <f>IF(G60=0,"",_xlfn.XLOOKUP(G60,List_item!A:A,List_item!B:B))</f>
        <v>Karkas Uk 1.0 Karkas Uk 1.0 Frozen Grade A</v>
      </c>
      <c r="I60" s="187">
        <v>187.5</v>
      </c>
      <c r="J60" s="189">
        <f t="shared" si="4"/>
        <v>1.3791328012945459E-2</v>
      </c>
      <c r="K60" s="187">
        <f t="shared" si="0"/>
        <v>6562500</v>
      </c>
      <c r="L60" s="191">
        <f t="shared" si="6"/>
        <v>38465.427965635361</v>
      </c>
      <c r="M60" s="187">
        <f t="shared" si="2"/>
        <v>7212267.7435566299</v>
      </c>
      <c r="N60" s="187">
        <f t="shared" si="3"/>
        <v>-3465.427965635361</v>
      </c>
      <c r="O60" s="187">
        <f t="shared" si="5"/>
        <v>-649767.74355662987</v>
      </c>
      <c r="P60" s="187"/>
    </row>
    <row r="61" spans="1:16" s="186" customFormat="1" x14ac:dyDescent="0.35">
      <c r="A61" s="186" t="s">
        <v>3903</v>
      </c>
      <c r="B61" s="187">
        <f>_xlfn.IFNA(_xlfn.XLOOKUP(A61,'Price list'!G:G,'Price list'!H:H),0)</f>
        <v>35000</v>
      </c>
      <c r="C61" s="186" t="s">
        <v>9</v>
      </c>
      <c r="E61" s="187"/>
      <c r="F61" s="187"/>
      <c r="G61" s="187" t="s">
        <v>962</v>
      </c>
      <c r="H61" s="187" t="str">
        <f>IF(G61=0,"",_xlfn.XLOOKUP(G61,List_item!A:A,List_item!B:B))</f>
        <v>Karkas Uk 1.1 Karkas Uk 1.1 Frozen Grade A</v>
      </c>
      <c r="I61" s="187">
        <v>175</v>
      </c>
      <c r="J61" s="189">
        <f t="shared" si="4"/>
        <v>1.2871906145415763E-2</v>
      </c>
      <c r="K61" s="187">
        <f t="shared" si="0"/>
        <v>6125000</v>
      </c>
      <c r="L61" s="191">
        <f t="shared" si="6"/>
        <v>38465.427965635361</v>
      </c>
      <c r="M61" s="187">
        <f t="shared" si="2"/>
        <v>6731449.8939861879</v>
      </c>
      <c r="N61" s="187">
        <f t="shared" si="3"/>
        <v>-3465.427965635361</v>
      </c>
      <c r="O61" s="187">
        <f t="shared" si="5"/>
        <v>-606449.89398618788</v>
      </c>
      <c r="P61" s="187"/>
    </row>
    <row r="62" spans="1:16" s="186" customFormat="1" x14ac:dyDescent="0.35">
      <c r="A62" s="186" t="s">
        <v>3904</v>
      </c>
      <c r="B62" s="187">
        <f>_xlfn.IFNA(_xlfn.XLOOKUP(A62,'Price list'!G:G,'Price list'!H:H),0)</f>
        <v>35000</v>
      </c>
      <c r="C62" s="186" t="s">
        <v>9</v>
      </c>
      <c r="E62" s="187"/>
      <c r="F62" s="187"/>
      <c r="G62" s="187" t="s">
        <v>996</v>
      </c>
      <c r="H62" s="187" t="str">
        <f>IF(G62=0,"",_xlfn.XLOOKUP(G62,List_item!A:A,List_item!B:B))</f>
        <v>Karkas Uk 1.2 Karkas Uk 1.2 Fresh Grade A</v>
      </c>
      <c r="I62" s="187">
        <v>15</v>
      </c>
      <c r="J62" s="189">
        <f t="shared" si="4"/>
        <v>1.1033062410356368E-3</v>
      </c>
      <c r="K62" s="187">
        <f t="shared" si="0"/>
        <v>525000</v>
      </c>
      <c r="L62" s="191">
        <f t="shared" si="6"/>
        <v>38465.427965635368</v>
      </c>
      <c r="M62" s="187">
        <f t="shared" si="2"/>
        <v>576981.41948453058</v>
      </c>
      <c r="N62" s="187">
        <f t="shared" si="3"/>
        <v>-3465.4279656353683</v>
      </c>
      <c r="O62" s="187">
        <f t="shared" si="5"/>
        <v>-51981.419484530576</v>
      </c>
      <c r="P62" s="187"/>
    </row>
    <row r="63" spans="1:16" s="186" customFormat="1" x14ac:dyDescent="0.35">
      <c r="A63" s="186" t="s">
        <v>3904</v>
      </c>
      <c r="B63" s="187">
        <f>_xlfn.IFNA(_xlfn.XLOOKUP(A63,'Price list'!G:G,'Price list'!H:H),0)</f>
        <v>35000</v>
      </c>
      <c r="C63" s="186" t="s">
        <v>9</v>
      </c>
      <c r="E63" s="187"/>
      <c r="F63" s="187"/>
      <c r="G63" s="187" t="s">
        <v>1028</v>
      </c>
      <c r="H63" s="187" t="str">
        <f>IF(G63=0,"",_xlfn.XLOOKUP(G63,List_item!A:A,List_item!B:B))</f>
        <v>Karkas Uk 1.2 Karkas Uk 1.2 Frozen Grade A</v>
      </c>
      <c r="I63" s="187">
        <v>122.2</v>
      </c>
      <c r="J63" s="189">
        <f t="shared" si="4"/>
        <v>8.988268176970321E-3</v>
      </c>
      <c r="K63" s="187">
        <f t="shared" si="0"/>
        <v>4277000</v>
      </c>
      <c r="L63" s="191">
        <f t="shared" si="6"/>
        <v>38465.427965635368</v>
      </c>
      <c r="M63" s="187">
        <f t="shared" si="2"/>
        <v>4700475.2974006422</v>
      </c>
      <c r="N63" s="187">
        <f t="shared" si="3"/>
        <v>-3465.4279656353683</v>
      </c>
      <c r="O63" s="187">
        <f t="shared" si="5"/>
        <v>-423475.29740064219</v>
      </c>
      <c r="P63" s="187"/>
    </row>
    <row r="64" spans="1:16" s="186" customFormat="1" x14ac:dyDescent="0.35">
      <c r="A64" s="186" t="s">
        <v>3905</v>
      </c>
      <c r="B64" s="187">
        <f>_xlfn.IFNA(_xlfn.XLOOKUP(A64,'Price list'!G:G,'Price list'!H:H),0)</f>
        <v>35000</v>
      </c>
      <c r="C64" s="186" t="s">
        <v>9</v>
      </c>
      <c r="E64" s="187"/>
      <c r="F64" s="187"/>
      <c r="G64" s="187" t="s">
        <v>1094</v>
      </c>
      <c r="H64" s="187" t="str">
        <f>IF(G64=0,"",_xlfn.XLOOKUP(G64,List_item!A:A,List_item!B:B))</f>
        <v>Karkas Uk 1.3 Karkas Uk 1.3 Frozen Grade A</v>
      </c>
      <c r="I64" s="187">
        <v>78</v>
      </c>
      <c r="J64" s="189">
        <f t="shared" ref="J64" si="7">IF(F64/J$5&gt;0,F64/J$5,I64/J$5)</f>
        <v>5.7371924533853114E-3</v>
      </c>
      <c r="K64" s="187">
        <f t="shared" ref="K64" si="8">+B64*(F64+I64)</f>
        <v>2730000</v>
      </c>
      <c r="L64" s="191">
        <f t="shared" si="6"/>
        <v>38465.427965635368</v>
      </c>
      <c r="M64" s="187">
        <f t="shared" ref="M64" si="9">+L64*(F64+I64)</f>
        <v>3000303.3813195587</v>
      </c>
      <c r="N64" s="187">
        <f t="shared" ref="N64" si="10">IF(L64=0,0,B64-L64)</f>
        <v>-3465.4279656353683</v>
      </c>
      <c r="O64" s="187">
        <f t="shared" ref="O64" si="11">+K64-M64</f>
        <v>-270303.38131955871</v>
      </c>
      <c r="P64" s="187"/>
    </row>
    <row r="65" spans="1:16" s="186" customFormat="1" x14ac:dyDescent="0.35">
      <c r="A65" s="186" t="s">
        <v>3906</v>
      </c>
      <c r="B65" s="187">
        <f>_xlfn.IFNA(_xlfn.XLOOKUP(A65,'Price list'!G:G,'Price list'!H:H),0)</f>
        <v>35000</v>
      </c>
      <c r="C65" s="186" t="s">
        <v>9</v>
      </c>
      <c r="E65" s="187"/>
      <c r="F65" s="187"/>
      <c r="G65" s="187" t="s">
        <v>1160</v>
      </c>
      <c r="H65" s="187" t="str">
        <f>IF(G65=0,"",_xlfn.XLOOKUP(G65,List_item!A:A,List_item!B:B))</f>
        <v>Karkas Uk 1.4 Karkas Uk 1.4 Frozen Grade A</v>
      </c>
      <c r="I65" s="187">
        <v>42.5</v>
      </c>
      <c r="J65" s="189">
        <f t="shared" si="4"/>
        <v>3.1260343496009708E-3</v>
      </c>
      <c r="K65" s="187">
        <f t="shared" si="0"/>
        <v>1487500</v>
      </c>
      <c r="L65" s="191">
        <f t="shared" si="6"/>
        <v>38465.427965635368</v>
      </c>
      <c r="M65" s="187">
        <f t="shared" si="2"/>
        <v>1634780.6885395031</v>
      </c>
      <c r="N65" s="187">
        <f t="shared" si="3"/>
        <v>-3465.4279656353683</v>
      </c>
      <c r="O65" s="187">
        <f t="shared" si="5"/>
        <v>-147280.68853950314</v>
      </c>
      <c r="P65" s="187"/>
    </row>
    <row r="66" spans="1:16" s="186" customFormat="1" x14ac:dyDescent="0.35">
      <c r="A66" s="186" t="s">
        <v>3907</v>
      </c>
      <c r="B66" s="187">
        <f>_xlfn.IFNA(_xlfn.XLOOKUP(A66,'Price list'!G:G,'Price list'!H:H),0)</f>
        <v>35000</v>
      </c>
      <c r="C66" s="186" t="s">
        <v>9</v>
      </c>
      <c r="E66" s="187"/>
      <c r="F66" s="187"/>
      <c r="G66" s="187" t="s">
        <v>1225</v>
      </c>
      <c r="H66" s="187" t="str">
        <f>IF(G66=0,"",_xlfn.XLOOKUP(G66,List_item!A:A,List_item!B:B))</f>
        <v>Karkas Uk 1.5 Karkas Uk 1.5 Frozen Grade A</v>
      </c>
      <c r="I66" s="187">
        <v>10.9</v>
      </c>
      <c r="J66" s="189">
        <f t="shared" si="4"/>
        <v>8.0173586848589608E-4</v>
      </c>
      <c r="K66" s="187">
        <f t="shared" si="0"/>
        <v>381500</v>
      </c>
      <c r="L66" s="191">
        <f t="shared" si="6"/>
        <v>38465.427965635368</v>
      </c>
      <c r="M66" s="187">
        <f t="shared" si="2"/>
        <v>419273.16482542554</v>
      </c>
      <c r="N66" s="187">
        <f t="shared" si="3"/>
        <v>-3465.4279656353683</v>
      </c>
      <c r="O66" s="187">
        <f t="shared" si="5"/>
        <v>-37773.164825425541</v>
      </c>
      <c r="P66" s="187"/>
    </row>
    <row r="67" spans="1:16" s="186" customFormat="1" x14ac:dyDescent="0.35">
      <c r="A67" s="186" t="s">
        <v>3908</v>
      </c>
      <c r="B67" s="187">
        <f>_xlfn.IFNA(_xlfn.XLOOKUP(A67,'Price list'!G:G,'Price list'!H:H),0)</f>
        <v>35000</v>
      </c>
      <c r="C67" s="186" t="s">
        <v>9</v>
      </c>
      <c r="E67" s="187"/>
      <c r="F67" s="187"/>
      <c r="G67" s="187" t="s">
        <v>1291</v>
      </c>
      <c r="H67" s="187" t="str">
        <f>IF(G67=0,"",_xlfn.XLOOKUP(G67,List_item!A:A,List_item!B:B))</f>
        <v>Karkas Uk 1.6 Karkas Uk 1.6 Frozen Grade A</v>
      </c>
      <c r="I67" s="187">
        <v>6.7</v>
      </c>
      <c r="J67" s="189">
        <f t="shared" si="4"/>
        <v>4.9281012099591781E-4</v>
      </c>
      <c r="K67" s="187">
        <f t="shared" si="0"/>
        <v>234500</v>
      </c>
      <c r="L67" s="191">
        <f t="shared" si="6"/>
        <v>38465.427965635368</v>
      </c>
      <c r="M67" s="187">
        <f t="shared" si="2"/>
        <v>257718.36736975698</v>
      </c>
      <c r="N67" s="187">
        <f t="shared" si="3"/>
        <v>-3465.4279656353683</v>
      </c>
      <c r="O67" s="187">
        <f t="shared" si="5"/>
        <v>-23218.367369756976</v>
      </c>
      <c r="P67" s="187"/>
    </row>
    <row r="68" spans="1:16" x14ac:dyDescent="0.35">
      <c r="A68" t="s">
        <v>3909</v>
      </c>
      <c r="B68" s="3">
        <f>_xlfn.IFNA(_xlfn.XLOOKUP(A68,'Price list'!G:G,'Price list'!H:H),0)</f>
        <v>35000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6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6" x14ac:dyDescent="0.35">
      <c r="A69" t="s">
        <v>3945</v>
      </c>
      <c r="B69" s="3">
        <f>_xlfn.IFNA(_xlfn.XLOOKUP(A69,'Price list'!G:G,'Price list'!H:H),0)</f>
        <v>35000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6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6" x14ac:dyDescent="0.35">
      <c r="A70" t="s">
        <v>3911</v>
      </c>
      <c r="B70" s="3">
        <f>_xlfn.IFNA(_xlfn.XLOOKUP(A70,'Price list'!G:G,'Price list'!H:H),0)</f>
        <v>35000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6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6" x14ac:dyDescent="0.35">
      <c r="A71" t="s">
        <v>3912</v>
      </c>
      <c r="B71" s="3">
        <f>_xlfn.IFNA(_xlfn.XLOOKUP(A71,'Price list'!G:G,'Price list'!H:H),0)</f>
        <v>35000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6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6" x14ac:dyDescent="0.35">
      <c r="A72" t="s">
        <v>3913</v>
      </c>
      <c r="B72" s="3">
        <f>_xlfn.IFNA(_xlfn.XLOOKUP(A72,'Price list'!G:G,'Price list'!H:H),0)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6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6" x14ac:dyDescent="0.35">
      <c r="A73" t="s">
        <v>3914</v>
      </c>
      <c r="B73" s="3">
        <f>_xlfn.IFNA(_xlfn.XLOOKUP(A73,'Price list'!G:G,'Price list'!H:H),0)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6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6" x14ac:dyDescent="0.35">
      <c r="A74" t="s">
        <v>3915</v>
      </c>
      <c r="B74" s="3">
        <f>_xlfn.IFNA(_xlfn.XLOOKUP(A74,'Price list'!G:G,'Price list'!H:H),0)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6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6" x14ac:dyDescent="0.35">
      <c r="A75" t="s">
        <v>3916</v>
      </c>
      <c r="B75" s="3">
        <f>_xlfn.IFNA(_xlfn.XLOOKUP(A75,'Price list'!G:G,'Price list'!H:H),0)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ref="L75:L83" si="12">IFERROR(((K75/SUM($K$11:$K$83))*$F$10)/(F75+I75),0)</f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6" x14ac:dyDescent="0.35">
      <c r="A76" t="s">
        <v>3917</v>
      </c>
      <c r="B76" s="3">
        <f>_xlfn.IFNA(_xlfn.XLOOKUP(A76,'Price list'!G:G,'Price list'!H:H),0)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si="0"/>
        <v>0</v>
      </c>
      <c r="L76" s="27">
        <f t="shared" si="12"/>
        <v>0</v>
      </c>
      <c r="M76" s="3">
        <f t="shared" si="2"/>
        <v>0</v>
      </c>
      <c r="N76" s="3">
        <f t="shared" si="3"/>
        <v>0</v>
      </c>
      <c r="O76" s="3">
        <f t="shared" si="5"/>
        <v>0</v>
      </c>
      <c r="P76" s="3"/>
    </row>
    <row r="77" spans="1:16" x14ac:dyDescent="0.35">
      <c r="A77" t="s">
        <v>3918</v>
      </c>
      <c r="B77" s="3">
        <f>_xlfn.IFNA(_xlfn.XLOOKUP(A77,'Price list'!G:G,'Price list'!H:H),0)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4"/>
        <v>0</v>
      </c>
      <c r="K77" s="3">
        <f t="shared" si="0"/>
        <v>0</v>
      </c>
      <c r="L77" s="27">
        <f t="shared" si="12"/>
        <v>0</v>
      </c>
      <c r="M77" s="3">
        <f t="shared" si="2"/>
        <v>0</v>
      </c>
      <c r="N77" s="3">
        <f t="shared" si="3"/>
        <v>0</v>
      </c>
      <c r="O77" s="3">
        <f t="shared" si="5"/>
        <v>0</v>
      </c>
      <c r="P77" s="3"/>
    </row>
    <row r="78" spans="1:16" x14ac:dyDescent="0.35">
      <c r="A78" t="s">
        <v>3919</v>
      </c>
      <c r="B78" s="3">
        <f>_xlfn.IFNA(_xlfn.XLOOKUP(A78,'Price list'!G:G,'Price list'!H:H),0)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4"/>
        <v>0</v>
      </c>
      <c r="K78" s="3">
        <f t="shared" si="0"/>
        <v>0</v>
      </c>
      <c r="L78" s="27">
        <f t="shared" si="12"/>
        <v>0</v>
      </c>
      <c r="M78" s="3">
        <f t="shared" si="2"/>
        <v>0</v>
      </c>
      <c r="N78" s="3">
        <f t="shared" si="3"/>
        <v>0</v>
      </c>
      <c r="O78" s="3">
        <f t="shared" si="5"/>
        <v>0</v>
      </c>
      <c r="P78" s="3"/>
    </row>
    <row r="79" spans="1:16" x14ac:dyDescent="0.35">
      <c r="A79" t="s">
        <v>3920</v>
      </c>
      <c r="B79" s="3">
        <f>_xlfn.IFNA(_xlfn.XLOOKUP(A79,'Price list'!G:G,'Price list'!H:H),0)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4"/>
        <v>0</v>
      </c>
      <c r="K79" s="3">
        <f t="shared" ref="K79:K83" si="13">+B79*(F79+I79)</f>
        <v>0</v>
      </c>
      <c r="L79" s="27">
        <f t="shared" si="12"/>
        <v>0</v>
      </c>
      <c r="M79" s="3">
        <f t="shared" ref="M79:M83" si="14">+L79*(F79+I79)</f>
        <v>0</v>
      </c>
      <c r="N79" s="3">
        <f t="shared" ref="N79:N83" si="15">IF(L79=0,0,B79-L79)</f>
        <v>0</v>
      </c>
      <c r="O79" s="3">
        <f t="shared" si="5"/>
        <v>0</v>
      </c>
      <c r="P79" s="3"/>
    </row>
    <row r="80" spans="1:16" x14ac:dyDescent="0.35">
      <c r="A80" t="s">
        <v>3921</v>
      </c>
      <c r="B80" s="3">
        <f>_xlfn.IFNA(_xlfn.XLOOKUP(A80,'Price list'!G:G,'Price list'!H:H),0)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ref="J80:J83" si="16">IF(F80/J$5&gt;0,F80/J$5,I80/J$5)</f>
        <v>0</v>
      </c>
      <c r="K80" s="3">
        <f t="shared" si="13"/>
        <v>0</v>
      </c>
      <c r="L80" s="27">
        <f t="shared" si="12"/>
        <v>0</v>
      </c>
      <c r="M80" s="3">
        <f t="shared" si="14"/>
        <v>0</v>
      </c>
      <c r="N80" s="3">
        <f t="shared" si="15"/>
        <v>0</v>
      </c>
      <c r="O80" s="3">
        <f t="shared" ref="O80:O83" si="17">+K80-M80</f>
        <v>0</v>
      </c>
      <c r="P80" s="3"/>
    </row>
    <row r="81" spans="1:18" x14ac:dyDescent="0.35">
      <c r="A81" t="s">
        <v>3922</v>
      </c>
      <c r="B81" s="3">
        <f>_xlfn.IFNA(_xlfn.XLOOKUP(A81,'Price list'!G:G,'Price list'!H:H),0)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16"/>
        <v>0</v>
      </c>
      <c r="K81" s="3">
        <f t="shared" si="13"/>
        <v>0</v>
      </c>
      <c r="L81" s="27">
        <f t="shared" si="12"/>
        <v>0</v>
      </c>
      <c r="M81" s="3">
        <f t="shared" si="14"/>
        <v>0</v>
      </c>
      <c r="N81" s="3">
        <f t="shared" si="15"/>
        <v>0</v>
      </c>
      <c r="O81" s="3">
        <f t="shared" si="17"/>
        <v>0</v>
      </c>
      <c r="P81" s="3"/>
    </row>
    <row r="82" spans="1:18" x14ac:dyDescent="0.35">
      <c r="A82" t="s">
        <v>3923</v>
      </c>
      <c r="B82" s="3">
        <f>_xlfn.IFNA(_xlfn.XLOOKUP(A82,'Price list'!G:G,'Price list'!H:H),0)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3">
        <v>0</v>
      </c>
      <c r="J82" s="26">
        <f t="shared" si="16"/>
        <v>0</v>
      </c>
      <c r="K82" s="3">
        <f t="shared" si="13"/>
        <v>0</v>
      </c>
      <c r="L82" s="27">
        <f t="shared" si="12"/>
        <v>0</v>
      </c>
      <c r="M82" s="3">
        <f t="shared" si="14"/>
        <v>0</v>
      </c>
      <c r="N82" s="3">
        <f t="shared" si="15"/>
        <v>0</v>
      </c>
      <c r="O82" s="3">
        <f t="shared" si="17"/>
        <v>0</v>
      </c>
      <c r="P82" s="3"/>
    </row>
    <row r="83" spans="1:18" x14ac:dyDescent="0.35">
      <c r="A83" t="s">
        <v>3924</v>
      </c>
      <c r="B83" s="3">
        <f>_xlfn.IFNA(_xlfn.XLOOKUP(A83,'Price list'!G:G,'Price list'!H:H),0)</f>
        <v>0</v>
      </c>
      <c r="C83" t="s">
        <v>9</v>
      </c>
      <c r="E83" s="3"/>
      <c r="F83" s="3"/>
      <c r="G83" s="3"/>
      <c r="H83" s="3" t="str">
        <f>IF(G83=0,"",_xlfn.XLOOKUP(G83,List_item!A:A,List_item!B:B))</f>
        <v/>
      </c>
      <c r="I83" s="3">
        <v>0</v>
      </c>
      <c r="J83" s="26">
        <f t="shared" si="16"/>
        <v>0</v>
      </c>
      <c r="K83" s="3">
        <f t="shared" si="13"/>
        <v>0</v>
      </c>
      <c r="L83" s="27">
        <f t="shared" si="12"/>
        <v>0</v>
      </c>
      <c r="M83" s="3">
        <f t="shared" si="14"/>
        <v>0</v>
      </c>
      <c r="N83" s="3">
        <f t="shared" si="15"/>
        <v>0</v>
      </c>
      <c r="O83" s="3">
        <f t="shared" si="17"/>
        <v>0</v>
      </c>
      <c r="P83" s="3"/>
    </row>
    <row r="86" spans="1:18" s="2" customFormat="1" x14ac:dyDescent="0.35">
      <c r="A86" t="s">
        <v>3929</v>
      </c>
      <c r="B86"/>
      <c r="C86"/>
      <c r="D86"/>
      <c r="E86"/>
      <c r="F86" s="117"/>
      <c r="G86" t="s">
        <v>3930</v>
      </c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/>
      <c r="B89"/>
      <c r="C89"/>
      <c r="D89"/>
      <c r="E89"/>
      <c r="F89" s="117"/>
      <c r="G89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  <row r="91" spans="1:18" s="2" customFormat="1" x14ac:dyDescent="0.35">
      <c r="A91"/>
      <c r="B91"/>
      <c r="C91"/>
      <c r="D91"/>
      <c r="E91"/>
      <c r="F91" s="117"/>
      <c r="G91"/>
      <c r="Q91"/>
      <c r="R91"/>
    </row>
    <row r="92" spans="1:18" s="2" customFormat="1" x14ac:dyDescent="0.35">
      <c r="A92" s="118"/>
      <c r="B92"/>
      <c r="C92"/>
      <c r="D92"/>
      <c r="E92"/>
      <c r="F92" s="117"/>
      <c r="G92" s="118"/>
      <c r="Q92"/>
      <c r="R92"/>
    </row>
    <row r="93" spans="1:18" s="2" customFormat="1" x14ac:dyDescent="0.35">
      <c r="A93"/>
      <c r="B93"/>
      <c r="C93"/>
      <c r="D93"/>
      <c r="E93"/>
      <c r="F93" s="117"/>
      <c r="G93"/>
      <c r="Q93"/>
      <c r="R93"/>
    </row>
  </sheetData>
  <autoFilter ref="A10:P83" xr:uid="{9E3D57EB-0D9F-40FE-B4FE-C94EEFF00F8F}"/>
  <conditionalFormatting sqref="O10">
    <cfRule type="cellIs" dxfId="1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rowBreaks count="1" manualBreakCount="1">
    <brk id="68" max="1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E1E8-664A-4FD3-90C6-86F45341FC9E}">
  <sheetPr>
    <tabColor theme="3"/>
    <pageSetUpPr fitToPage="1"/>
  </sheetPr>
  <dimension ref="A1:R95"/>
  <sheetViews>
    <sheetView view="pageBreakPreview" zoomScale="60" zoomScaleNormal="80" workbookViewId="0">
      <pane xSplit="3" ySplit="9" topLeftCell="D25" activePane="bottomRight" state="frozen"/>
      <selection activeCell="A751" sqref="A751"/>
      <selection pane="topRight" activeCell="A751" sqref="A751"/>
      <selection pane="bottomLeft" activeCell="A751" sqref="A751"/>
      <selection pane="bottomRight" activeCell="A50" sqref="A50:XFD50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2.269531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s="18" t="s">
        <v>3865</v>
      </c>
      <c r="G2" s="19" t="s">
        <v>3943</v>
      </c>
    </row>
    <row r="3" spans="1:18" x14ac:dyDescent="0.35">
      <c r="A3" s="101" t="s">
        <v>3866</v>
      </c>
      <c r="B3" s="2">
        <v>336340000</v>
      </c>
      <c r="C3" s="19">
        <f>B3*0.25%</f>
        <v>840850</v>
      </c>
      <c r="E3" s="157"/>
      <c r="F3" s="157"/>
      <c r="G3" s="156" t="s">
        <v>4043</v>
      </c>
      <c r="H3" s="157" t="s">
        <v>4044</v>
      </c>
      <c r="I3" s="101" t="s">
        <v>3870</v>
      </c>
      <c r="J3" s="2" t="s">
        <v>3950</v>
      </c>
      <c r="Q3" s="25"/>
      <c r="R3" s="2"/>
    </row>
    <row r="4" spans="1:18" x14ac:dyDescent="0.35">
      <c r="A4" s="101" t="s">
        <v>3867</v>
      </c>
      <c r="B4" s="2">
        <v>13200000</v>
      </c>
      <c r="E4" s="157"/>
      <c r="F4" s="157"/>
      <c r="G4" s="157"/>
      <c r="H4" s="157" t="s">
        <v>4042</v>
      </c>
      <c r="I4" s="101" t="s">
        <v>3872</v>
      </c>
      <c r="J4" s="115">
        <v>46282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17943910</v>
      </c>
      <c r="C5" s="2">
        <v>19917760</v>
      </c>
      <c r="E5" s="157"/>
      <c r="F5" s="157"/>
      <c r="G5" s="157" t="s">
        <v>4119</v>
      </c>
      <c r="H5" s="157" t="s">
        <v>4041</v>
      </c>
      <c r="I5" s="101" t="s">
        <v>3944</v>
      </c>
      <c r="J5" s="19">
        <f>3300*3+3500</f>
        <v>13400</v>
      </c>
      <c r="K5" s="2">
        <v>12448.6</v>
      </c>
      <c r="L5" s="2">
        <f>J5-K5</f>
        <v>951.39999999999964</v>
      </c>
      <c r="M5" s="147">
        <f>L5/J5</f>
        <v>7.0999999999999966E-2</v>
      </c>
      <c r="N5" s="2">
        <f>9+10+16+32</f>
        <v>67</v>
      </c>
      <c r="O5" s="2">
        <f>12.8+14+25.3+53.8</f>
        <v>105.9</v>
      </c>
    </row>
    <row r="6" spans="1:18" x14ac:dyDescent="0.35">
      <c r="A6" s="102" t="s">
        <v>3869</v>
      </c>
      <c r="B6" s="19">
        <f>SUM(B3:B5)</f>
        <v>367483910</v>
      </c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SUM(K11:K71)/M10-1</f>
        <v>-7.9643786308902897E-2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367483910</v>
      </c>
      <c r="G10" s="5"/>
      <c r="H10" s="5"/>
      <c r="I10" s="5">
        <f>SUM(I11:I85)</f>
        <v>10867.019999999999</v>
      </c>
      <c r="J10" s="111">
        <f>SUM(J11:J85)</f>
        <v>0.81097164179104453</v>
      </c>
      <c r="K10" s="5">
        <f>+SUM(K11:K85)</f>
        <v>338216100</v>
      </c>
      <c r="L10" s="5"/>
      <c r="M10" s="5">
        <f>+SUM(M11:M85)</f>
        <v>367483910.00000012</v>
      </c>
      <c r="N10" s="5"/>
      <c r="O10" s="5">
        <f>+SUM(O11:O85)</f>
        <v>-29267810</v>
      </c>
    </row>
    <row r="11" spans="1:18" x14ac:dyDescent="0.35">
      <c r="A11" t="s">
        <v>3873</v>
      </c>
      <c r="B11" s="3">
        <f>_xlfn.IFNA(_xlfn.XLOOKUP(A11,'Price list'!G:G,'Price list'!H:H),0)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80" si="0">+B11*(F11+I11)</f>
        <v>0</v>
      </c>
      <c r="L11" s="27">
        <f t="shared" ref="L11:L42" si="1">IFERROR(((K11/SUM($K$11:$K$85))*$F$10)/(F11+I11),0)</f>
        <v>0</v>
      </c>
      <c r="M11" s="3">
        <f t="shared" ref="M11:M80" si="2">+L11*(F11+I11)</f>
        <v>0</v>
      </c>
      <c r="N11" s="3">
        <f t="shared" ref="N11:N80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list'!G:G,'Price list'!H:H),0)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81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81" si="5">+K12-M12</f>
        <v>0</v>
      </c>
      <c r="P12" s="3"/>
      <c r="R12" s="3"/>
    </row>
    <row r="13" spans="1:18" x14ac:dyDescent="0.35">
      <c r="A13" t="s">
        <v>3875</v>
      </c>
      <c r="B13" s="3">
        <f>_xlfn.IFNA(_xlfn.XLOOKUP(A13,'Price list'!G:G,'Price list'!H:H),0)</f>
        <v>36500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si="4"/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si="5"/>
        <v>0</v>
      </c>
      <c r="P13" s="3"/>
    </row>
    <row r="14" spans="1:18" s="186" customFormat="1" x14ac:dyDescent="0.35">
      <c r="A14" s="186" t="s">
        <v>3876</v>
      </c>
      <c r="B14" s="187">
        <f>_xlfn.IFNA(_xlfn.XLOOKUP(A14,'Price list'!G:G,'Price list'!H:H),0)</f>
        <v>36500</v>
      </c>
      <c r="C14" s="186" t="s">
        <v>9</v>
      </c>
      <c r="E14" s="187"/>
      <c r="F14" s="187"/>
      <c r="G14" s="187" t="s">
        <v>2220</v>
      </c>
      <c r="H14" s="187" t="str">
        <f>IF(G14=0,"",_xlfn.XLOOKUP(G14,List_item!A:A,List_item!B:B))</f>
        <v>Karkas Uk 0.6 Karkas Uk 0.6 Frozen Premium</v>
      </c>
      <c r="I14" s="187">
        <v>29.9</v>
      </c>
      <c r="J14" s="189">
        <f t="shared" si="4"/>
        <v>2.2313432835820894E-3</v>
      </c>
      <c r="K14" s="187">
        <f t="shared" si="0"/>
        <v>1091350</v>
      </c>
      <c r="L14" s="191">
        <f t="shared" si="1"/>
        <v>39658.557694326206</v>
      </c>
      <c r="M14" s="187">
        <f t="shared" si="2"/>
        <v>1185790.8750603534</v>
      </c>
      <c r="N14" s="187">
        <f t="shared" si="3"/>
        <v>-3158.5576943262058</v>
      </c>
      <c r="O14" s="187">
        <f t="shared" si="5"/>
        <v>-94440.875060353428</v>
      </c>
      <c r="P14" s="187"/>
    </row>
    <row r="15" spans="1:18" s="186" customFormat="1" x14ac:dyDescent="0.35">
      <c r="A15" s="186" t="s">
        <v>3877</v>
      </c>
      <c r="B15" s="187">
        <f>_xlfn.IFNA(_xlfn.XLOOKUP(A15,'Price list'!G:G,'Price list'!H:H),0)</f>
        <v>36500</v>
      </c>
      <c r="C15" s="186" t="s">
        <v>9</v>
      </c>
      <c r="E15" s="187"/>
      <c r="F15" s="187"/>
      <c r="G15" s="187" t="s">
        <v>2221</v>
      </c>
      <c r="H15" s="187" t="str">
        <f>IF(G15=0,"",_xlfn.XLOOKUP(G15,List_item!A:A,List_item!B:B))</f>
        <v>Karkas Uk 0.7 Karkas Uk 0.7 Frozen Premium</v>
      </c>
      <c r="I15" s="187">
        <v>218.7</v>
      </c>
      <c r="J15" s="189">
        <f t="shared" si="4"/>
        <v>1.6320895522388058E-2</v>
      </c>
      <c r="K15" s="187">
        <f t="shared" si="0"/>
        <v>7982550</v>
      </c>
      <c r="L15" s="191">
        <f t="shared" si="1"/>
        <v>39658.557694326206</v>
      </c>
      <c r="M15" s="187">
        <f t="shared" si="2"/>
        <v>8673326.5677491408</v>
      </c>
      <c r="N15" s="187">
        <f t="shared" si="3"/>
        <v>-3158.5576943262058</v>
      </c>
      <c r="O15" s="187">
        <f t="shared" si="5"/>
        <v>-690776.56774914078</v>
      </c>
      <c r="P15" s="187"/>
    </row>
    <row r="16" spans="1:18" s="186" customFormat="1" x14ac:dyDescent="0.35">
      <c r="A16" s="186" t="s">
        <v>3878</v>
      </c>
      <c r="B16" s="187">
        <f>_xlfn.IFNA(_xlfn.XLOOKUP(A16,'Price list'!G:G,'Price list'!H:H),0)</f>
        <v>36500</v>
      </c>
      <c r="C16" s="186" t="s">
        <v>9</v>
      </c>
      <c r="E16" s="187"/>
      <c r="F16" s="187"/>
      <c r="G16" s="187" t="s">
        <v>2222</v>
      </c>
      <c r="H16" s="187" t="str">
        <f>IF(G16=0,"",_xlfn.XLOOKUP(G16,List_item!A:A,List_item!B:B))</f>
        <v>Karkas Uk 0.8 Frozen Premium</v>
      </c>
      <c r="I16" s="187">
        <v>404.5</v>
      </c>
      <c r="J16" s="189">
        <f t="shared" si="4"/>
        <v>3.0186567164179105E-2</v>
      </c>
      <c r="K16" s="187">
        <f t="shared" si="0"/>
        <v>14764250</v>
      </c>
      <c r="L16" s="191">
        <f t="shared" si="1"/>
        <v>39658.557694326199</v>
      </c>
      <c r="M16" s="187">
        <f t="shared" si="2"/>
        <v>16041886.587354947</v>
      </c>
      <c r="N16" s="187">
        <f t="shared" si="3"/>
        <v>-3158.5576943261985</v>
      </c>
      <c r="O16" s="187">
        <f t="shared" si="5"/>
        <v>-1277636.5873549469</v>
      </c>
      <c r="P16" s="187"/>
    </row>
    <row r="17" spans="1:16" s="186" customFormat="1" x14ac:dyDescent="0.35">
      <c r="A17" s="186" t="s">
        <v>3879</v>
      </c>
      <c r="B17" s="187">
        <f>_xlfn.IFNA(_xlfn.XLOOKUP(A17,'Price list'!G:G,'Price list'!H:H),0)</f>
        <v>36500</v>
      </c>
      <c r="C17" s="186" t="s">
        <v>9</v>
      </c>
      <c r="E17" s="187"/>
      <c r="F17" s="187"/>
      <c r="G17" s="187" t="s">
        <v>2223</v>
      </c>
      <c r="H17" s="187" t="str">
        <f>IF(G17=0,"",_xlfn.XLOOKUP(G17,List_item!A:A,List_item!B:B))</f>
        <v>Karkas Uk 0.9 Frozen Premium</v>
      </c>
      <c r="I17" s="187">
        <v>153.69999999999999</v>
      </c>
      <c r="J17" s="189">
        <f t="shared" si="4"/>
        <v>1.1470149253731342E-2</v>
      </c>
      <c r="K17" s="187">
        <f t="shared" si="0"/>
        <v>5610050</v>
      </c>
      <c r="L17" s="191">
        <f t="shared" si="1"/>
        <v>39658.557694326206</v>
      </c>
      <c r="M17" s="187">
        <f t="shared" si="2"/>
        <v>6095520.317617937</v>
      </c>
      <c r="N17" s="187">
        <f t="shared" si="3"/>
        <v>-3158.5576943262058</v>
      </c>
      <c r="O17" s="187">
        <f t="shared" si="5"/>
        <v>-485470.31761793699</v>
      </c>
      <c r="P17" s="187"/>
    </row>
    <row r="18" spans="1:16" s="186" customFormat="1" x14ac:dyDescent="0.35">
      <c r="A18" s="186" t="s">
        <v>3879</v>
      </c>
      <c r="B18" s="187">
        <f>_xlfn.IFNA(_xlfn.XLOOKUP(A18,'Price list'!G:G,'Price list'!H:H),0)</f>
        <v>36500</v>
      </c>
      <c r="C18" s="186" t="s">
        <v>9</v>
      </c>
      <c r="E18" s="187"/>
      <c r="F18" s="187"/>
      <c r="G18" s="187" t="s">
        <v>826</v>
      </c>
      <c r="H18" s="187" t="str">
        <f>IF(G18=0,"",_xlfn.XLOOKUP(G18,List_item!A:A,List_item!B:B))</f>
        <v>Karkas Uk 0.9 Karkas Uk 0.9 Fresh Premium</v>
      </c>
      <c r="I18" s="187">
        <v>1559.8</v>
      </c>
      <c r="J18" s="189">
        <f t="shared" ref="J18" si="6">IF(F18/J$5&gt;0,F18/J$5,I18/J$5)</f>
        <v>0.11640298507462686</v>
      </c>
      <c r="K18" s="187">
        <f t="shared" ref="K18" si="7">+B18*(F18+I18)</f>
        <v>56932700</v>
      </c>
      <c r="L18" s="191">
        <f t="shared" si="1"/>
        <v>39658.557694326199</v>
      </c>
      <c r="M18" s="187">
        <f t="shared" ref="M18" si="8">+L18*(F18+I18)</f>
        <v>61859418.291610003</v>
      </c>
      <c r="N18" s="187">
        <f t="shared" ref="N18" si="9">IF(L18=0,0,B18-L18)</f>
        <v>-3158.5576943261985</v>
      </c>
      <c r="O18" s="187">
        <f t="shared" ref="O18" si="10">+K18-M18</f>
        <v>-4926718.2916100025</v>
      </c>
      <c r="P18" s="187"/>
    </row>
    <row r="19" spans="1:16" s="186" customFormat="1" x14ac:dyDescent="0.35">
      <c r="A19" s="186" t="s">
        <v>3880</v>
      </c>
      <c r="B19" s="187">
        <f>_xlfn.IFNA(_xlfn.XLOOKUP(A19,'Price list'!G:G,'Price list'!H:H),0)</f>
        <v>36500</v>
      </c>
      <c r="C19" s="186" t="s">
        <v>9</v>
      </c>
      <c r="E19" s="187"/>
      <c r="F19" s="187"/>
      <c r="G19" s="187" t="s">
        <v>891</v>
      </c>
      <c r="H19" s="187" t="str">
        <f>IF(G19=0,"",_xlfn.XLOOKUP(G19,List_item!A:A,List_item!B:B))</f>
        <v>Karkas Uk 1.0 Karkas Uk 1.0 Fresh Premium</v>
      </c>
      <c r="I19" s="187">
        <v>1413.7</v>
      </c>
      <c r="J19" s="189">
        <f t="shared" si="4"/>
        <v>0.1055</v>
      </c>
      <c r="K19" s="187">
        <f t="shared" si="0"/>
        <v>51600050</v>
      </c>
      <c r="L19" s="191">
        <f t="shared" si="1"/>
        <v>39658.557694326206</v>
      </c>
      <c r="M19" s="187">
        <f t="shared" si="2"/>
        <v>56065303.012468956</v>
      </c>
      <c r="N19" s="187">
        <f t="shared" si="3"/>
        <v>-3158.5576943262058</v>
      </c>
      <c r="O19" s="187">
        <f t="shared" si="5"/>
        <v>-4465253.0124689564</v>
      </c>
      <c r="P19" s="187"/>
    </row>
    <row r="20" spans="1:16" s="186" customFormat="1" x14ac:dyDescent="0.35">
      <c r="A20" s="186" t="s">
        <v>3880</v>
      </c>
      <c r="B20" s="187">
        <f>_xlfn.IFNA(_xlfn.XLOOKUP(A20,'Price list'!G:G,'Price list'!H:H),0)</f>
        <v>36500</v>
      </c>
      <c r="C20" s="186" t="s">
        <v>9</v>
      </c>
      <c r="E20" s="187"/>
      <c r="F20" s="187"/>
      <c r="G20" s="187" t="s">
        <v>923</v>
      </c>
      <c r="H20" s="187" t="str">
        <f>IF(G20=0,"",_xlfn.XLOOKUP(G20,List_item!A:A,List_item!B:B))</f>
        <v>Karkas Uk 1.0 Karkas Uk 1.0 Frozen Premium</v>
      </c>
      <c r="I20" s="187">
        <v>226.6</v>
      </c>
      <c r="J20" s="189">
        <f t="shared" ref="J20" si="11">IF(F20/J$5&gt;0,F20/J$5,I20/J$5)</f>
        <v>1.691044776119403E-2</v>
      </c>
      <c r="K20" s="187">
        <f t="shared" ref="K20" si="12">+B20*(F20+I20)</f>
        <v>8270900</v>
      </c>
      <c r="L20" s="191">
        <f t="shared" si="1"/>
        <v>39658.557694326199</v>
      </c>
      <c r="M20" s="187">
        <f t="shared" ref="M20" si="13">+L20*(F20+I20)</f>
        <v>8986629.1735343169</v>
      </c>
      <c r="N20" s="187">
        <f t="shared" ref="N20" si="14">IF(L20=0,0,B20-L20)</f>
        <v>-3158.5576943261985</v>
      </c>
      <c r="O20" s="187">
        <f t="shared" ref="O20" si="15">+K20-M20</f>
        <v>-715729.17353431694</v>
      </c>
      <c r="P20" s="187"/>
    </row>
    <row r="21" spans="1:16" s="186" customFormat="1" x14ac:dyDescent="0.35">
      <c r="A21" s="186" t="s">
        <v>3881</v>
      </c>
      <c r="B21" s="187">
        <f>_xlfn.IFNA(_xlfn.XLOOKUP(A21,'Price list'!G:G,'Price list'!H:H),0)</f>
        <v>36500</v>
      </c>
      <c r="C21" s="186" t="s">
        <v>9</v>
      </c>
      <c r="E21" s="187"/>
      <c r="F21" s="187"/>
      <c r="G21" s="187" t="s">
        <v>957</v>
      </c>
      <c r="H21" s="187" t="str">
        <f>IF(G21=0,"",_xlfn.XLOOKUP(G21,List_item!A:A,List_item!B:B))</f>
        <v>Karkas Uk 1.1 Karkas Uk 1.1 Fresh Premium</v>
      </c>
      <c r="I21" s="187">
        <v>1716.2</v>
      </c>
      <c r="J21" s="189">
        <f t="shared" si="4"/>
        <v>0.12807462686567164</v>
      </c>
      <c r="K21" s="187">
        <f t="shared" si="0"/>
        <v>62641300</v>
      </c>
      <c r="L21" s="191">
        <f t="shared" si="1"/>
        <v>39658.557694326199</v>
      </c>
      <c r="M21" s="187">
        <f t="shared" si="2"/>
        <v>68062016.715002626</v>
      </c>
      <c r="N21" s="187">
        <f t="shared" si="3"/>
        <v>-3158.5576943261985</v>
      </c>
      <c r="O21" s="187">
        <f t="shared" si="5"/>
        <v>-5420716.7150026262</v>
      </c>
      <c r="P21" s="187"/>
    </row>
    <row r="22" spans="1:16" s="186" customFormat="1" x14ac:dyDescent="0.35">
      <c r="A22" s="186" t="s">
        <v>3881</v>
      </c>
      <c r="B22" s="187">
        <f>_xlfn.IFNA(_xlfn.XLOOKUP(A22,'Price list'!G:G,'Price list'!H:H),0)</f>
        <v>36500</v>
      </c>
      <c r="C22" s="186" t="s">
        <v>9</v>
      </c>
      <c r="E22" s="187"/>
      <c r="F22" s="187"/>
      <c r="G22" s="187" t="s">
        <v>989</v>
      </c>
      <c r="H22" s="187" t="str">
        <f>IF(G22=0,"",_xlfn.XLOOKUP(G22,List_item!A:A,List_item!B:B))</f>
        <v>Karkas Uk 1.1 Karkas Uk 1.1 Frozen Premium</v>
      </c>
      <c r="I22" s="187">
        <v>106.9</v>
      </c>
      <c r="J22" s="189">
        <f t="shared" ref="J22" si="16">IF(F22/J$5&gt;0,F22/J$5,I22/J$5)</f>
        <v>7.9776119402985082E-3</v>
      </c>
      <c r="K22" s="187">
        <f t="shared" ref="K22" si="17">+B22*(F22+I22)</f>
        <v>3901850</v>
      </c>
      <c r="L22" s="191">
        <f t="shared" si="1"/>
        <v>39658.557694326199</v>
      </c>
      <c r="M22" s="187">
        <f t="shared" ref="M22" si="18">+L22*(F22+I22)</f>
        <v>4239499.8175234711</v>
      </c>
      <c r="N22" s="187">
        <f t="shared" ref="N22" si="19">IF(L22=0,0,B22-L22)</f>
        <v>-3158.5576943261985</v>
      </c>
      <c r="O22" s="187">
        <f t="shared" ref="O22" si="20">+K22-M22</f>
        <v>-337649.81752347108</v>
      </c>
      <c r="P22" s="187"/>
    </row>
    <row r="23" spans="1:16" s="186" customFormat="1" x14ac:dyDescent="0.35">
      <c r="A23" s="186" t="s">
        <v>3882</v>
      </c>
      <c r="B23" s="187">
        <f>_xlfn.IFNA(_xlfn.XLOOKUP(A23,'Price list'!G:G,'Price list'!H:H),0)</f>
        <v>36500</v>
      </c>
      <c r="C23" s="186" t="s">
        <v>9</v>
      </c>
      <c r="E23" s="187"/>
      <c r="F23" s="187"/>
      <c r="G23" s="187" t="s">
        <v>1023</v>
      </c>
      <c r="H23" s="187" t="str">
        <f>IF(G23=0,"",_xlfn.XLOOKUP(G23,List_item!A:A,List_item!B:B))</f>
        <v>Karkas Uk 1.2 Karkas Uk 1.2 Fresh Premium</v>
      </c>
      <c r="I23" s="187">
        <v>217.4</v>
      </c>
      <c r="J23" s="189">
        <f t="shared" si="4"/>
        <v>1.6223880597014927E-2</v>
      </c>
      <c r="K23" s="187">
        <f t="shared" si="0"/>
        <v>7935100</v>
      </c>
      <c r="L23" s="191">
        <f t="shared" si="1"/>
        <v>39658.557694326199</v>
      </c>
      <c r="M23" s="187">
        <f t="shared" si="2"/>
        <v>8621770.4427465163</v>
      </c>
      <c r="N23" s="187">
        <f t="shared" si="3"/>
        <v>-3158.5576943261985</v>
      </c>
      <c r="O23" s="187">
        <f t="shared" si="5"/>
        <v>-686670.44274651632</v>
      </c>
      <c r="P23" s="187"/>
    </row>
    <row r="24" spans="1:16" s="186" customFormat="1" x14ac:dyDescent="0.35">
      <c r="A24" s="186" t="s">
        <v>3882</v>
      </c>
      <c r="B24" s="187">
        <f>_xlfn.IFNA(_xlfn.XLOOKUP(A24,'Price list'!G:G,'Price list'!H:H),0)</f>
        <v>36500</v>
      </c>
      <c r="C24" s="186" t="s">
        <v>9</v>
      </c>
      <c r="E24" s="187"/>
      <c r="F24" s="187"/>
      <c r="G24" s="187" t="s">
        <v>1055</v>
      </c>
      <c r="H24" s="187" t="str">
        <f>IF(G24=0,"",_xlfn.XLOOKUP(G24,List_item!A:A,List_item!B:B))</f>
        <v>Karkas Uk 1.2 Karkas Uk 1.2 Frozen Premium</v>
      </c>
      <c r="I24" s="187">
        <v>630.4</v>
      </c>
      <c r="J24" s="189">
        <f t="shared" ref="J24" si="21">IF(F24/J$5&gt;0,F24/J$5,I24/J$5)</f>
        <v>4.7044776119402984E-2</v>
      </c>
      <c r="K24" s="187">
        <f t="shared" ref="K24" si="22">+B24*(F24+I24)</f>
        <v>23009600</v>
      </c>
      <c r="L24" s="191">
        <f t="shared" si="1"/>
        <v>39658.557694326206</v>
      </c>
      <c r="M24" s="187">
        <f t="shared" ref="M24" si="23">+L24*(F24+I24)</f>
        <v>25000754.770503238</v>
      </c>
      <c r="N24" s="187">
        <f t="shared" ref="N24" si="24">IF(L24=0,0,B24-L24)</f>
        <v>-3158.5576943262058</v>
      </c>
      <c r="O24" s="187">
        <f t="shared" ref="O24" si="25">+K24-M24</f>
        <v>-1991154.7705032378</v>
      </c>
      <c r="P24" s="187"/>
    </row>
    <row r="25" spans="1:16" s="186" customFormat="1" x14ac:dyDescent="0.35">
      <c r="A25" s="186" t="s">
        <v>3883</v>
      </c>
      <c r="B25" s="187">
        <f>_xlfn.IFNA(_xlfn.XLOOKUP(A25,'Price list'!G:G,'Price list'!H:H),0)</f>
        <v>36500</v>
      </c>
      <c r="C25" s="186" t="s">
        <v>9</v>
      </c>
      <c r="E25" s="187"/>
      <c r="F25" s="187"/>
      <c r="G25" s="187" t="s">
        <v>1121</v>
      </c>
      <c r="H25" s="187" t="str">
        <f>IF(G25=0,"",_xlfn.XLOOKUP(G25,List_item!A:A,List_item!B:B))</f>
        <v>Karkas Uk 1.3 Karkas Uk 1.3 Frozen Premium</v>
      </c>
      <c r="I25" s="187">
        <v>514.20000000000005</v>
      </c>
      <c r="J25" s="189">
        <f t="shared" si="4"/>
        <v>3.8373134328358212E-2</v>
      </c>
      <c r="K25" s="187">
        <f t="shared" si="0"/>
        <v>18768300</v>
      </c>
      <c r="L25" s="191">
        <f t="shared" si="1"/>
        <v>39658.557694326199</v>
      </c>
      <c r="M25" s="187">
        <f t="shared" si="2"/>
        <v>20392430.366422534</v>
      </c>
      <c r="N25" s="187">
        <f t="shared" si="3"/>
        <v>-3158.5576943261985</v>
      </c>
      <c r="O25" s="187">
        <f t="shared" si="5"/>
        <v>-1624130.366422534</v>
      </c>
      <c r="P25" s="187"/>
    </row>
    <row r="26" spans="1:16" s="186" customFormat="1" x14ac:dyDescent="0.35">
      <c r="A26" s="186" t="s">
        <v>3884</v>
      </c>
      <c r="B26" s="187">
        <f>_xlfn.IFNA(_xlfn.XLOOKUP(A26,'Price list'!G:G,'Price list'!H:H),0)</f>
        <v>36500</v>
      </c>
      <c r="C26" s="186" t="s">
        <v>9</v>
      </c>
      <c r="E26" s="187"/>
      <c r="F26" s="187"/>
      <c r="G26" s="187" t="s">
        <v>1155</v>
      </c>
      <c r="H26" s="187" t="str">
        <f>IF(G26=0,"",_xlfn.XLOOKUP(G26,List_item!A:A,List_item!B:B))</f>
        <v>Karkas Uk 1.4 Karkas Uk 1.4 Fresh Premium</v>
      </c>
      <c r="I26" s="187">
        <v>236</v>
      </c>
      <c r="J26" s="189">
        <f t="shared" si="4"/>
        <v>1.7611940298507461E-2</v>
      </c>
      <c r="K26" s="187">
        <f t="shared" si="0"/>
        <v>8614000</v>
      </c>
      <c r="L26" s="191">
        <f t="shared" si="1"/>
        <v>39658.557694326206</v>
      </c>
      <c r="M26" s="187">
        <f t="shared" si="2"/>
        <v>9359419.6158609837</v>
      </c>
      <c r="N26" s="187">
        <f t="shared" si="3"/>
        <v>-3158.5576943262058</v>
      </c>
      <c r="O26" s="187">
        <f t="shared" si="5"/>
        <v>-745419.61586098373</v>
      </c>
      <c r="P26" s="187"/>
    </row>
    <row r="27" spans="1:16" s="186" customFormat="1" x14ac:dyDescent="0.35">
      <c r="A27" s="186" t="s">
        <v>3849</v>
      </c>
      <c r="B27" s="187">
        <f>_xlfn.IFNA(_xlfn.XLOOKUP(A27,'Price list'!G:G,'Price list'!H:H),0)</f>
        <v>36500</v>
      </c>
      <c r="C27" s="186" t="s">
        <v>9</v>
      </c>
      <c r="E27" s="187"/>
      <c r="F27" s="187"/>
      <c r="G27" s="187" t="s">
        <v>1252</v>
      </c>
      <c r="H27" s="187" t="str">
        <f>IF(G27=0,"",_xlfn.XLOOKUP(G27,List_item!A:A,List_item!B:B))</f>
        <v>Karkas Uk 1.5 Karkas Uk 1.5 Frozen Premium</v>
      </c>
      <c r="I27" s="187">
        <v>280.39999999999998</v>
      </c>
      <c r="J27" s="189">
        <f t="shared" si="4"/>
        <v>2.0925373134328358E-2</v>
      </c>
      <c r="K27" s="187">
        <f t="shared" si="0"/>
        <v>10234600</v>
      </c>
      <c r="L27" s="191">
        <f t="shared" si="1"/>
        <v>39658.557694326206</v>
      </c>
      <c r="M27" s="187">
        <f t="shared" si="2"/>
        <v>11120259.577489067</v>
      </c>
      <c r="N27" s="187">
        <f t="shared" si="3"/>
        <v>-3158.5576943262058</v>
      </c>
      <c r="O27" s="187">
        <f t="shared" si="5"/>
        <v>-885659.57748906687</v>
      </c>
      <c r="P27" s="187"/>
    </row>
    <row r="28" spans="1:16" s="186" customFormat="1" x14ac:dyDescent="0.35">
      <c r="A28" s="186" t="s">
        <v>3885</v>
      </c>
      <c r="B28" s="187">
        <f>_xlfn.IFNA(_xlfn.XLOOKUP(A28,'Price list'!G:G,'Price list'!H:H),0)</f>
        <v>36500</v>
      </c>
      <c r="C28" s="186" t="s">
        <v>9</v>
      </c>
      <c r="E28" s="187"/>
      <c r="F28" s="187"/>
      <c r="G28" s="187" t="s">
        <v>1318</v>
      </c>
      <c r="H28" s="187" t="str">
        <f>IF(G28=0,"",_xlfn.XLOOKUP(G28,List_item!A:A,List_item!B:B))</f>
        <v>Karkas Uk 1.6 Karkas Uk 1.6 Frozen Premium</v>
      </c>
      <c r="I28" s="187">
        <v>196.8</v>
      </c>
      <c r="J28" s="189">
        <f t="shared" si="4"/>
        <v>1.4686567164179105E-2</v>
      </c>
      <c r="K28" s="187">
        <f t="shared" si="0"/>
        <v>7183200</v>
      </c>
      <c r="L28" s="191">
        <f t="shared" si="1"/>
        <v>39658.557694326206</v>
      </c>
      <c r="M28" s="187">
        <f t="shared" si="2"/>
        <v>7804804.1542433975</v>
      </c>
      <c r="N28" s="187">
        <f t="shared" si="3"/>
        <v>-3158.5576943262058</v>
      </c>
      <c r="O28" s="187">
        <f t="shared" si="5"/>
        <v>-621604.15424339753</v>
      </c>
      <c r="P28" s="187"/>
    </row>
    <row r="29" spans="1:16" s="186" customFormat="1" x14ac:dyDescent="0.35">
      <c r="A29" s="186" t="s">
        <v>3886</v>
      </c>
      <c r="B29" s="187">
        <f>_xlfn.IFNA(_xlfn.XLOOKUP(A29,'Price list'!G:G,'Price list'!H:H),0)</f>
        <v>36500</v>
      </c>
      <c r="C29" s="186" t="s">
        <v>9</v>
      </c>
      <c r="E29" s="187"/>
      <c r="F29" s="187"/>
      <c r="G29" s="187" t="s">
        <v>1384</v>
      </c>
      <c r="H29" s="187" t="str">
        <f>IF(G29=0,"",_xlfn.XLOOKUP(G29,List_item!A:A,List_item!B:B))</f>
        <v>Karkas Uk 1.7 Karkas Uk 1.7 Frozen Premium</v>
      </c>
      <c r="I29" s="187">
        <v>126.5</v>
      </c>
      <c r="J29" s="189">
        <f t="shared" si="4"/>
        <v>9.4402985074626862E-3</v>
      </c>
      <c r="K29" s="187">
        <f t="shared" si="0"/>
        <v>4617250</v>
      </c>
      <c r="L29" s="191">
        <f t="shared" si="1"/>
        <v>39658.557694326206</v>
      </c>
      <c r="M29" s="187">
        <f t="shared" si="2"/>
        <v>5016807.5483322646</v>
      </c>
      <c r="N29" s="187">
        <f t="shared" si="3"/>
        <v>-3158.5576943262058</v>
      </c>
      <c r="O29" s="187">
        <f t="shared" si="5"/>
        <v>-399557.54833226465</v>
      </c>
      <c r="P29" s="187"/>
    </row>
    <row r="30" spans="1:16" s="186" customFormat="1" x14ac:dyDescent="0.35">
      <c r="A30" s="186" t="s">
        <v>3887</v>
      </c>
      <c r="B30" s="187">
        <f>_xlfn.IFNA(_xlfn.XLOOKUP(A30,'Price list'!G:G,'Price list'!H:H),0)</f>
        <v>36500</v>
      </c>
      <c r="C30" s="186" t="s">
        <v>9</v>
      </c>
      <c r="E30" s="187"/>
      <c r="F30" s="187"/>
      <c r="G30" s="187" t="s">
        <v>1450</v>
      </c>
      <c r="H30" s="187" t="str">
        <f>IF(G30=0,"",_xlfn.XLOOKUP(G30,List_item!A:A,List_item!B:B))</f>
        <v>Karkas Uk 1.8 Karkas Uk 1.8 Frozen Premium</v>
      </c>
      <c r="I30" s="187">
        <v>64.2</v>
      </c>
      <c r="J30" s="189">
        <f t="shared" si="4"/>
        <v>4.7910447761194035E-3</v>
      </c>
      <c r="K30" s="187">
        <f t="shared" si="0"/>
        <v>2343300</v>
      </c>
      <c r="L30" s="191">
        <f t="shared" si="1"/>
        <v>39658.557694326199</v>
      </c>
      <c r="M30" s="187">
        <f t="shared" si="2"/>
        <v>2546079.4039757419</v>
      </c>
      <c r="N30" s="187">
        <f t="shared" si="3"/>
        <v>-3158.5576943261985</v>
      </c>
      <c r="O30" s="187">
        <f t="shared" si="5"/>
        <v>-202779.40397574194</v>
      </c>
      <c r="P30" s="187"/>
    </row>
    <row r="31" spans="1:16" s="186" customFormat="1" x14ac:dyDescent="0.35">
      <c r="A31" s="186" t="s">
        <v>3888</v>
      </c>
      <c r="B31" s="187">
        <f>_xlfn.IFNA(_xlfn.XLOOKUP(A31,'Price list'!G:G,'Price list'!H:H),0)</f>
        <v>36500</v>
      </c>
      <c r="C31" s="186" t="s">
        <v>9</v>
      </c>
      <c r="E31" s="187"/>
      <c r="F31" s="187"/>
      <c r="G31" s="187" t="s">
        <v>1516</v>
      </c>
      <c r="H31" s="187" t="str">
        <f>IF(G31=0,"",_xlfn.XLOOKUP(G31,List_item!A:A,List_item!B:B))</f>
        <v>Karkas Uk 1.9 Karkas Uk 1.9 Frozen Premium</v>
      </c>
      <c r="I31" s="187">
        <v>33.5</v>
      </c>
      <c r="J31" s="189">
        <f t="shared" si="4"/>
        <v>2.5000000000000001E-3</v>
      </c>
      <c r="K31" s="187">
        <f t="shared" si="0"/>
        <v>1222750</v>
      </c>
      <c r="L31" s="191">
        <f t="shared" si="1"/>
        <v>39658.557694326206</v>
      </c>
      <c r="M31" s="187">
        <f t="shared" si="2"/>
        <v>1328561.6827599278</v>
      </c>
      <c r="N31" s="187">
        <f t="shared" si="3"/>
        <v>-3158.5576943262058</v>
      </c>
      <c r="O31" s="187">
        <f t="shared" si="5"/>
        <v>-105811.68275992782</v>
      </c>
      <c r="P31" s="187"/>
    </row>
    <row r="32" spans="1:16" x14ac:dyDescent="0.35">
      <c r="A32" t="s">
        <v>3889</v>
      </c>
      <c r="B32" s="3">
        <f>_xlfn.IFNA(_xlfn.XLOOKUP(A32,'Price list'!G:G,'Price list'!H:H),0)</f>
        <v>36500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3890</v>
      </c>
      <c r="B33" s="3">
        <f>_xlfn.IFNA(_xlfn.XLOOKUP(A33,'Price list'!G:G,'Price list'!H:H),0)</f>
        <v>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8</v>
      </c>
      <c r="B34" s="3">
        <f>_xlfn.IFNA(_xlfn.XLOOKUP(A34,'Price list'!G:G,'Price list'!H:H),0)</f>
        <v>50000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10</v>
      </c>
      <c r="B35" s="3">
        <f>_xlfn.IFNA(_xlfn.XLOOKUP(A35,'Price list'!G:G,'Price list'!H:H),0)</f>
        <v>48000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12</v>
      </c>
      <c r="B36" s="3">
        <f>_xlfn.IFNA(_xlfn.XLOOKUP(A36,'Price list'!G:G,'Price list'!H:H),0)</f>
        <v>49000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2159</v>
      </c>
      <c r="B37" s="3">
        <f>_xlfn.IFNA(_xlfn.XLOOKUP(A37,'Price list'!G:G,'Price list'!H:H),0)</f>
        <v>5500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3891</v>
      </c>
      <c r="B38" s="3">
        <f>_xlfn.IFNA(_xlfn.XLOOKUP(A38,'Price list'!G:G,'Price list'!H:H),0)</f>
        <v>20000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x14ac:dyDescent="0.35">
      <c r="A39" t="s">
        <v>3892</v>
      </c>
      <c r="B39" s="3">
        <f>_xlfn.IFNA(_xlfn.XLOOKUP(A39,'Price list'!G:G,'Price list'!H:H),0)</f>
        <v>22000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si="1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6" x14ac:dyDescent="0.35">
      <c r="A40" t="s">
        <v>3852</v>
      </c>
      <c r="B40" s="3">
        <f>_xlfn.IFNA(_xlfn.XLOOKUP(A40,'Price list'!G:G,'Price list'!H:H),0)</f>
        <v>18000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1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6" x14ac:dyDescent="0.35">
      <c r="A41" t="s">
        <v>17</v>
      </c>
      <c r="B41" s="3">
        <f>_xlfn.IFNA(_xlfn.XLOOKUP(A41,'Price list'!G:G,'Price list'!H:H),0)</f>
        <v>3500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3">
        <v>0</v>
      </c>
      <c r="J41" s="26">
        <f t="shared" si="4"/>
        <v>0</v>
      </c>
      <c r="K41" s="3">
        <f t="shared" si="0"/>
        <v>0</v>
      </c>
      <c r="L41" s="27">
        <f t="shared" si="1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6" x14ac:dyDescent="0.35">
      <c r="A42" t="s">
        <v>2199</v>
      </c>
      <c r="B42" s="3">
        <f>_xlfn.IFNA(_xlfn.XLOOKUP(A42,'Price list'!G:G,'Price list'!H:H),0)</f>
        <v>38000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3"/>
      <c r="J42" s="26">
        <f t="shared" si="4"/>
        <v>0</v>
      </c>
      <c r="K42" s="3">
        <f t="shared" si="0"/>
        <v>0</v>
      </c>
      <c r="L42" s="27">
        <f t="shared" si="1"/>
        <v>0</v>
      </c>
      <c r="M42" s="3">
        <f t="shared" si="2"/>
        <v>0</v>
      </c>
      <c r="N42" s="3">
        <f t="shared" si="3"/>
        <v>0</v>
      </c>
      <c r="O42" s="3">
        <f t="shared" si="5"/>
        <v>0</v>
      </c>
      <c r="P42" s="3"/>
    </row>
    <row r="43" spans="1:16" s="186" customFormat="1" x14ac:dyDescent="0.35">
      <c r="A43" s="186" t="s">
        <v>2161</v>
      </c>
      <c r="B43" s="187">
        <f>_xlfn.IFNA(_xlfn.XLOOKUP(A43,'Price list'!G:G,'Price list'!H:H),0)</f>
        <v>18000</v>
      </c>
      <c r="C43" s="186" t="s">
        <v>9</v>
      </c>
      <c r="E43" s="187"/>
      <c r="F43" s="187"/>
      <c r="G43" s="187" t="s">
        <v>19</v>
      </c>
      <c r="H43" s="187" t="str">
        <f>IF(G43=0,"",_xlfn.XLOOKUP(G43,List_item!A:A,List_item!B:B))</f>
        <v>Boneless BL Frozen Lemak</v>
      </c>
      <c r="I43" s="187">
        <v>43.9</v>
      </c>
      <c r="J43" s="189">
        <f t="shared" si="4"/>
        <v>3.2761194029850746E-3</v>
      </c>
      <c r="K43" s="187">
        <f t="shared" si="0"/>
        <v>790200</v>
      </c>
      <c r="L43" s="191">
        <f t="shared" ref="L43:L74" si="26">IFERROR(((K43/SUM($K$11:$K$85))*$F$10)/(F43+I43),0)</f>
        <v>19557.644890352647</v>
      </c>
      <c r="M43" s="187">
        <f t="shared" si="2"/>
        <v>858580.61068648123</v>
      </c>
      <c r="N43" s="187">
        <f t="shared" si="3"/>
        <v>-1557.6448903526471</v>
      </c>
      <c r="O43" s="187">
        <f t="shared" si="5"/>
        <v>-68380.610686481232</v>
      </c>
      <c r="P43" s="187"/>
    </row>
    <row r="44" spans="1:16" s="186" customFormat="1" x14ac:dyDescent="0.35">
      <c r="A44" s="186" t="s">
        <v>2162</v>
      </c>
      <c r="B44" s="187">
        <f>_xlfn.IFNA(_xlfn.XLOOKUP(A44,'Price list'!G:G,'Price list'!H:H),0)</f>
        <v>8000</v>
      </c>
      <c r="C44" s="186" t="s">
        <v>9</v>
      </c>
      <c r="E44" s="187"/>
      <c r="F44" s="187"/>
      <c r="G44" s="187" t="s">
        <v>310</v>
      </c>
      <c r="H44" s="187" t="str">
        <f>IF(G44=0,"",_xlfn.XLOOKUP(G44,List_item!A:A,List_item!B:B))</f>
        <v>Boneless BL Frozen Kepala</v>
      </c>
      <c r="I44" s="187">
        <v>683.7</v>
      </c>
      <c r="J44" s="189">
        <f t="shared" si="4"/>
        <v>5.1022388059701496E-2</v>
      </c>
      <c r="K44" s="187">
        <f t="shared" si="0"/>
        <v>5469600</v>
      </c>
      <c r="L44" s="191">
        <f t="shared" si="26"/>
        <v>8692.2866179345092</v>
      </c>
      <c r="M44" s="187">
        <f t="shared" si="2"/>
        <v>5942916.3606818244</v>
      </c>
      <c r="N44" s="187">
        <f t="shared" si="3"/>
        <v>-692.2866179345092</v>
      </c>
      <c r="O44" s="187">
        <f t="shared" si="5"/>
        <v>-473316.36068182439</v>
      </c>
      <c r="P44" s="187"/>
    </row>
    <row r="45" spans="1:16" s="186" customFormat="1" x14ac:dyDescent="0.35">
      <c r="A45" s="186" t="s">
        <v>0</v>
      </c>
      <c r="B45" s="187">
        <f>_xlfn.IFNA(_xlfn.XLOOKUP(A45,'Price list'!G:G,'Price list'!H:H),0)</f>
        <v>10000</v>
      </c>
      <c r="C45" s="186" t="s">
        <v>9</v>
      </c>
      <c r="E45" s="187"/>
      <c r="F45" s="187"/>
      <c r="G45" s="187" t="s">
        <v>22</v>
      </c>
      <c r="H45" s="187" t="str">
        <f>IF(G45=0,"",_xlfn.XLOOKUP(G45,List_item!A:A,List_item!B:B))</f>
        <v>Boneless BL Frozen Ceker</v>
      </c>
      <c r="I45" s="187">
        <v>414.7</v>
      </c>
      <c r="J45" s="189">
        <f t="shared" si="4"/>
        <v>3.0947761194029848E-2</v>
      </c>
      <c r="K45" s="187">
        <f t="shared" si="0"/>
        <v>4147000</v>
      </c>
      <c r="L45" s="191">
        <f t="shared" si="26"/>
        <v>10865.358272418138</v>
      </c>
      <c r="M45" s="187">
        <f t="shared" si="2"/>
        <v>4505864.0755718015</v>
      </c>
      <c r="N45" s="187">
        <f t="shared" si="3"/>
        <v>-865.35827241813786</v>
      </c>
      <c r="O45" s="187">
        <f t="shared" si="5"/>
        <v>-358864.07557180151</v>
      </c>
      <c r="P45" s="187"/>
    </row>
    <row r="46" spans="1:16" x14ac:dyDescent="0.35">
      <c r="A46" t="s">
        <v>24</v>
      </c>
      <c r="B46" s="3">
        <f>_xlfn.IFNA(_xlfn.XLOOKUP(A46,'Price list'!G:G,'Price list'!H:H),0)</f>
        <v>4000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26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6" x14ac:dyDescent="0.35">
      <c r="A47" t="s">
        <v>3893</v>
      </c>
      <c r="B47" s="3">
        <f>_xlfn.IFNA(_xlfn.XLOOKUP(A47,'Price list'!G:G,'Price list'!H:H),0)</f>
        <v>5000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26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 t="s">
        <v>3947</v>
      </c>
    </row>
    <row r="48" spans="1:16" x14ac:dyDescent="0.35">
      <c r="A48" t="s">
        <v>2167</v>
      </c>
      <c r="B48" s="3">
        <f>_xlfn.IFNA(_xlfn.XLOOKUP(A48,'Price list'!G:G,'Price list'!H:H),0)</f>
        <v>16000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26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2168</v>
      </c>
      <c r="B49" s="3">
        <f>_xlfn.IFNA(_xlfn.XLOOKUP(A49,'Price list'!G:G,'Price list'!H:H),0)</f>
        <v>10000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26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s="186" customFormat="1" x14ac:dyDescent="0.35">
      <c r="A50" s="186" t="s">
        <v>2169</v>
      </c>
      <c r="B50" s="187">
        <f>_xlfn.IFNA(_xlfn.XLOOKUP(A50,'Price list'!G:G,'Price list'!H:H),0)</f>
        <v>5000</v>
      </c>
      <c r="C50" s="186" t="s">
        <v>9</v>
      </c>
      <c r="E50" s="187"/>
      <c r="F50" s="187"/>
      <c r="G50" s="187" t="s">
        <v>286</v>
      </c>
      <c r="H50" s="187" t="str">
        <f>IF(G50=0,"",_xlfn.XLOOKUP(G50,List_item!A:A,List_item!B:B))</f>
        <v>Boneless BL Frozen HJA</v>
      </c>
      <c r="I50" s="187">
        <v>825</v>
      </c>
      <c r="J50" s="189">
        <f t="shared" si="4"/>
        <v>6.1567164179104475E-2</v>
      </c>
      <c r="K50" s="187">
        <f t="shared" si="0"/>
        <v>4125000</v>
      </c>
      <c r="L50" s="191">
        <f t="shared" si="26"/>
        <v>5432.6791362090689</v>
      </c>
      <c r="M50" s="187">
        <f t="shared" si="2"/>
        <v>4481960.287372482</v>
      </c>
      <c r="N50" s="187">
        <f t="shared" si="3"/>
        <v>-432.67913620906893</v>
      </c>
      <c r="O50" s="187">
        <f t="shared" si="5"/>
        <v>-356960.28737248201</v>
      </c>
      <c r="P50" s="187"/>
    </row>
    <row r="51" spans="1:16" x14ac:dyDescent="0.35">
      <c r="A51" t="s">
        <v>3894</v>
      </c>
      <c r="B51" s="3">
        <f>_xlfn.IFNA(_xlfn.XLOOKUP(A51,'Price list'!G:G,'Price list'!H:H),0)</f>
        <v>5000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26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2170</v>
      </c>
      <c r="B52" s="3">
        <f>_xlfn.IFNA(_xlfn.XLOOKUP(A52,'Price list'!G:G,'Price list'!H:H),0)</f>
        <v>45000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26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2171</v>
      </c>
      <c r="B53" s="3">
        <f>_xlfn.IFNA(_xlfn.XLOOKUP(A53,'Price list'!G:G,'Price list'!H:H),0)</f>
        <v>44000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26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3895</v>
      </c>
      <c r="B54" s="3">
        <f>_xlfn.IFNA(_xlfn.XLOOKUP(A54,'Price list'!G:G,'Price list'!H:H),0)</f>
        <v>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0"/>
        <v>0</v>
      </c>
      <c r="L54" s="27">
        <f t="shared" si="26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x14ac:dyDescent="0.35">
      <c r="A55" t="s">
        <v>3896</v>
      </c>
      <c r="B55" s="3">
        <f>_xlfn.IFNA(_xlfn.XLOOKUP(A55,'Price list'!G:G,'Price list'!H:H),0)</f>
        <v>35000</v>
      </c>
      <c r="C55" t="s">
        <v>9</v>
      </c>
      <c r="E55" s="3"/>
      <c r="F55" s="3"/>
      <c r="G55" s="3"/>
      <c r="H55" s="3" t="str">
        <f>IF(G55=0,"",_xlfn.XLOOKUP(G55,List_item!A:A,List_item!B:B))</f>
        <v/>
      </c>
      <c r="I55" s="3">
        <v>0</v>
      </c>
      <c r="J55" s="26">
        <f t="shared" si="4"/>
        <v>0</v>
      </c>
      <c r="K55" s="3">
        <f t="shared" si="0"/>
        <v>0</v>
      </c>
      <c r="L55" s="27">
        <f t="shared" si="26"/>
        <v>0</v>
      </c>
      <c r="M55" s="3">
        <f t="shared" si="2"/>
        <v>0</v>
      </c>
      <c r="N55" s="3">
        <f t="shared" si="3"/>
        <v>0</v>
      </c>
      <c r="O55" s="3">
        <f t="shared" si="5"/>
        <v>0</v>
      </c>
      <c r="P55" s="3"/>
    </row>
    <row r="56" spans="1:16" x14ac:dyDescent="0.35">
      <c r="A56" t="s">
        <v>3897</v>
      </c>
      <c r="B56" s="3">
        <f>_xlfn.IFNA(_xlfn.XLOOKUP(A56,'Price list'!G:G,'Price list'!H:H),0)</f>
        <v>35000</v>
      </c>
      <c r="C56" t="s">
        <v>9</v>
      </c>
      <c r="E56" s="3"/>
      <c r="F56" s="3"/>
      <c r="G56" s="3"/>
      <c r="H56" s="3" t="str">
        <f>IF(G56=0,"",_xlfn.XLOOKUP(G56,List_item!A:A,List_item!B:B))</f>
        <v/>
      </c>
      <c r="I56" s="3">
        <v>0</v>
      </c>
      <c r="J56" s="26">
        <f t="shared" si="4"/>
        <v>0</v>
      </c>
      <c r="K56" s="3">
        <f t="shared" si="0"/>
        <v>0</v>
      </c>
      <c r="L56" s="27">
        <f t="shared" si="26"/>
        <v>0</v>
      </c>
      <c r="M56" s="3">
        <f t="shared" si="2"/>
        <v>0</v>
      </c>
      <c r="N56" s="3">
        <f t="shared" si="3"/>
        <v>0</v>
      </c>
      <c r="O56" s="3">
        <f t="shared" si="5"/>
        <v>0</v>
      </c>
      <c r="P56" s="3"/>
    </row>
    <row r="57" spans="1:16" s="186" customFormat="1" x14ac:dyDescent="0.35">
      <c r="A57" s="186" t="s">
        <v>3898</v>
      </c>
      <c r="B57" s="187">
        <f>_xlfn.IFNA(_xlfn.XLOOKUP(A57,'Price list'!G:G,'Price list'!H:H),0)</f>
        <v>35000</v>
      </c>
      <c r="C57" s="186" t="s">
        <v>9</v>
      </c>
      <c r="E57" s="187"/>
      <c r="F57" s="187"/>
      <c r="G57" s="187" t="s">
        <v>636</v>
      </c>
      <c r="H57" s="187" t="str">
        <f>IF(G57=0,"",_xlfn.XLOOKUP(G57,List_item!A:A,List_item!B:B))</f>
        <v>Karkas Uk 0.6 Karkas Uk 0.6 Frozen Grade A</v>
      </c>
      <c r="I57" s="187">
        <v>6.2</v>
      </c>
      <c r="J57" s="189">
        <f t="shared" si="4"/>
        <v>4.6268656716417914E-4</v>
      </c>
      <c r="K57" s="187">
        <f t="shared" si="0"/>
        <v>217000</v>
      </c>
      <c r="L57" s="191">
        <f t="shared" si="26"/>
        <v>38028.753953463478</v>
      </c>
      <c r="M57" s="187">
        <f t="shared" si="2"/>
        <v>235778.27451147357</v>
      </c>
      <c r="N57" s="187">
        <f t="shared" si="3"/>
        <v>-3028.753953463478</v>
      </c>
      <c r="O57" s="187">
        <f t="shared" si="5"/>
        <v>-18778.274511473574</v>
      </c>
      <c r="P57" s="187"/>
    </row>
    <row r="58" spans="1:16" s="186" customFormat="1" x14ac:dyDescent="0.35">
      <c r="A58" s="186" t="s">
        <v>3899</v>
      </c>
      <c r="B58" s="187">
        <f>_xlfn.IFNA(_xlfn.XLOOKUP(A58,'Price list'!G:G,'Price list'!H:H),0)</f>
        <v>35000</v>
      </c>
      <c r="C58" s="186" t="s">
        <v>9</v>
      </c>
      <c r="E58" s="187"/>
      <c r="F58" s="187"/>
      <c r="G58" s="187" t="s">
        <v>668</v>
      </c>
      <c r="H58" s="187" t="str">
        <f>IF(G58=0,"",_xlfn.XLOOKUP(G58,List_item!A:A,List_item!B:B))</f>
        <v>Karkas Uk 0.7 Karkas Uk 0.7 Fresh Grade A</v>
      </c>
      <c r="I58" s="187">
        <v>3.5</v>
      </c>
      <c r="J58" s="189">
        <f t="shared" si="4"/>
        <v>2.6119402985074624E-4</v>
      </c>
      <c r="K58" s="187">
        <f t="shared" si="0"/>
        <v>122500</v>
      </c>
      <c r="L58" s="191">
        <f t="shared" si="26"/>
        <v>38028.753953463478</v>
      </c>
      <c r="M58" s="187">
        <f t="shared" si="2"/>
        <v>133100.63883712218</v>
      </c>
      <c r="N58" s="187">
        <f t="shared" si="3"/>
        <v>-3028.753953463478</v>
      </c>
      <c r="O58" s="187">
        <f t="shared" si="5"/>
        <v>-10600.638837122184</v>
      </c>
      <c r="P58" s="187"/>
    </row>
    <row r="59" spans="1:16" s="186" customFormat="1" x14ac:dyDescent="0.35">
      <c r="A59" s="186" t="s">
        <v>3899</v>
      </c>
      <c r="B59" s="187">
        <f>_xlfn.IFNA(_xlfn.XLOOKUP(A59,'Price list'!G:G,'Price list'!H:H),0)</f>
        <v>35000</v>
      </c>
      <c r="C59" s="186" t="s">
        <v>9</v>
      </c>
      <c r="E59" s="187"/>
      <c r="F59" s="187"/>
      <c r="G59" s="187" t="s">
        <v>701</v>
      </c>
      <c r="H59" s="187" t="str">
        <f>IF(G59=0,"",_xlfn.XLOOKUP(G59,List_item!A:A,List_item!B:B))</f>
        <v>Karkas Uk 0.7 Karkas Uk 0.7 Frozen Grade A</v>
      </c>
      <c r="I59" s="187">
        <v>30.7</v>
      </c>
      <c r="J59" s="189">
        <f t="shared" si="4"/>
        <v>2.291044776119403E-3</v>
      </c>
      <c r="K59" s="187">
        <f t="shared" si="0"/>
        <v>1074500</v>
      </c>
      <c r="L59" s="191">
        <f t="shared" si="26"/>
        <v>38028.753953463478</v>
      </c>
      <c r="M59" s="187">
        <f t="shared" si="2"/>
        <v>1167482.7463713288</v>
      </c>
      <c r="N59" s="187">
        <f t="shared" si="3"/>
        <v>-3028.753953463478</v>
      </c>
      <c r="O59" s="187">
        <f t="shared" si="5"/>
        <v>-92982.746371328831</v>
      </c>
      <c r="P59" s="187"/>
    </row>
    <row r="60" spans="1:16" s="186" customFormat="1" x14ac:dyDescent="0.35">
      <c r="A60" s="186" t="s">
        <v>3900</v>
      </c>
      <c r="B60" s="187">
        <f>_xlfn.IFNA(_xlfn.XLOOKUP(A60,'Price list'!G:G,'Price list'!H:H),0)</f>
        <v>35000</v>
      </c>
      <c r="C60" s="186" t="s">
        <v>9</v>
      </c>
      <c r="E60" s="187"/>
      <c r="F60" s="187"/>
      <c r="G60" s="187" t="s">
        <v>766</v>
      </c>
      <c r="H60" s="187" t="str">
        <f>IF(G60=0,"",_xlfn.XLOOKUP(G60,List_item!A:A,List_item!B:B))</f>
        <v>Karkas Uk 0.8 Karkas Uk 0.8 Frozen Grade A</v>
      </c>
      <c r="I60" s="187">
        <v>95.8</v>
      </c>
      <c r="J60" s="189">
        <f t="shared" si="4"/>
        <v>7.1492537313432832E-3</v>
      </c>
      <c r="K60" s="187">
        <f t="shared" si="0"/>
        <v>3353000</v>
      </c>
      <c r="L60" s="191">
        <f t="shared" si="26"/>
        <v>38028.753953463485</v>
      </c>
      <c r="M60" s="187">
        <f t="shared" si="2"/>
        <v>3643154.6287418017</v>
      </c>
      <c r="N60" s="187">
        <f t="shared" si="3"/>
        <v>-3028.7539534634852</v>
      </c>
      <c r="O60" s="187">
        <f t="shared" si="5"/>
        <v>-290154.62874180172</v>
      </c>
      <c r="P60" s="187"/>
    </row>
    <row r="61" spans="1:16" s="186" customFormat="1" x14ac:dyDescent="0.35">
      <c r="A61" s="186" t="s">
        <v>3901</v>
      </c>
      <c r="B61" s="187">
        <f>_xlfn.IFNA(_xlfn.XLOOKUP(A61,'Price list'!G:G,'Price list'!H:H),0)</f>
        <v>35000</v>
      </c>
      <c r="C61" s="186" t="s">
        <v>9</v>
      </c>
      <c r="E61" s="187"/>
      <c r="F61" s="187"/>
      <c r="G61" s="187" t="s">
        <v>831</v>
      </c>
      <c r="H61" s="187" t="str">
        <f>IF(G61=0,"",_xlfn.XLOOKUP(G61,List_item!A:A,List_item!B:B))</f>
        <v>Karkas Uk 0.9 Karkas Uk 0.9 Frozen Grade A</v>
      </c>
      <c r="I61" s="187">
        <v>156.72</v>
      </c>
      <c r="J61" s="189">
        <f t="shared" si="4"/>
        <v>1.1695522388059701E-2</v>
      </c>
      <c r="K61" s="187">
        <f t="shared" si="0"/>
        <v>5485200</v>
      </c>
      <c r="L61" s="191">
        <f t="shared" si="26"/>
        <v>38028.753953463478</v>
      </c>
      <c r="M61" s="187">
        <f t="shared" si="2"/>
        <v>5959866.3195867967</v>
      </c>
      <c r="N61" s="187">
        <f t="shared" si="3"/>
        <v>-3028.753953463478</v>
      </c>
      <c r="O61" s="187">
        <f t="shared" si="5"/>
        <v>-474666.31958679669</v>
      </c>
      <c r="P61" s="187"/>
    </row>
    <row r="62" spans="1:16" s="186" customFormat="1" x14ac:dyDescent="0.35">
      <c r="A62" s="186" t="s">
        <v>3902</v>
      </c>
      <c r="B62" s="187">
        <f>_xlfn.IFNA(_xlfn.XLOOKUP(A62,'Price list'!G:G,'Price list'!H:H),0)</f>
        <v>35000</v>
      </c>
      <c r="C62" s="186" t="s">
        <v>9</v>
      </c>
      <c r="E62" s="187"/>
      <c r="F62" s="187"/>
      <c r="G62" s="187" t="s">
        <v>863</v>
      </c>
      <c r="H62" s="187" t="str">
        <f>IF(G62=0,"",_xlfn.XLOOKUP(G62,List_item!A:A,List_item!B:B))</f>
        <v>Karkas Uk 1.0 Karkas Uk 1.0 Fresh Grade A</v>
      </c>
      <c r="I62" s="187">
        <v>5</v>
      </c>
      <c r="J62" s="189">
        <f t="shared" si="4"/>
        <v>3.7313432835820896E-4</v>
      </c>
      <c r="K62" s="187">
        <f t="shared" si="0"/>
        <v>175000</v>
      </c>
      <c r="L62" s="191">
        <f t="shared" si="26"/>
        <v>38028.753953463485</v>
      </c>
      <c r="M62" s="187">
        <f t="shared" si="2"/>
        <v>190143.76976731743</v>
      </c>
      <c r="N62" s="187">
        <f t="shared" si="3"/>
        <v>-3028.7539534634852</v>
      </c>
      <c r="O62" s="187">
        <f t="shared" si="5"/>
        <v>-15143.769767317426</v>
      </c>
      <c r="P62" s="187"/>
    </row>
    <row r="63" spans="1:16" s="186" customFormat="1" x14ac:dyDescent="0.35">
      <c r="A63" s="186" t="s">
        <v>3902</v>
      </c>
      <c r="B63" s="187">
        <f>_xlfn.IFNA(_xlfn.XLOOKUP(A63,'Price list'!G:G,'Price list'!H:H),0)</f>
        <v>35000</v>
      </c>
      <c r="C63" s="186" t="s">
        <v>9</v>
      </c>
      <c r="E63" s="187"/>
      <c r="F63" s="187"/>
      <c r="G63" s="187" t="s">
        <v>896</v>
      </c>
      <c r="H63" s="187" t="str">
        <f>IF(G63=0,"",_xlfn.XLOOKUP(G63,List_item!A:A,List_item!B:B))</f>
        <v>Karkas Uk 1.0 Karkas Uk 1.0 Frozen Grade A</v>
      </c>
      <c r="I63" s="187">
        <v>144.69999999999999</v>
      </c>
      <c r="J63" s="189">
        <f t="shared" si="4"/>
        <v>1.0798507462686567E-2</v>
      </c>
      <c r="K63" s="187">
        <f t="shared" si="0"/>
        <v>5064500</v>
      </c>
      <c r="L63" s="191">
        <f t="shared" si="26"/>
        <v>38028.753953463485</v>
      </c>
      <c r="M63" s="187">
        <f t="shared" si="2"/>
        <v>5502760.6970661655</v>
      </c>
      <c r="N63" s="187">
        <f t="shared" si="3"/>
        <v>-3028.7539534634852</v>
      </c>
      <c r="O63" s="187">
        <f t="shared" si="5"/>
        <v>-438260.69706616551</v>
      </c>
      <c r="P63" s="187"/>
    </row>
    <row r="64" spans="1:16" s="186" customFormat="1" x14ac:dyDescent="0.35">
      <c r="A64" s="186" t="s">
        <v>3903</v>
      </c>
      <c r="B64" s="187">
        <f>_xlfn.IFNA(_xlfn.XLOOKUP(A64,'Price list'!G:G,'Price list'!H:H),0)</f>
        <v>35000</v>
      </c>
      <c r="C64" s="186" t="s">
        <v>9</v>
      </c>
      <c r="E64" s="187"/>
      <c r="F64" s="187"/>
      <c r="G64" s="187" t="s">
        <v>962</v>
      </c>
      <c r="H64" s="187" t="str">
        <f>IF(G64=0,"",_xlfn.XLOOKUP(G64,List_item!A:A,List_item!B:B))</f>
        <v>Karkas Uk 1.1 Karkas Uk 1.1 Frozen Grade A</v>
      </c>
      <c r="I64" s="187">
        <v>79.7</v>
      </c>
      <c r="J64" s="189">
        <f t="shared" si="4"/>
        <v>5.9477611940298505E-3</v>
      </c>
      <c r="K64" s="187">
        <f t="shared" si="0"/>
        <v>2789500</v>
      </c>
      <c r="L64" s="191">
        <f t="shared" si="26"/>
        <v>38028.753953463478</v>
      </c>
      <c r="M64" s="187">
        <f t="shared" si="2"/>
        <v>3030891.6900910395</v>
      </c>
      <c r="N64" s="187">
        <f t="shared" si="3"/>
        <v>-3028.753953463478</v>
      </c>
      <c r="O64" s="187">
        <f t="shared" si="5"/>
        <v>-241391.69009103952</v>
      </c>
      <c r="P64" s="187"/>
    </row>
    <row r="65" spans="1:16" s="186" customFormat="1" x14ac:dyDescent="0.35">
      <c r="A65" s="186" t="s">
        <v>3905</v>
      </c>
      <c r="B65" s="187">
        <f>_xlfn.IFNA(_xlfn.XLOOKUP(A65,'Price list'!G:G,'Price list'!H:H),0)</f>
        <v>35000</v>
      </c>
      <c r="C65" s="186" t="s">
        <v>9</v>
      </c>
      <c r="E65" s="187"/>
      <c r="F65" s="187"/>
      <c r="G65" s="187" t="s">
        <v>1028</v>
      </c>
      <c r="H65" s="187" t="str">
        <f>IF(G65=0,"",_xlfn.XLOOKUP(G65,List_item!A:A,List_item!B:B))</f>
        <v>Karkas Uk 1.2 Karkas Uk 1.2 Frozen Grade A</v>
      </c>
      <c r="I65" s="187">
        <v>61.6</v>
      </c>
      <c r="J65" s="189">
        <f t="shared" si="4"/>
        <v>4.5970149253731349E-3</v>
      </c>
      <c r="K65" s="187">
        <f t="shared" si="0"/>
        <v>2156000</v>
      </c>
      <c r="L65" s="191">
        <f t="shared" si="26"/>
        <v>38028.753953463471</v>
      </c>
      <c r="M65" s="187">
        <f t="shared" si="2"/>
        <v>2342571.2435333501</v>
      </c>
      <c r="N65" s="187">
        <f t="shared" si="3"/>
        <v>-3028.7539534634707</v>
      </c>
      <c r="O65" s="187">
        <f t="shared" si="5"/>
        <v>-186571.24353335006</v>
      </c>
      <c r="P65" s="187"/>
    </row>
    <row r="66" spans="1:16" s="186" customFormat="1" x14ac:dyDescent="0.35">
      <c r="A66" s="186" t="s">
        <v>3905</v>
      </c>
      <c r="B66" s="187">
        <f>_xlfn.IFNA(_xlfn.XLOOKUP(A66,'Price list'!G:G,'Price list'!H:H),0)</f>
        <v>35000</v>
      </c>
      <c r="C66" s="186" t="s">
        <v>9</v>
      </c>
      <c r="E66" s="187"/>
      <c r="F66" s="187"/>
      <c r="G66" s="187" t="s">
        <v>1094</v>
      </c>
      <c r="H66" s="187" t="str">
        <f>IF(G66=0,"",_xlfn.XLOOKUP(G66,List_item!A:A,List_item!B:B))</f>
        <v>Karkas Uk 1.3 Karkas Uk 1.3 Frozen Grade A</v>
      </c>
      <c r="I66" s="187">
        <v>48.9</v>
      </c>
      <c r="J66" s="189">
        <f t="shared" si="4"/>
        <v>3.6492537313432835E-3</v>
      </c>
      <c r="K66" s="187">
        <f t="shared" si="0"/>
        <v>1711500</v>
      </c>
      <c r="L66" s="191">
        <f t="shared" si="26"/>
        <v>38028.753953463485</v>
      </c>
      <c r="M66" s="187">
        <f t="shared" si="2"/>
        <v>1859606.0683243645</v>
      </c>
      <c r="N66" s="187">
        <f t="shared" si="3"/>
        <v>-3028.7539534634852</v>
      </c>
      <c r="O66" s="187">
        <f t="shared" si="5"/>
        <v>-148106.06832436449</v>
      </c>
      <c r="P66" s="187"/>
    </row>
    <row r="67" spans="1:16" s="186" customFormat="1" x14ac:dyDescent="0.35">
      <c r="A67" s="186" t="s">
        <v>3906</v>
      </c>
      <c r="B67" s="187">
        <f>_xlfn.IFNA(_xlfn.XLOOKUP(A67,'Price list'!G:G,'Price list'!H:H),0)</f>
        <v>35000</v>
      </c>
      <c r="C67" s="186" t="s">
        <v>9</v>
      </c>
      <c r="E67" s="187"/>
      <c r="F67" s="187"/>
      <c r="G67" s="187" t="s">
        <v>1160</v>
      </c>
      <c r="H67" s="187" t="str">
        <f>IF(G67=0,"",_xlfn.XLOOKUP(G67,List_item!A:A,List_item!B:B))</f>
        <v>Karkas Uk 1.4 Karkas Uk 1.4 Frozen Grade A</v>
      </c>
      <c r="I67" s="187">
        <v>57.9</v>
      </c>
      <c r="J67" s="189">
        <f t="shared" si="4"/>
        <v>4.3208955223880598E-3</v>
      </c>
      <c r="K67" s="187">
        <f t="shared" si="0"/>
        <v>2026500</v>
      </c>
      <c r="L67" s="191">
        <f t="shared" si="26"/>
        <v>38028.753953463485</v>
      </c>
      <c r="M67" s="187">
        <f t="shared" si="2"/>
        <v>2201864.8539055358</v>
      </c>
      <c r="N67" s="187">
        <f t="shared" si="3"/>
        <v>-3028.7539534634852</v>
      </c>
      <c r="O67" s="187">
        <f t="shared" si="5"/>
        <v>-175364.85390553577</v>
      </c>
      <c r="P67" s="187"/>
    </row>
    <row r="68" spans="1:16" s="186" customFormat="1" x14ac:dyDescent="0.35">
      <c r="A68" s="186" t="s">
        <v>3907</v>
      </c>
      <c r="B68" s="187">
        <f>_xlfn.IFNA(_xlfn.XLOOKUP(A68,'Price list'!G:G,'Price list'!H:H),0)</f>
        <v>35000</v>
      </c>
      <c r="C68" s="186" t="s">
        <v>9</v>
      </c>
      <c r="E68" s="187"/>
      <c r="F68" s="187"/>
      <c r="G68" s="187" t="s">
        <v>1225</v>
      </c>
      <c r="H68" s="187" t="str">
        <f>IF(G68=0,"",_xlfn.XLOOKUP(G68,List_item!A:A,List_item!B:B))</f>
        <v>Karkas Uk 1.5 Karkas Uk 1.5 Frozen Grade A</v>
      </c>
      <c r="I68" s="187">
        <v>22</v>
      </c>
      <c r="J68" s="189">
        <f t="shared" si="4"/>
        <v>1.6417910447761193E-3</v>
      </c>
      <c r="K68" s="187">
        <f t="shared" si="0"/>
        <v>770000</v>
      </c>
      <c r="L68" s="191">
        <f t="shared" si="26"/>
        <v>38028.753953463485</v>
      </c>
      <c r="M68" s="187">
        <f t="shared" si="2"/>
        <v>836632.58697619662</v>
      </c>
      <c r="N68" s="187">
        <f t="shared" si="3"/>
        <v>-3028.7539534634852</v>
      </c>
      <c r="O68" s="187">
        <f t="shared" si="5"/>
        <v>-66632.586976196617</v>
      </c>
      <c r="P68" s="187"/>
    </row>
    <row r="69" spans="1:16" s="186" customFormat="1" x14ac:dyDescent="0.35">
      <c r="A69" s="186" t="s">
        <v>3908</v>
      </c>
      <c r="B69" s="187">
        <f>_xlfn.IFNA(_xlfn.XLOOKUP(A69,'Price list'!G:G,'Price list'!H:H),0)</f>
        <v>35000</v>
      </c>
      <c r="C69" s="186" t="s">
        <v>9</v>
      </c>
      <c r="E69" s="187"/>
      <c r="F69" s="187"/>
      <c r="G69" s="187" t="s">
        <v>1291</v>
      </c>
      <c r="H69" s="187" t="str">
        <f>IF(G69=0,"",_xlfn.XLOOKUP(G69,List_item!A:A,List_item!B:B))</f>
        <v>Karkas Uk 1.6 Karkas Uk 1.6 Frozen Grade A</v>
      </c>
      <c r="I69" s="187">
        <v>32</v>
      </c>
      <c r="J69" s="189">
        <f t="shared" si="4"/>
        <v>2.3880597014925373E-3</v>
      </c>
      <c r="K69" s="187">
        <f t="shared" si="0"/>
        <v>1120000</v>
      </c>
      <c r="L69" s="191">
        <f t="shared" si="26"/>
        <v>38028.753953463478</v>
      </c>
      <c r="M69" s="187">
        <f t="shared" si="2"/>
        <v>1216920.1265108313</v>
      </c>
      <c r="N69" s="187">
        <f t="shared" si="3"/>
        <v>-3028.753953463478</v>
      </c>
      <c r="O69" s="187">
        <f t="shared" si="5"/>
        <v>-96920.126510831295</v>
      </c>
      <c r="P69" s="187"/>
    </row>
    <row r="70" spans="1:16" s="186" customFormat="1" x14ac:dyDescent="0.35">
      <c r="A70" s="186" t="s">
        <v>3909</v>
      </c>
      <c r="B70" s="187">
        <f>_xlfn.IFNA(_xlfn.XLOOKUP(A70,'Price list'!G:G,'Price list'!H:H),0)</f>
        <v>35000</v>
      </c>
      <c r="C70" s="186" t="s">
        <v>9</v>
      </c>
      <c r="E70" s="187"/>
      <c r="F70" s="187"/>
      <c r="G70" s="187" t="s">
        <v>1357</v>
      </c>
      <c r="H70" s="187" t="str">
        <f>IF(G70=0,"",_xlfn.XLOOKUP(G70,List_item!A:A,List_item!B:B))</f>
        <v>Karkas Uk 1.7 Karkas Uk 1.7 Frozen Grade A</v>
      </c>
      <c r="I70" s="187">
        <v>14.3</v>
      </c>
      <c r="J70" s="189">
        <f t="shared" si="4"/>
        <v>1.0671641791044776E-3</v>
      </c>
      <c r="K70" s="187">
        <f t="shared" si="0"/>
        <v>500500</v>
      </c>
      <c r="L70" s="191">
        <f t="shared" si="26"/>
        <v>38028.753953463478</v>
      </c>
      <c r="M70" s="187">
        <f t="shared" si="2"/>
        <v>543811.1815345278</v>
      </c>
      <c r="N70" s="187">
        <f t="shared" si="3"/>
        <v>-3028.753953463478</v>
      </c>
      <c r="O70" s="187">
        <f t="shared" si="5"/>
        <v>-43311.181534527801</v>
      </c>
      <c r="P70" s="187"/>
    </row>
    <row r="71" spans="1:16" s="186" customFormat="1" x14ac:dyDescent="0.35">
      <c r="A71" s="186" t="s">
        <v>3945</v>
      </c>
      <c r="B71" s="187">
        <f>_xlfn.IFNA(_xlfn.XLOOKUP(A71,'Price list'!G:G,'Price list'!H:H),0)</f>
        <v>35000</v>
      </c>
      <c r="C71" s="186" t="s">
        <v>9</v>
      </c>
      <c r="E71" s="187"/>
      <c r="F71" s="187"/>
      <c r="G71" s="187" t="s">
        <v>1424</v>
      </c>
      <c r="H71" s="187" t="str">
        <f>IF(G71=0,"",_xlfn.XLOOKUP(G71,List_item!A:A,List_item!B:B))</f>
        <v>Karkas Uk 1.8 Karkas Uk 1.8 Frozen Grade A</v>
      </c>
      <c r="I71" s="187">
        <v>11.3</v>
      </c>
      <c r="J71" s="189">
        <f t="shared" si="4"/>
        <v>8.4328358208955224E-4</v>
      </c>
      <c r="K71" s="187">
        <f t="shared" si="0"/>
        <v>395500</v>
      </c>
      <c r="L71" s="191">
        <f t="shared" si="26"/>
        <v>38028.753953463478</v>
      </c>
      <c r="M71" s="187">
        <f t="shared" si="2"/>
        <v>429724.91967413732</v>
      </c>
      <c r="N71" s="187">
        <f t="shared" si="3"/>
        <v>-3028.753953463478</v>
      </c>
      <c r="O71" s="187">
        <f t="shared" si="5"/>
        <v>-34224.919674137316</v>
      </c>
      <c r="P71" s="187"/>
    </row>
    <row r="72" spans="1:16" x14ac:dyDescent="0.35">
      <c r="A72" t="s">
        <v>3911</v>
      </c>
      <c r="B72" s="3">
        <f>_xlfn.IFNA(_xlfn.XLOOKUP(A72,'Price list'!G:G,'Price list'!H:H),0)</f>
        <v>35000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26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6" x14ac:dyDescent="0.35">
      <c r="A73" t="s">
        <v>3912</v>
      </c>
      <c r="B73" s="3">
        <f>_xlfn.IFNA(_xlfn.XLOOKUP(A73,'Price list'!G:G,'Price list'!H:H),0)</f>
        <v>35000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26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6" x14ac:dyDescent="0.35">
      <c r="A74" t="s">
        <v>3913</v>
      </c>
      <c r="B74" s="3">
        <f>_xlfn.IFNA(_xlfn.XLOOKUP(A74,'Price list'!G:G,'Price list'!H:H),0)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26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6" x14ac:dyDescent="0.35">
      <c r="A75" t="s">
        <v>3914</v>
      </c>
      <c r="B75" s="3">
        <f>_xlfn.IFNA(_xlfn.XLOOKUP(A75,'Price list'!G:G,'Price list'!H:H),0)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ref="L75:L85" si="27">IFERROR(((K75/SUM($K$11:$K$85))*$F$10)/(F75+I75),0)</f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6" x14ac:dyDescent="0.35">
      <c r="A76" t="s">
        <v>3915</v>
      </c>
      <c r="B76" s="3">
        <f>_xlfn.IFNA(_xlfn.XLOOKUP(A76,'Price list'!G:G,'Price list'!H:H),0)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si="0"/>
        <v>0</v>
      </c>
      <c r="L76" s="27">
        <f t="shared" si="27"/>
        <v>0</v>
      </c>
      <c r="M76" s="3">
        <f t="shared" si="2"/>
        <v>0</v>
      </c>
      <c r="N76" s="3">
        <f t="shared" si="3"/>
        <v>0</v>
      </c>
      <c r="O76" s="3">
        <f t="shared" si="5"/>
        <v>0</v>
      </c>
      <c r="P76" s="3"/>
    </row>
    <row r="77" spans="1:16" x14ac:dyDescent="0.35">
      <c r="A77" t="s">
        <v>3916</v>
      </c>
      <c r="B77" s="3">
        <f>_xlfn.IFNA(_xlfn.XLOOKUP(A77,'Price list'!G:G,'Price list'!H:H),0)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4"/>
        <v>0</v>
      </c>
      <c r="K77" s="3">
        <f t="shared" si="0"/>
        <v>0</v>
      </c>
      <c r="L77" s="27">
        <f t="shared" si="27"/>
        <v>0</v>
      </c>
      <c r="M77" s="3">
        <f t="shared" si="2"/>
        <v>0</v>
      </c>
      <c r="N77" s="3">
        <f t="shared" si="3"/>
        <v>0</v>
      </c>
      <c r="O77" s="3">
        <f t="shared" si="5"/>
        <v>0</v>
      </c>
      <c r="P77" s="3"/>
    </row>
    <row r="78" spans="1:16" x14ac:dyDescent="0.35">
      <c r="A78" t="s">
        <v>3917</v>
      </c>
      <c r="B78" s="3">
        <f>_xlfn.IFNA(_xlfn.XLOOKUP(A78,'Price list'!G:G,'Price list'!H:H),0)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4"/>
        <v>0</v>
      </c>
      <c r="K78" s="3">
        <f t="shared" si="0"/>
        <v>0</v>
      </c>
      <c r="L78" s="27">
        <f t="shared" si="27"/>
        <v>0</v>
      </c>
      <c r="M78" s="3">
        <f t="shared" si="2"/>
        <v>0</v>
      </c>
      <c r="N78" s="3">
        <f t="shared" si="3"/>
        <v>0</v>
      </c>
      <c r="O78" s="3">
        <f t="shared" si="5"/>
        <v>0</v>
      </c>
      <c r="P78" s="3"/>
    </row>
    <row r="79" spans="1:16" x14ac:dyDescent="0.35">
      <c r="A79" t="s">
        <v>3918</v>
      </c>
      <c r="B79" s="3">
        <f>_xlfn.IFNA(_xlfn.XLOOKUP(A79,'Price list'!G:G,'Price list'!H:H),0)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4"/>
        <v>0</v>
      </c>
      <c r="K79" s="3">
        <f t="shared" si="0"/>
        <v>0</v>
      </c>
      <c r="L79" s="27">
        <f t="shared" si="27"/>
        <v>0</v>
      </c>
      <c r="M79" s="3">
        <f t="shared" si="2"/>
        <v>0</v>
      </c>
      <c r="N79" s="3">
        <f t="shared" si="3"/>
        <v>0</v>
      </c>
      <c r="O79" s="3">
        <f t="shared" si="5"/>
        <v>0</v>
      </c>
      <c r="P79" s="3"/>
    </row>
    <row r="80" spans="1:16" x14ac:dyDescent="0.35">
      <c r="A80" t="s">
        <v>3919</v>
      </c>
      <c r="B80" s="3">
        <f>_xlfn.IFNA(_xlfn.XLOOKUP(A80,'Price list'!G:G,'Price list'!H:H),0)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4"/>
        <v>0</v>
      </c>
      <c r="K80" s="3">
        <f t="shared" si="0"/>
        <v>0</v>
      </c>
      <c r="L80" s="27">
        <f t="shared" si="27"/>
        <v>0</v>
      </c>
      <c r="M80" s="3">
        <f t="shared" si="2"/>
        <v>0</v>
      </c>
      <c r="N80" s="3">
        <f t="shared" si="3"/>
        <v>0</v>
      </c>
      <c r="O80" s="3">
        <f t="shared" si="5"/>
        <v>0</v>
      </c>
      <c r="P80" s="3"/>
    </row>
    <row r="81" spans="1:18" x14ac:dyDescent="0.35">
      <c r="A81" t="s">
        <v>3920</v>
      </c>
      <c r="B81" s="3">
        <f>_xlfn.IFNA(_xlfn.XLOOKUP(A81,'Price list'!G:G,'Price list'!H:H),0)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4"/>
        <v>0</v>
      </c>
      <c r="K81" s="3">
        <f t="shared" ref="K81:K85" si="28">+B81*(F81+I81)</f>
        <v>0</v>
      </c>
      <c r="L81" s="27">
        <f t="shared" si="27"/>
        <v>0</v>
      </c>
      <c r="M81" s="3">
        <f t="shared" ref="M81:M85" si="29">+L81*(F81+I81)</f>
        <v>0</v>
      </c>
      <c r="N81" s="3">
        <f t="shared" ref="N81:N85" si="30">IF(L81=0,0,B81-L81)</f>
        <v>0</v>
      </c>
      <c r="O81" s="3">
        <f t="shared" si="5"/>
        <v>0</v>
      </c>
      <c r="P81" s="3"/>
    </row>
    <row r="82" spans="1:18" x14ac:dyDescent="0.35">
      <c r="A82" t="s">
        <v>3921</v>
      </c>
      <c r="B82" s="3">
        <f>_xlfn.IFNA(_xlfn.XLOOKUP(A82,'Price list'!G:G,'Price list'!H:H),0)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3">
        <v>0</v>
      </c>
      <c r="J82" s="26">
        <f t="shared" ref="J82:J85" si="31">IF(F82/J$5&gt;0,F82/J$5,I82/J$5)</f>
        <v>0</v>
      </c>
      <c r="K82" s="3">
        <f t="shared" si="28"/>
        <v>0</v>
      </c>
      <c r="L82" s="27">
        <f t="shared" si="27"/>
        <v>0</v>
      </c>
      <c r="M82" s="3">
        <f t="shared" si="29"/>
        <v>0</v>
      </c>
      <c r="N82" s="3">
        <f t="shared" si="30"/>
        <v>0</v>
      </c>
      <c r="O82" s="3">
        <f t="shared" ref="O82:O85" si="32">+K82-M82</f>
        <v>0</v>
      </c>
      <c r="P82" s="3"/>
    </row>
    <row r="83" spans="1:18" x14ac:dyDescent="0.35">
      <c r="A83" t="s">
        <v>3922</v>
      </c>
      <c r="B83" s="3">
        <f>_xlfn.IFNA(_xlfn.XLOOKUP(A83,'Price list'!G:G,'Price list'!H:H),0)</f>
        <v>0</v>
      </c>
      <c r="C83" t="s">
        <v>9</v>
      </c>
      <c r="E83" s="3"/>
      <c r="F83" s="3"/>
      <c r="G83" s="3"/>
      <c r="H83" s="3" t="str">
        <f>IF(G83=0,"",_xlfn.XLOOKUP(G83,List_item!A:A,List_item!B:B))</f>
        <v/>
      </c>
      <c r="I83" s="3">
        <v>0</v>
      </c>
      <c r="J83" s="26">
        <f t="shared" si="31"/>
        <v>0</v>
      </c>
      <c r="K83" s="3">
        <f t="shared" si="28"/>
        <v>0</v>
      </c>
      <c r="L83" s="27">
        <f t="shared" si="27"/>
        <v>0</v>
      </c>
      <c r="M83" s="3">
        <f t="shared" si="29"/>
        <v>0</v>
      </c>
      <c r="N83" s="3">
        <f t="shared" si="30"/>
        <v>0</v>
      </c>
      <c r="O83" s="3">
        <f t="shared" si="32"/>
        <v>0</v>
      </c>
      <c r="P83" s="3"/>
    </row>
    <row r="84" spans="1:18" x14ac:dyDescent="0.35">
      <c r="A84" t="s">
        <v>3923</v>
      </c>
      <c r="B84" s="3">
        <f>_xlfn.IFNA(_xlfn.XLOOKUP(A84,'Price list'!G:G,'Price list'!H:H),0)</f>
        <v>0</v>
      </c>
      <c r="C84" t="s">
        <v>9</v>
      </c>
      <c r="E84" s="3"/>
      <c r="F84" s="3"/>
      <c r="G84" s="3"/>
      <c r="H84" s="3" t="str">
        <f>IF(G84=0,"",_xlfn.XLOOKUP(G84,List_item!A:A,List_item!B:B))</f>
        <v/>
      </c>
      <c r="I84" s="3">
        <v>0</v>
      </c>
      <c r="J84" s="26">
        <f t="shared" si="31"/>
        <v>0</v>
      </c>
      <c r="K84" s="3">
        <f t="shared" si="28"/>
        <v>0</v>
      </c>
      <c r="L84" s="27">
        <f t="shared" si="27"/>
        <v>0</v>
      </c>
      <c r="M84" s="3">
        <f t="shared" si="29"/>
        <v>0</v>
      </c>
      <c r="N84" s="3">
        <f t="shared" si="30"/>
        <v>0</v>
      </c>
      <c r="O84" s="3">
        <f t="shared" si="32"/>
        <v>0</v>
      </c>
      <c r="P84" s="3"/>
    </row>
    <row r="85" spans="1:18" x14ac:dyDescent="0.35">
      <c r="A85" t="s">
        <v>3924</v>
      </c>
      <c r="B85" s="3">
        <f>_xlfn.IFNA(_xlfn.XLOOKUP(A85,'Price list'!G:G,'Price list'!H:H),0)</f>
        <v>0</v>
      </c>
      <c r="C85" t="s">
        <v>9</v>
      </c>
      <c r="E85" s="3"/>
      <c r="F85" s="3"/>
      <c r="G85" s="3"/>
      <c r="H85" s="3" t="str">
        <f>IF(G85=0,"",_xlfn.XLOOKUP(G85,List_item!A:A,List_item!B:B))</f>
        <v/>
      </c>
      <c r="I85" s="3">
        <v>0</v>
      </c>
      <c r="J85" s="26">
        <f t="shared" si="31"/>
        <v>0</v>
      </c>
      <c r="K85" s="3">
        <f t="shared" si="28"/>
        <v>0</v>
      </c>
      <c r="L85" s="27">
        <f t="shared" si="27"/>
        <v>0</v>
      </c>
      <c r="M85" s="3">
        <f t="shared" si="29"/>
        <v>0</v>
      </c>
      <c r="N85" s="3">
        <f t="shared" si="30"/>
        <v>0</v>
      </c>
      <c r="O85" s="3">
        <f t="shared" si="32"/>
        <v>0</v>
      </c>
      <c r="P85" s="3"/>
    </row>
    <row r="88" spans="1:18" s="2" customFormat="1" x14ac:dyDescent="0.35">
      <c r="A88" t="s">
        <v>3929</v>
      </c>
      <c r="B88"/>
      <c r="C88"/>
      <c r="D88"/>
      <c r="E88"/>
      <c r="F88" s="117"/>
      <c r="G88" t="s">
        <v>3930</v>
      </c>
      <c r="Q88"/>
      <c r="R88"/>
    </row>
    <row r="89" spans="1:18" s="2" customFormat="1" x14ac:dyDescent="0.35">
      <c r="A89"/>
      <c r="B89"/>
      <c r="C89"/>
      <c r="D89"/>
      <c r="E89"/>
      <c r="F89" s="117"/>
      <c r="G89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  <row r="91" spans="1:18" s="2" customFormat="1" x14ac:dyDescent="0.35">
      <c r="A91"/>
      <c r="B91"/>
      <c r="C91"/>
      <c r="D91"/>
      <c r="E91"/>
      <c r="F91" s="117"/>
      <c r="G91"/>
      <c r="Q91"/>
      <c r="R91"/>
    </row>
    <row r="92" spans="1:18" s="2" customFormat="1" x14ac:dyDescent="0.35">
      <c r="A92"/>
      <c r="B92"/>
      <c r="C92"/>
      <c r="D92"/>
      <c r="E92"/>
      <c r="F92" s="117"/>
      <c r="G92"/>
      <c r="Q92"/>
      <c r="R92"/>
    </row>
    <row r="93" spans="1:18" s="2" customFormat="1" x14ac:dyDescent="0.35">
      <c r="A93"/>
      <c r="B93"/>
      <c r="C93"/>
      <c r="D93"/>
      <c r="E93"/>
      <c r="F93" s="117"/>
      <c r="G93"/>
      <c r="Q93"/>
      <c r="R93"/>
    </row>
    <row r="94" spans="1:18" s="2" customFormat="1" x14ac:dyDescent="0.35">
      <c r="A94" s="118"/>
      <c r="B94"/>
      <c r="C94"/>
      <c r="D94"/>
      <c r="E94"/>
      <c r="F94" s="117"/>
      <c r="G94" s="118"/>
      <c r="Q94"/>
      <c r="R94"/>
    </row>
    <row r="95" spans="1:18" s="2" customFormat="1" x14ac:dyDescent="0.35">
      <c r="A95"/>
      <c r="B95"/>
      <c r="C95"/>
      <c r="D95"/>
      <c r="E95"/>
      <c r="F95" s="117"/>
      <c r="G95"/>
      <c r="Q95"/>
      <c r="R95"/>
    </row>
  </sheetData>
  <autoFilter ref="A10:P85" xr:uid="{9E3D57EB-0D9F-40FE-B4FE-C94EEFF00F8F}"/>
  <conditionalFormatting sqref="O10">
    <cfRule type="cellIs" dxfId="9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rowBreaks count="1" manualBreakCount="1">
    <brk id="70" max="1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0211-D4D1-4A26-8B57-9524F053556B}">
  <sheetPr>
    <tabColor theme="3"/>
    <pageSetUpPr fitToPage="1"/>
  </sheetPr>
  <dimension ref="A1:R92"/>
  <sheetViews>
    <sheetView view="pageBreakPreview" zoomScale="60" zoomScaleNormal="80" workbookViewId="0">
      <pane xSplit="3" ySplit="9" topLeftCell="D10" activePane="bottomRight" state="frozen"/>
      <selection activeCell="A751" sqref="A751"/>
      <selection pane="topRight" activeCell="A751" sqref="A751"/>
      <selection pane="bottomLeft" activeCell="A751" sqref="A751"/>
      <selection pane="bottomRight" activeCell="A57" sqref="A57:XFD68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2.269531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s="18" t="s">
        <v>3865</v>
      </c>
      <c r="C2" s="19">
        <f>182241720*0.25%</f>
        <v>455604.3</v>
      </c>
      <c r="E2" s="159">
        <v>46281</v>
      </c>
      <c r="F2" s="159">
        <v>46280</v>
      </c>
      <c r="G2" s="19" t="s">
        <v>3943</v>
      </c>
    </row>
    <row r="3" spans="1:18" x14ac:dyDescent="0.35">
      <c r="A3" s="101" t="s">
        <v>3866</v>
      </c>
      <c r="B3" s="2">
        <f>182241720+300285000</f>
        <v>482526720</v>
      </c>
      <c r="C3" s="19">
        <f>300285000*0.25%</f>
        <v>750712.5</v>
      </c>
      <c r="E3" s="157" t="s">
        <v>4114</v>
      </c>
      <c r="F3" s="157" t="s">
        <v>4117</v>
      </c>
      <c r="G3" s="156" t="s">
        <v>4030</v>
      </c>
      <c r="H3" s="157" t="s">
        <v>4118</v>
      </c>
      <c r="I3" s="101" t="s">
        <v>3870</v>
      </c>
      <c r="J3" s="2" t="s">
        <v>3950</v>
      </c>
      <c r="Q3" s="25"/>
      <c r="R3" s="2"/>
    </row>
    <row r="4" spans="1:18" x14ac:dyDescent="0.35">
      <c r="A4" s="101" t="s">
        <v>3867</v>
      </c>
      <c r="B4" s="2">
        <f>9000000+7500000</f>
        <v>16500000</v>
      </c>
      <c r="E4" s="157" t="s">
        <v>4115</v>
      </c>
      <c r="F4" s="157" t="s">
        <v>4116</v>
      </c>
      <c r="G4" s="157"/>
      <c r="H4" s="157" t="s">
        <v>4033</v>
      </c>
      <c r="I4" s="101" t="s">
        <v>3872</v>
      </c>
      <c r="J4" s="115">
        <v>46281</v>
      </c>
      <c r="K4" s="2" t="s">
        <v>4032</v>
      </c>
      <c r="M4" s="2" t="s">
        <v>4031</v>
      </c>
    </row>
    <row r="5" spans="1:18" x14ac:dyDescent="0.35">
      <c r="A5" s="101" t="s">
        <v>3868</v>
      </c>
      <c r="B5" s="2">
        <f>26407181+432432</f>
        <v>26839613</v>
      </c>
      <c r="C5" s="2">
        <v>29312000</v>
      </c>
      <c r="E5" s="157"/>
      <c r="F5" s="157"/>
      <c r="G5" s="157" t="s">
        <v>4113</v>
      </c>
      <c r="H5" s="157" t="s">
        <v>4034</v>
      </c>
      <c r="I5" s="101" t="s">
        <v>3944</v>
      </c>
      <c r="J5" s="19">
        <f>4000+3408.2+4000+4000+4011.4</f>
        <v>19419.600000000002</v>
      </c>
      <c r="K5" s="2">
        <v>18320</v>
      </c>
      <c r="L5" s="2">
        <f>J5-K5</f>
        <v>1099.6000000000022</v>
      </c>
      <c r="M5" s="147">
        <f>L5/J5</f>
        <v>5.6623205421327011E-2</v>
      </c>
    </row>
    <row r="6" spans="1:18" x14ac:dyDescent="0.35">
      <c r="A6" s="102" t="s">
        <v>3869</v>
      </c>
      <c r="B6" s="19">
        <f>SUM(B3:B5)</f>
        <v>525866333</v>
      </c>
      <c r="J6" s="2">
        <f>4000+4000+4011.4</f>
        <v>12011.4</v>
      </c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SUM(K11:K68)/M10-1</f>
        <v>-2.4869120115358245E-2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525866333</v>
      </c>
      <c r="G10" s="5"/>
      <c r="H10" s="5"/>
      <c r="I10" s="5">
        <f>SUM(I11:I82)</f>
        <v>16870.900000000005</v>
      </c>
      <c r="J10" s="111">
        <f>SUM(J11:J82)</f>
        <v>0.86875630805989812</v>
      </c>
      <c r="K10" s="5">
        <f>+SUM(K11:K82)</f>
        <v>512788500</v>
      </c>
      <c r="L10" s="5"/>
      <c r="M10" s="5">
        <f>+SUM(M11:M82)</f>
        <v>525866333</v>
      </c>
      <c r="N10" s="5"/>
      <c r="O10" s="5">
        <f>+SUM(O11:O82)</f>
        <v>-13077832.999999996</v>
      </c>
    </row>
    <row r="11" spans="1:18" x14ac:dyDescent="0.35">
      <c r="A11" t="s">
        <v>3873</v>
      </c>
      <c r="B11" s="3">
        <f>_xlfn.IFNA(_xlfn.XLOOKUP(A11,'Price list'!G:G,'Price list'!H:H),0)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77" si="0">+B11*(F11+I11)</f>
        <v>0</v>
      </c>
      <c r="L11" s="27">
        <f t="shared" ref="L11:L42" si="1">IFERROR(((K11/SUM($K$11:$K$82))*$F$10)/(F11+I11),0)</f>
        <v>0</v>
      </c>
      <c r="M11" s="3">
        <f t="shared" ref="M11:M77" si="2">+L11*(F11+I11)</f>
        <v>0</v>
      </c>
      <c r="N11" s="3">
        <f t="shared" ref="N11:N77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list'!G:G,'Price list'!H:H),0)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78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78" si="5">+K12-M12</f>
        <v>0</v>
      </c>
      <c r="P12" s="3"/>
      <c r="R12" s="3"/>
    </row>
    <row r="13" spans="1:18" x14ac:dyDescent="0.35">
      <c r="A13" t="s">
        <v>3875</v>
      </c>
      <c r="B13" s="3">
        <f>_xlfn.IFNA(_xlfn.XLOOKUP(A13,'Price list'!G:G,'Price list'!H:H),0)</f>
        <v>36500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si="4"/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si="5"/>
        <v>0</v>
      </c>
      <c r="P13" s="3"/>
    </row>
    <row r="14" spans="1:18" x14ac:dyDescent="0.35">
      <c r="A14" t="s">
        <v>3876</v>
      </c>
      <c r="B14" s="3">
        <f>_xlfn.IFNA(_xlfn.XLOOKUP(A14,'Price list'!G:G,'Price list'!H:H),0)</f>
        <v>36500</v>
      </c>
      <c r="C14" t="s">
        <v>9</v>
      </c>
      <c r="E14" s="3"/>
      <c r="F14" s="3"/>
      <c r="G14" s="3"/>
      <c r="H14" s="3" t="str">
        <f>IF(G14=0,"",_xlfn.XLOOKUP(G14,List_item!A:A,List_item!B:B))</f>
        <v/>
      </c>
      <c r="I14" s="3">
        <v>0</v>
      </c>
      <c r="J14" s="26">
        <f t="shared" si="4"/>
        <v>0</v>
      </c>
      <c r="K14" s="3">
        <f t="shared" si="0"/>
        <v>0</v>
      </c>
      <c r="L14" s="27">
        <f t="shared" si="1"/>
        <v>0</v>
      </c>
      <c r="M14" s="3">
        <f t="shared" si="2"/>
        <v>0</v>
      </c>
      <c r="N14" s="3">
        <f t="shared" si="3"/>
        <v>0</v>
      </c>
      <c r="O14" s="3">
        <f t="shared" si="5"/>
        <v>0</v>
      </c>
      <c r="P14" s="3"/>
    </row>
    <row r="15" spans="1:18" s="196" customFormat="1" x14ac:dyDescent="0.35">
      <c r="A15" s="196" t="s">
        <v>3877</v>
      </c>
      <c r="B15" s="197">
        <f>_xlfn.IFNA(_xlfn.XLOOKUP(A15,'Price list'!G:G,'Price list'!H:H),0)</f>
        <v>36500</v>
      </c>
      <c r="C15" s="196" t="s">
        <v>9</v>
      </c>
      <c r="G15" s="197" t="s">
        <v>2221</v>
      </c>
      <c r="H15" s="197" t="str">
        <f>IF(G15=0,"",_xlfn.XLOOKUP(G15,List_item!A:A,List_item!B:B))</f>
        <v>Karkas Uk 0.7 Karkas Uk 0.7 Frozen Premium</v>
      </c>
      <c r="I15" s="197">
        <v>4.7</v>
      </c>
      <c r="J15" s="198">
        <f t="shared" si="4"/>
        <v>2.4202352262662463E-4</v>
      </c>
      <c r="K15" s="197">
        <f t="shared" si="0"/>
        <v>171550</v>
      </c>
      <c r="L15" s="199">
        <f t="shared" si="1"/>
        <v>37430.872873514127</v>
      </c>
      <c r="M15" s="197">
        <f t="shared" si="2"/>
        <v>175925.10250551641</v>
      </c>
      <c r="N15" s="197">
        <f t="shared" si="3"/>
        <v>-930.8728735141267</v>
      </c>
      <c r="O15" s="197">
        <f t="shared" si="5"/>
        <v>-4375.1025055164064</v>
      </c>
      <c r="P15" s="197"/>
    </row>
    <row r="16" spans="1:18" x14ac:dyDescent="0.35">
      <c r="A16" t="s">
        <v>3878</v>
      </c>
      <c r="B16" s="3">
        <f>_xlfn.IFNA(_xlfn.XLOOKUP(A16,'Price list'!G:G,'Price list'!H:H),0)</f>
        <v>36500</v>
      </c>
      <c r="C16" t="s">
        <v>9</v>
      </c>
      <c r="E16" s="3"/>
      <c r="F16"/>
      <c r="G16" s="3"/>
      <c r="H16" s="3" t="str">
        <f>IF(G16=0,"",_xlfn.XLOOKUP(G16,List_item!A:A,List_item!B:B))</f>
        <v/>
      </c>
      <c r="I16" s="3">
        <v>0</v>
      </c>
      <c r="J16" s="26">
        <f t="shared" si="4"/>
        <v>0</v>
      </c>
      <c r="K16" s="3">
        <f t="shared" si="0"/>
        <v>0</v>
      </c>
      <c r="L16" s="27">
        <f t="shared" si="1"/>
        <v>0</v>
      </c>
      <c r="M16" s="3">
        <f t="shared" si="2"/>
        <v>0</v>
      </c>
      <c r="N16" s="3">
        <f t="shared" si="3"/>
        <v>0</v>
      </c>
      <c r="O16" s="3">
        <f t="shared" si="5"/>
        <v>0</v>
      </c>
      <c r="P16" s="3"/>
    </row>
    <row r="17" spans="1:16" s="196" customFormat="1" x14ac:dyDescent="0.35">
      <c r="A17" s="196" t="s">
        <v>3879</v>
      </c>
      <c r="B17" s="197">
        <f>_xlfn.IFNA(_xlfn.XLOOKUP(A17,'Price list'!G:G,'Price list'!H:H),0)</f>
        <v>36500</v>
      </c>
      <c r="C17" s="196" t="s">
        <v>9</v>
      </c>
      <c r="G17" s="197" t="s">
        <v>2223</v>
      </c>
      <c r="H17" s="197" t="str">
        <f>IF(G17=0,"",_xlfn.XLOOKUP(G17,List_item!A:A,List_item!B:B))</f>
        <v>Karkas Uk 0.9 Frozen Premium</v>
      </c>
      <c r="I17" s="197">
        <v>33.299999999999997</v>
      </c>
      <c r="J17" s="198">
        <f t="shared" si="4"/>
        <v>1.7147624049928935E-3</v>
      </c>
      <c r="K17" s="197">
        <f t="shared" si="0"/>
        <v>1215450</v>
      </c>
      <c r="L17" s="199">
        <f t="shared" si="1"/>
        <v>37430.872873514134</v>
      </c>
      <c r="M17" s="197">
        <f t="shared" si="2"/>
        <v>1246448.0666880205</v>
      </c>
      <c r="N17" s="197">
        <f t="shared" si="3"/>
        <v>-930.87287351413397</v>
      </c>
      <c r="O17" s="197">
        <f t="shared" si="5"/>
        <v>-30998.066688020481</v>
      </c>
      <c r="P17" s="197"/>
    </row>
    <row r="18" spans="1:16" s="196" customFormat="1" x14ac:dyDescent="0.35">
      <c r="A18" s="196" t="s">
        <v>3880</v>
      </c>
      <c r="B18" s="197">
        <f>_xlfn.IFNA(_xlfn.XLOOKUP(A18,'Price list'!G:G,'Price list'!H:H),0)</f>
        <v>36500</v>
      </c>
      <c r="C18" s="196" t="s">
        <v>9</v>
      </c>
      <c r="G18" s="197" t="s">
        <v>923</v>
      </c>
      <c r="H18" s="197" t="str">
        <f>IF(G18=0,"",_xlfn.XLOOKUP(G18,List_item!A:A,List_item!B:B))</f>
        <v>Karkas Uk 1.0 Karkas Uk 1.0 Frozen Premium</v>
      </c>
      <c r="I18" s="197">
        <v>109.3</v>
      </c>
      <c r="J18" s="198">
        <f t="shared" si="4"/>
        <v>5.6283342602319302E-3</v>
      </c>
      <c r="K18" s="197">
        <f t="shared" si="0"/>
        <v>3989450</v>
      </c>
      <c r="L18" s="199">
        <f t="shared" si="1"/>
        <v>37430.872873514127</v>
      </c>
      <c r="M18" s="197">
        <f t="shared" si="2"/>
        <v>4091194.4050750937</v>
      </c>
      <c r="N18" s="197">
        <f t="shared" si="3"/>
        <v>-930.8728735141267</v>
      </c>
      <c r="O18" s="197">
        <f t="shared" si="5"/>
        <v>-101744.40507509373</v>
      </c>
      <c r="P18" s="197"/>
    </row>
    <row r="19" spans="1:16" s="196" customFormat="1" x14ac:dyDescent="0.35">
      <c r="A19" s="196" t="s">
        <v>3881</v>
      </c>
      <c r="B19" s="197">
        <f>_xlfn.IFNA(_xlfn.XLOOKUP(A19,'Price list'!G:G,'Price list'!H:H),0)</f>
        <v>36500</v>
      </c>
      <c r="C19" s="196" t="s">
        <v>9</v>
      </c>
      <c r="G19" s="197" t="s">
        <v>989</v>
      </c>
      <c r="H19" s="197" t="str">
        <f>IF(G19=0,"",_xlfn.XLOOKUP(G19,List_item!A:A,List_item!B:B))</f>
        <v>Karkas Uk 1.1 Karkas Uk 1.1 Frozen Premium</v>
      </c>
      <c r="I19" s="197">
        <v>360.7</v>
      </c>
      <c r="J19" s="198">
        <f t="shared" si="4"/>
        <v>1.8574018002430533E-2</v>
      </c>
      <c r="K19" s="197">
        <f t="shared" si="0"/>
        <v>13165550</v>
      </c>
      <c r="L19" s="199">
        <f t="shared" si="1"/>
        <v>37430.872873514134</v>
      </c>
      <c r="M19" s="197">
        <f t="shared" si="2"/>
        <v>13501315.845476547</v>
      </c>
      <c r="N19" s="197">
        <f t="shared" si="3"/>
        <v>-930.87287351413397</v>
      </c>
      <c r="O19" s="197">
        <f t="shared" si="5"/>
        <v>-335765.84547654726</v>
      </c>
      <c r="P19" s="197"/>
    </row>
    <row r="20" spans="1:16" s="196" customFormat="1" x14ac:dyDescent="0.35">
      <c r="A20" s="196" t="s">
        <v>3882</v>
      </c>
      <c r="B20" s="197">
        <f>_xlfn.IFNA(_xlfn.XLOOKUP(A20,'Price list'!G:G,'Price list'!H:H),0)</f>
        <v>36500</v>
      </c>
      <c r="C20" s="196" t="s">
        <v>9</v>
      </c>
      <c r="G20" s="197" t="s">
        <v>1055</v>
      </c>
      <c r="H20" s="197" t="str">
        <f>IF(G20=0,"",_xlfn.XLOOKUP(G20,List_item!A:A,List_item!B:B))</f>
        <v>Karkas Uk 1.2 Karkas Uk 1.2 Frozen Premium</v>
      </c>
      <c r="I20" s="197">
        <v>1107.8</v>
      </c>
      <c r="J20" s="198">
        <f t="shared" si="4"/>
        <v>5.7045459226760582E-2</v>
      </c>
      <c r="K20" s="197">
        <f t="shared" si="0"/>
        <v>40434700</v>
      </c>
      <c r="L20" s="199">
        <f t="shared" si="1"/>
        <v>37430.872873514134</v>
      </c>
      <c r="M20" s="197">
        <f t="shared" si="2"/>
        <v>41465920.969278954</v>
      </c>
      <c r="N20" s="197">
        <f t="shared" si="3"/>
        <v>-930.87287351413397</v>
      </c>
      <c r="O20" s="197">
        <f t="shared" si="5"/>
        <v>-1031220.969278954</v>
      </c>
      <c r="P20" s="197"/>
    </row>
    <row r="21" spans="1:16" s="196" customFormat="1" x14ac:dyDescent="0.35">
      <c r="A21" s="196" t="s">
        <v>3883</v>
      </c>
      <c r="B21" s="197">
        <f>_xlfn.IFNA(_xlfn.XLOOKUP(A21,'Price list'!G:G,'Price list'!H:H),0)</f>
        <v>36500</v>
      </c>
      <c r="C21" s="196" t="s">
        <v>9</v>
      </c>
      <c r="G21" s="197" t="s">
        <v>1089</v>
      </c>
      <c r="H21" s="197" t="str">
        <f>IF(G21=0,"",_xlfn.XLOOKUP(G21,List_item!A:A,List_item!B:B))</f>
        <v>Karkas Uk 1.3 Karkas Uk 1.3 Fresh Premium</v>
      </c>
      <c r="I21" s="197">
        <v>1828.1</v>
      </c>
      <c r="J21" s="198">
        <f t="shared" si="4"/>
        <v>9.4136851428453711E-2</v>
      </c>
      <c r="K21" s="197">
        <f t="shared" si="0"/>
        <v>66725650</v>
      </c>
      <c r="L21" s="199">
        <f t="shared" si="1"/>
        <v>37430.872873514134</v>
      </c>
      <c r="M21" s="197">
        <f t="shared" si="2"/>
        <v>68427378.700071186</v>
      </c>
      <c r="N21" s="197">
        <f t="shared" si="3"/>
        <v>-930.87287351413397</v>
      </c>
      <c r="O21" s="197">
        <f t="shared" si="5"/>
        <v>-1701728.7000711858</v>
      </c>
      <c r="P21" s="197"/>
    </row>
    <row r="22" spans="1:16" s="196" customFormat="1" x14ac:dyDescent="0.35">
      <c r="A22" s="196" t="s">
        <v>3884</v>
      </c>
      <c r="B22" s="197">
        <f>_xlfn.IFNA(_xlfn.XLOOKUP(A22,'Price list'!G:G,'Price list'!H:H),0)</f>
        <v>36500</v>
      </c>
      <c r="C22" s="196" t="s">
        <v>9</v>
      </c>
      <c r="G22" s="197" t="s">
        <v>1155</v>
      </c>
      <c r="H22" s="197" t="str">
        <f>IF(G22=0,"",_xlfn.XLOOKUP(G22,List_item!A:A,List_item!B:B))</f>
        <v>Karkas Uk 1.4 Karkas Uk 1.4 Fresh Premium</v>
      </c>
      <c r="I22" s="197">
        <v>2084.8000000000002</v>
      </c>
      <c r="J22" s="198">
        <f t="shared" si="4"/>
        <v>0.10735545531318874</v>
      </c>
      <c r="K22" s="197">
        <f t="shared" si="0"/>
        <v>76095200</v>
      </c>
      <c r="L22" s="199">
        <f t="shared" si="1"/>
        <v>37430.872873514119</v>
      </c>
      <c r="M22" s="197">
        <f t="shared" si="2"/>
        <v>78035883.76670225</v>
      </c>
      <c r="N22" s="197">
        <f t="shared" si="3"/>
        <v>-930.87287351411942</v>
      </c>
      <c r="O22" s="197">
        <f t="shared" si="5"/>
        <v>-1940683.7667022496</v>
      </c>
      <c r="P22" s="197"/>
    </row>
    <row r="23" spans="1:16" s="196" customFormat="1" x14ac:dyDescent="0.35">
      <c r="A23" s="196" t="s">
        <v>3884</v>
      </c>
      <c r="B23" s="197">
        <f>_xlfn.IFNA(_xlfn.XLOOKUP(A23,'Price list'!G:G,'Price list'!H:H),0)</f>
        <v>36500</v>
      </c>
      <c r="C23" s="196" t="s">
        <v>9</v>
      </c>
      <c r="G23" s="197" t="s">
        <v>1252</v>
      </c>
      <c r="H23" s="197" t="str">
        <f>IF(G23=0,"",_xlfn.XLOOKUP(G23,List_item!A:A,List_item!B:B))</f>
        <v>Karkas Uk 1.5 Karkas Uk 1.5 Frozen Premium</v>
      </c>
      <c r="I23" s="197">
        <v>2214.9</v>
      </c>
      <c r="J23" s="198">
        <f t="shared" si="4"/>
        <v>0.11405487239695976</v>
      </c>
      <c r="K23" s="197">
        <f t="shared" si="0"/>
        <v>80843850</v>
      </c>
      <c r="L23" s="199">
        <f t="shared" si="1"/>
        <v>37430.872873514127</v>
      </c>
      <c r="M23" s="197">
        <f t="shared" si="2"/>
        <v>82905640.327546448</v>
      </c>
      <c r="N23" s="197">
        <f t="shared" si="3"/>
        <v>-930.8728735141267</v>
      </c>
      <c r="O23" s="197">
        <f t="shared" si="5"/>
        <v>-2061790.3275464475</v>
      </c>
      <c r="P23" s="197"/>
    </row>
    <row r="24" spans="1:16" s="196" customFormat="1" x14ac:dyDescent="0.35">
      <c r="A24" s="196" t="s">
        <v>3849</v>
      </c>
      <c r="B24" s="197">
        <f>_xlfn.IFNA(_xlfn.XLOOKUP(A24,'Price list'!G:G,'Price list'!H:H),0)</f>
        <v>36500</v>
      </c>
      <c r="C24" s="196" t="s">
        <v>9</v>
      </c>
      <c r="G24" s="197" t="s">
        <v>1318</v>
      </c>
      <c r="H24" s="197" t="str">
        <f>IF(G24=0,"",_xlfn.XLOOKUP(G24,List_item!A:A,List_item!B:B))</f>
        <v>Karkas Uk 1.6 Karkas Uk 1.6 Frozen Premium</v>
      </c>
      <c r="I24" s="197">
        <v>1873.9</v>
      </c>
      <c r="J24" s="198">
        <f t="shared" si="4"/>
        <v>9.6495293414900402E-2</v>
      </c>
      <c r="K24" s="197">
        <f t="shared" si="0"/>
        <v>68397350</v>
      </c>
      <c r="L24" s="199">
        <f t="shared" si="1"/>
        <v>37430.872873514127</v>
      </c>
      <c r="M24" s="197">
        <f t="shared" si="2"/>
        <v>70141712.677678123</v>
      </c>
      <c r="N24" s="197">
        <f t="shared" si="3"/>
        <v>-930.8728735141267</v>
      </c>
      <c r="O24" s="197">
        <f t="shared" si="5"/>
        <v>-1744362.6776781231</v>
      </c>
      <c r="P24" s="197"/>
    </row>
    <row r="25" spans="1:16" s="196" customFormat="1" x14ac:dyDescent="0.35">
      <c r="A25" s="196" t="s">
        <v>3885</v>
      </c>
      <c r="B25" s="197">
        <f>_xlfn.IFNA(_xlfn.XLOOKUP(A25,'Price list'!G:G,'Price list'!H:H),0)</f>
        <v>36500</v>
      </c>
      <c r="C25" s="196" t="s">
        <v>9</v>
      </c>
      <c r="G25" s="197" t="s">
        <v>1384</v>
      </c>
      <c r="H25" s="197" t="str">
        <f>IF(G25=0,"",_xlfn.XLOOKUP(G25,List_item!A:A,List_item!B:B))</f>
        <v>Karkas Uk 1.7 Karkas Uk 1.7 Frozen Premium</v>
      </c>
      <c r="I25" s="197">
        <v>1310</v>
      </c>
      <c r="J25" s="198">
        <f t="shared" si="4"/>
        <v>6.7457620136357074E-2</v>
      </c>
      <c r="K25" s="197">
        <f t="shared" si="0"/>
        <v>47815000</v>
      </c>
      <c r="L25" s="199">
        <f t="shared" si="1"/>
        <v>37430.872873514127</v>
      </c>
      <c r="M25" s="197">
        <f t="shared" si="2"/>
        <v>49034443.464303508</v>
      </c>
      <c r="N25" s="197">
        <f t="shared" si="3"/>
        <v>-930.8728735141267</v>
      </c>
      <c r="O25" s="197">
        <f t="shared" si="5"/>
        <v>-1219443.4643035084</v>
      </c>
      <c r="P25" s="197"/>
    </row>
    <row r="26" spans="1:16" s="196" customFormat="1" x14ac:dyDescent="0.35">
      <c r="A26" s="196" t="s">
        <v>3886</v>
      </c>
      <c r="B26" s="197">
        <f>_xlfn.IFNA(_xlfn.XLOOKUP(A26,'Price list'!G:G,'Price list'!H:H),0)</f>
        <v>36500</v>
      </c>
      <c r="C26" s="196" t="s">
        <v>9</v>
      </c>
      <c r="G26" s="197" t="s">
        <v>1450</v>
      </c>
      <c r="H26" s="197" t="str">
        <f>IF(G26=0,"",_xlfn.XLOOKUP(G26,List_item!A:A,List_item!B:B))</f>
        <v>Karkas Uk 1.8 Karkas Uk 1.8 Frozen Premium</v>
      </c>
      <c r="I26" s="197">
        <v>824.8</v>
      </c>
      <c r="J26" s="198">
        <f t="shared" si="4"/>
        <v>4.2472553502646802E-2</v>
      </c>
      <c r="K26" s="197">
        <f t="shared" si="0"/>
        <v>30105200</v>
      </c>
      <c r="L26" s="199">
        <f t="shared" si="1"/>
        <v>37430.872873514127</v>
      </c>
      <c r="M26" s="197">
        <f t="shared" si="2"/>
        <v>30872983.946074449</v>
      </c>
      <c r="N26" s="197">
        <f t="shared" si="3"/>
        <v>-930.8728735141267</v>
      </c>
      <c r="O26" s="197">
        <f t="shared" si="5"/>
        <v>-767783.94607444853</v>
      </c>
      <c r="P26" s="197"/>
    </row>
    <row r="27" spans="1:16" s="196" customFormat="1" x14ac:dyDescent="0.35">
      <c r="A27" s="196" t="s">
        <v>3887</v>
      </c>
      <c r="B27" s="197">
        <f>_xlfn.IFNA(_xlfn.XLOOKUP(A27,'Price list'!G:G,'Price list'!H:H),0)</f>
        <v>36500</v>
      </c>
      <c r="C27" s="196" t="s">
        <v>9</v>
      </c>
      <c r="G27" s="197" t="s">
        <v>1516</v>
      </c>
      <c r="H27" s="197" t="str">
        <f>IF(G27=0,"",_xlfn.XLOOKUP(G27,List_item!A:A,List_item!B:B))</f>
        <v>Karkas Uk 1.9 Karkas Uk 1.9 Frozen Premium</v>
      </c>
      <c r="I27" s="197">
        <v>454.7</v>
      </c>
      <c r="J27" s="198">
        <f t="shared" si="4"/>
        <v>2.3414488454963023E-2</v>
      </c>
      <c r="K27" s="197">
        <f t="shared" si="0"/>
        <v>16596550</v>
      </c>
      <c r="L27" s="199">
        <f t="shared" si="1"/>
        <v>37430.872873514127</v>
      </c>
      <c r="M27" s="197">
        <f t="shared" si="2"/>
        <v>17019817.895586874</v>
      </c>
      <c r="N27" s="197">
        <f t="shared" si="3"/>
        <v>-930.8728735141267</v>
      </c>
      <c r="O27" s="197">
        <f t="shared" si="5"/>
        <v>-423267.89558687434</v>
      </c>
      <c r="P27" s="197"/>
    </row>
    <row r="28" spans="1:16" s="196" customFormat="1" x14ac:dyDescent="0.35">
      <c r="A28" s="196" t="s">
        <v>3888</v>
      </c>
      <c r="B28" s="197">
        <f>_xlfn.IFNA(_xlfn.XLOOKUP(A28,'Price list'!G:G,'Price list'!H:H),0)</f>
        <v>36500</v>
      </c>
      <c r="C28" s="196" t="s">
        <v>9</v>
      </c>
      <c r="G28" s="197" t="s">
        <v>1582</v>
      </c>
      <c r="H28" s="197" t="str">
        <f>IF(G28=0,"",_xlfn.XLOOKUP(G28,List_item!A:A,List_item!B:B))</f>
        <v>Karkas Uk 2.0 Karkas Uk 2.0 Frozen Premium</v>
      </c>
      <c r="I28" s="197">
        <v>304.8</v>
      </c>
      <c r="J28" s="198">
        <f t="shared" si="4"/>
        <v>1.5695482914169188E-2</v>
      </c>
      <c r="K28" s="197">
        <f t="shared" si="0"/>
        <v>11125200</v>
      </c>
      <c r="L28" s="199">
        <f t="shared" si="1"/>
        <v>37430.872873514127</v>
      </c>
      <c r="M28" s="197">
        <f t="shared" si="2"/>
        <v>11408930.051847106</v>
      </c>
      <c r="N28" s="197">
        <f t="shared" si="3"/>
        <v>-930.8728735141267</v>
      </c>
      <c r="O28" s="197">
        <f t="shared" si="5"/>
        <v>-283730.05184710585</v>
      </c>
      <c r="P28" s="197"/>
    </row>
    <row r="29" spans="1:16" x14ac:dyDescent="0.35">
      <c r="A29" t="s">
        <v>3889</v>
      </c>
      <c r="B29" s="3">
        <f>_xlfn.IFNA(_xlfn.XLOOKUP(A29,'Price list'!G:G,'Price list'!H:H),0)</f>
        <v>36500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3890</v>
      </c>
      <c r="B30" s="3">
        <f>_xlfn.IFNA(_xlfn.XLOOKUP(A30,'Price list'!G:G,'Price list'!H:H),0)</f>
        <v>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8</v>
      </c>
      <c r="B31" s="3">
        <f>_xlfn.IFNA(_xlfn.XLOOKUP(A31,'Price list'!G:G,'Price list'!H:H),0)</f>
        <v>50000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10</v>
      </c>
      <c r="B32" s="3">
        <f>_xlfn.IFNA(_xlfn.XLOOKUP(A32,'Price list'!G:G,'Price list'!H:H),0)</f>
        <v>48000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12</v>
      </c>
      <c r="B33" s="3">
        <f>_xlfn.IFNA(_xlfn.XLOOKUP(A33,'Price list'!G:G,'Price list'!H:H),0)</f>
        <v>49000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2159</v>
      </c>
      <c r="B34" s="3">
        <f>_xlfn.IFNA(_xlfn.XLOOKUP(A34,'Price list'!G:G,'Price list'!H:H),0)</f>
        <v>5500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3891</v>
      </c>
      <c r="B35" s="3">
        <f>_xlfn.IFNA(_xlfn.XLOOKUP(A35,'Price list'!G:G,'Price list'!H:H),0)</f>
        <v>20000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3892</v>
      </c>
      <c r="B36" s="3">
        <f>_xlfn.IFNA(_xlfn.XLOOKUP(A36,'Price list'!G:G,'Price list'!H:H),0)</f>
        <v>22000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3852</v>
      </c>
      <c r="B37" s="3">
        <f>_xlfn.IFNA(_xlfn.XLOOKUP(A37,'Price list'!G:G,'Price list'!H:H),0)</f>
        <v>18000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17</v>
      </c>
      <c r="B38" s="3">
        <f>_xlfn.IFNA(_xlfn.XLOOKUP(A38,'Price list'!G:G,'Price list'!H:H),0)</f>
        <v>3500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x14ac:dyDescent="0.35">
      <c r="A39" t="s">
        <v>2199</v>
      </c>
      <c r="B39" s="3">
        <f>_xlfn.IFNA(_xlfn.XLOOKUP(A39,'Price list'!G:G,'Price list'!H:H),0)</f>
        <v>38000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si="1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6" s="196" customFormat="1" x14ac:dyDescent="0.35">
      <c r="A40" s="196" t="s">
        <v>2161</v>
      </c>
      <c r="B40" s="197">
        <f>_xlfn.IFNA(_xlfn.XLOOKUP(A40,'Price list'!G:G,'Price list'!H:H),0)</f>
        <v>18000</v>
      </c>
      <c r="C40" s="196" t="s">
        <v>9</v>
      </c>
      <c r="E40" s="197"/>
      <c r="F40" s="197"/>
      <c r="G40" s="197" t="s">
        <v>19</v>
      </c>
      <c r="H40" s="197" t="str">
        <f>IF(G40=0,"",_xlfn.XLOOKUP(G40,List_item!A:A,List_item!B:B))</f>
        <v>Boneless BL Frozen Lemak</v>
      </c>
      <c r="I40" s="197">
        <v>56.9</v>
      </c>
      <c r="J40" s="198">
        <f t="shared" si="4"/>
        <v>2.9300294547776468E-3</v>
      </c>
      <c r="K40" s="197">
        <f t="shared" si="0"/>
        <v>1024200</v>
      </c>
      <c r="L40" s="199">
        <f t="shared" si="1"/>
        <v>18459.060595157651</v>
      </c>
      <c r="M40" s="197">
        <f t="shared" si="2"/>
        <v>1050320.5478644704</v>
      </c>
      <c r="N40" s="197">
        <f t="shared" si="3"/>
        <v>-459.06059515765082</v>
      </c>
      <c r="O40" s="197">
        <f t="shared" si="5"/>
        <v>-26120.547864470398</v>
      </c>
      <c r="P40" s="197"/>
    </row>
    <row r="41" spans="1:16" s="196" customFormat="1" x14ac:dyDescent="0.35">
      <c r="A41" s="196" t="s">
        <v>2162</v>
      </c>
      <c r="B41" s="197">
        <f>_xlfn.IFNA(_xlfn.XLOOKUP(A41,'Price list'!G:G,'Price list'!H:H),0)</f>
        <v>8000</v>
      </c>
      <c r="C41" s="196" t="s">
        <v>9</v>
      </c>
      <c r="E41" s="197"/>
      <c r="F41" s="197"/>
      <c r="G41" s="197" t="s">
        <v>310</v>
      </c>
      <c r="H41" s="197" t="str">
        <f>IF(G41=0,"",_xlfn.XLOOKUP(G41,List_item!A:A,List_item!B:B))</f>
        <v>Boneless BL Frozen Kepala</v>
      </c>
      <c r="I41" s="197">
        <v>829.2</v>
      </c>
      <c r="J41" s="198">
        <f t="shared" si="4"/>
        <v>4.2699128715318543E-2</v>
      </c>
      <c r="K41" s="197">
        <f t="shared" si="0"/>
        <v>6633600</v>
      </c>
      <c r="L41" s="199">
        <f t="shared" si="1"/>
        <v>8204.026931181179</v>
      </c>
      <c r="M41" s="197">
        <f t="shared" si="2"/>
        <v>6802779.1313354336</v>
      </c>
      <c r="N41" s="197">
        <f t="shared" si="3"/>
        <v>-204.02693118117895</v>
      </c>
      <c r="O41" s="197">
        <f t="shared" si="5"/>
        <v>-169179.13133543357</v>
      </c>
      <c r="P41" s="197"/>
    </row>
    <row r="42" spans="1:16" s="196" customFormat="1" x14ac:dyDescent="0.35">
      <c r="A42" s="196" t="s">
        <v>0</v>
      </c>
      <c r="B42" s="197">
        <f>_xlfn.IFNA(_xlfn.XLOOKUP(A42,'Price list'!G:G,'Price list'!H:H),0)</f>
        <v>10000</v>
      </c>
      <c r="C42" s="196" t="s">
        <v>9</v>
      </c>
      <c r="E42" s="197"/>
      <c r="F42" s="197"/>
      <c r="G42" s="197" t="s">
        <v>22</v>
      </c>
      <c r="H42" s="197" t="str">
        <f>IF(G42=0,"",_xlfn.XLOOKUP(G42,List_item!A:A,List_item!B:B))</f>
        <v>Boneless BL Frozen Ceker</v>
      </c>
      <c r="I42" s="197">
        <v>592.6</v>
      </c>
      <c r="J42" s="198">
        <f t="shared" si="4"/>
        <v>3.0515561597561226E-2</v>
      </c>
      <c r="K42" s="197">
        <f t="shared" si="0"/>
        <v>5926000</v>
      </c>
      <c r="L42" s="199">
        <f t="shared" si="1"/>
        <v>10255.033663976474</v>
      </c>
      <c r="M42" s="197">
        <f t="shared" si="2"/>
        <v>6077132.9492724584</v>
      </c>
      <c r="N42" s="197">
        <f t="shared" si="3"/>
        <v>-255.03366397647369</v>
      </c>
      <c r="O42" s="197">
        <f t="shared" si="5"/>
        <v>-151132.94927245844</v>
      </c>
      <c r="P42" s="197"/>
    </row>
    <row r="43" spans="1:16" x14ac:dyDescent="0.35">
      <c r="A43" t="s">
        <v>24</v>
      </c>
      <c r="B43" s="3">
        <f>_xlfn.IFNA(_xlfn.XLOOKUP(A43,'Price list'!G:G,'Price list'!H:H),0)</f>
        <v>4000</v>
      </c>
      <c r="C43" t="s">
        <v>9</v>
      </c>
      <c r="E43" s="3"/>
      <c r="F43" s="3"/>
      <c r="G43" s="3"/>
      <c r="H43" s="3" t="str">
        <f>IF(G43=0,"",_xlfn.XLOOKUP(G43,List_item!A:A,List_item!B:B))</f>
        <v/>
      </c>
      <c r="I43" s="3">
        <v>0</v>
      </c>
      <c r="J43" s="26">
        <f t="shared" si="4"/>
        <v>0</v>
      </c>
      <c r="K43" s="3">
        <f t="shared" si="0"/>
        <v>0</v>
      </c>
      <c r="L43" s="27">
        <f t="shared" ref="L43:L74" si="6">IFERROR(((K43/SUM($K$11:$K$82))*$F$10)/(F43+I43),0)</f>
        <v>0</v>
      </c>
      <c r="M43" s="3">
        <f t="shared" si="2"/>
        <v>0</v>
      </c>
      <c r="N43" s="3">
        <f t="shared" si="3"/>
        <v>0</v>
      </c>
      <c r="O43" s="3">
        <f t="shared" si="5"/>
        <v>0</v>
      </c>
      <c r="P43" s="3"/>
    </row>
    <row r="44" spans="1:16" s="196" customFormat="1" x14ac:dyDescent="0.35">
      <c r="A44" s="196" t="s">
        <v>3893</v>
      </c>
      <c r="B44" s="197">
        <f>_xlfn.IFNA(_xlfn.XLOOKUP(A44,'Price list'!G:G,'Price list'!H:H),0)</f>
        <v>5000</v>
      </c>
      <c r="C44" s="196" t="s">
        <v>9</v>
      </c>
      <c r="E44" s="197"/>
      <c r="F44" s="197"/>
      <c r="G44" s="197" t="s">
        <v>387</v>
      </c>
      <c r="H44" s="197" t="str">
        <f>IF(G44=0,"",_xlfn.XLOOKUP(G44,List_item!A:A,List_item!B:B))</f>
        <v>Boneless BL Frozen Usus Kotor</v>
      </c>
      <c r="I44" s="197">
        <v>822.2</v>
      </c>
      <c r="J44" s="198">
        <f t="shared" si="4"/>
        <v>4.2338668149704418E-2</v>
      </c>
      <c r="K44" s="197">
        <f t="shared" si="0"/>
        <v>4111000</v>
      </c>
      <c r="L44" s="199">
        <f t="shared" si="6"/>
        <v>5127.5168319882359</v>
      </c>
      <c r="M44" s="197">
        <f t="shared" si="2"/>
        <v>4215844.3392607281</v>
      </c>
      <c r="N44" s="197">
        <f t="shared" si="3"/>
        <v>-127.51683198823594</v>
      </c>
      <c r="O44" s="197">
        <f t="shared" si="5"/>
        <v>-104844.3392607281</v>
      </c>
      <c r="P44" s="197" t="s">
        <v>3947</v>
      </c>
    </row>
    <row r="45" spans="1:16" x14ac:dyDescent="0.35">
      <c r="A45" t="s">
        <v>2167</v>
      </c>
      <c r="B45" s="3">
        <f>_xlfn.IFNA(_xlfn.XLOOKUP(A45,'Price list'!G:G,'Price list'!H:H),0)</f>
        <v>16000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27">
        <f t="shared" si="6"/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/>
    </row>
    <row r="46" spans="1:16" x14ac:dyDescent="0.35">
      <c r="A46" t="s">
        <v>2168</v>
      </c>
      <c r="B46" s="3">
        <f>_xlfn.IFNA(_xlfn.XLOOKUP(A46,'Price list'!G:G,'Price list'!H:H),0)</f>
        <v>10000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6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6" x14ac:dyDescent="0.35">
      <c r="A47" t="s">
        <v>2169</v>
      </c>
      <c r="B47" s="3">
        <f>_xlfn.IFNA(_xlfn.XLOOKUP(A47,'Price list'!G:G,'Price list'!H:H),0)</f>
        <v>5000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6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6" s="196" customFormat="1" x14ac:dyDescent="0.35">
      <c r="A48" s="196" t="s">
        <v>3894</v>
      </c>
      <c r="B48" s="197">
        <f>_xlfn.IFNA(_xlfn.XLOOKUP(A48,'Price list'!G:G,'Price list'!H:H),0)</f>
        <v>5000</v>
      </c>
      <c r="C48" s="196" t="s">
        <v>9</v>
      </c>
      <c r="E48" s="197"/>
      <c r="F48" s="197"/>
      <c r="G48" s="197" t="s">
        <v>286</v>
      </c>
      <c r="H48" s="197" t="str">
        <f>IF(G48=0,"",_xlfn.XLOOKUP(G48,List_item!A:A,List_item!B:B))</f>
        <v>Boneless BL Frozen HJA</v>
      </c>
      <c r="I48" s="197">
        <v>1120.8</v>
      </c>
      <c r="J48" s="198">
        <f t="shared" si="4"/>
        <v>5.7714885991472523E-2</v>
      </c>
      <c r="K48" s="197">
        <f t="shared" si="0"/>
        <v>5604000</v>
      </c>
      <c r="L48" s="199">
        <f t="shared" si="6"/>
        <v>5127.5168319882368</v>
      </c>
      <c r="M48" s="197">
        <f t="shared" si="2"/>
        <v>5746920.865292416</v>
      </c>
      <c r="N48" s="197">
        <f t="shared" si="3"/>
        <v>-127.51683198823685</v>
      </c>
      <c r="O48" s="197">
        <f t="shared" si="5"/>
        <v>-142920.86529241595</v>
      </c>
      <c r="P48" s="197"/>
    </row>
    <row r="49" spans="1:16" x14ac:dyDescent="0.35">
      <c r="A49" t="s">
        <v>2170</v>
      </c>
      <c r="B49" s="3">
        <f>_xlfn.IFNA(_xlfn.XLOOKUP(A49,'Price list'!G:G,'Price list'!H:H),0)</f>
        <v>45000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6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2171</v>
      </c>
      <c r="B50" s="3">
        <f>_xlfn.IFNA(_xlfn.XLOOKUP(A50,'Price list'!G:G,'Price list'!H:H),0)</f>
        <v>44000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6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3895</v>
      </c>
      <c r="B51" s="3">
        <f>_xlfn.IFNA(_xlfn.XLOOKUP(A51,'Price list'!G:G,'Price list'!H:H),0)</f>
        <v>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6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3896</v>
      </c>
      <c r="B52" s="3">
        <f>_xlfn.IFNA(_xlfn.XLOOKUP(A52,'Price list'!G:G,'Price list'!H:H),0)</f>
        <v>35000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6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3897</v>
      </c>
      <c r="B53" s="3">
        <f>_xlfn.IFNA(_xlfn.XLOOKUP(A53,'Price list'!G:G,'Price list'!H:H),0)</f>
        <v>35000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6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3898</v>
      </c>
      <c r="B54" s="3">
        <f>_xlfn.IFNA(_xlfn.XLOOKUP(A54,'Price list'!G:G,'Price list'!H:H),0)</f>
        <v>35000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0"/>
        <v>0</v>
      </c>
      <c r="L54" s="27">
        <f t="shared" si="6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x14ac:dyDescent="0.35">
      <c r="A55" t="s">
        <v>3899</v>
      </c>
      <c r="B55" s="3">
        <f>_xlfn.IFNA(_xlfn.XLOOKUP(A55,'Price list'!G:G,'Price list'!H:H),0)</f>
        <v>35000</v>
      </c>
      <c r="C55" t="s">
        <v>9</v>
      </c>
      <c r="E55" s="3"/>
      <c r="F55" s="3"/>
      <c r="G55" s="3"/>
      <c r="H55" s="3" t="str">
        <f>IF(G55=0,"",_xlfn.XLOOKUP(G55,List_item!A:A,List_item!B:B))</f>
        <v/>
      </c>
      <c r="I55" s="3">
        <v>0</v>
      </c>
      <c r="J55" s="26">
        <f t="shared" si="4"/>
        <v>0</v>
      </c>
      <c r="K55" s="3">
        <f t="shared" si="0"/>
        <v>0</v>
      </c>
      <c r="L55" s="27">
        <f t="shared" si="6"/>
        <v>0</v>
      </c>
      <c r="M55" s="3">
        <f t="shared" si="2"/>
        <v>0</v>
      </c>
      <c r="N55" s="3">
        <f t="shared" si="3"/>
        <v>0</v>
      </c>
      <c r="O55" s="3">
        <f t="shared" si="5"/>
        <v>0</v>
      </c>
      <c r="P55" s="3"/>
    </row>
    <row r="56" spans="1:16" x14ac:dyDescent="0.35">
      <c r="A56" t="s">
        <v>3899</v>
      </c>
      <c r="B56" s="3">
        <f>_xlfn.IFNA(_xlfn.XLOOKUP(A56,'Price list'!G:G,'Price list'!H:H),0)</f>
        <v>35000</v>
      </c>
      <c r="C56" t="s">
        <v>9</v>
      </c>
      <c r="E56" s="3"/>
      <c r="F56" s="3"/>
      <c r="G56" s="3"/>
      <c r="H56" s="3" t="str">
        <f>IF(G56=0,"",_xlfn.XLOOKUP(G56,List_item!A:A,List_item!B:B))</f>
        <v/>
      </c>
      <c r="I56" s="3">
        <v>0</v>
      </c>
      <c r="J56" s="26">
        <f t="shared" si="4"/>
        <v>0</v>
      </c>
      <c r="K56" s="3">
        <f t="shared" si="0"/>
        <v>0</v>
      </c>
      <c r="L56" s="27">
        <f t="shared" si="6"/>
        <v>0</v>
      </c>
      <c r="M56" s="3">
        <f t="shared" si="2"/>
        <v>0</v>
      </c>
      <c r="N56" s="3">
        <f t="shared" si="3"/>
        <v>0</v>
      </c>
      <c r="O56" s="3">
        <f t="shared" si="5"/>
        <v>0</v>
      </c>
      <c r="P56" s="3"/>
    </row>
    <row r="57" spans="1:16" s="196" customFormat="1" x14ac:dyDescent="0.35">
      <c r="A57" s="196" t="s">
        <v>3900</v>
      </c>
      <c r="B57" s="197">
        <f>_xlfn.IFNA(_xlfn.XLOOKUP(A57,'Price list'!G:G,'Price list'!H:H),0)</f>
        <v>35000</v>
      </c>
      <c r="C57" s="196" t="s">
        <v>9</v>
      </c>
      <c r="E57" s="197"/>
      <c r="F57" s="197"/>
      <c r="G57" s="197" t="s">
        <v>766</v>
      </c>
      <c r="H57" s="197" t="str">
        <f>IF(G57=0,"",_xlfn.XLOOKUP(G57,List_item!A:A,List_item!B:B))</f>
        <v>Karkas Uk 0.8 Karkas Uk 0.8 Frozen Grade A</v>
      </c>
      <c r="I57" s="197">
        <v>5.0999999999999996</v>
      </c>
      <c r="J57" s="198">
        <f t="shared" si="4"/>
        <v>2.6262126923314586E-4</v>
      </c>
      <c r="K57" s="197">
        <f t="shared" si="0"/>
        <v>178500</v>
      </c>
      <c r="L57" s="199">
        <f t="shared" si="6"/>
        <v>35892.617823917666</v>
      </c>
      <c r="M57" s="197">
        <f t="shared" si="2"/>
        <v>183052.3509019801</v>
      </c>
      <c r="N57" s="197">
        <f t="shared" si="3"/>
        <v>-892.6178239176661</v>
      </c>
      <c r="O57" s="197">
        <f t="shared" si="5"/>
        <v>-4552.3509019800986</v>
      </c>
      <c r="P57" s="197"/>
    </row>
    <row r="58" spans="1:16" s="196" customFormat="1" x14ac:dyDescent="0.35">
      <c r="A58" s="196" t="s">
        <v>3901</v>
      </c>
      <c r="B58" s="197">
        <f>_xlfn.IFNA(_xlfn.XLOOKUP(A58,'Price list'!G:G,'Price list'!H:H),0)</f>
        <v>35000</v>
      </c>
      <c r="C58" s="196" t="s">
        <v>9</v>
      </c>
      <c r="E58" s="197"/>
      <c r="F58" s="197"/>
      <c r="G58" s="197" t="s">
        <v>831</v>
      </c>
      <c r="H58" s="197" t="str">
        <f>IF(G58=0,"",_xlfn.XLOOKUP(G58,List_item!A:A,List_item!B:B))</f>
        <v>Karkas Uk 0.9 Karkas Uk 0.9 Frozen Grade A</v>
      </c>
      <c r="I58" s="197">
        <v>3.9</v>
      </c>
      <c r="J58" s="198">
        <f t="shared" si="4"/>
        <v>2.0082802941358212E-4</v>
      </c>
      <c r="K58" s="197">
        <f t="shared" si="0"/>
        <v>136500</v>
      </c>
      <c r="L58" s="199">
        <f t="shared" si="6"/>
        <v>35892.617823917659</v>
      </c>
      <c r="M58" s="197">
        <f t="shared" si="2"/>
        <v>139981.20951327885</v>
      </c>
      <c r="N58" s="197">
        <f t="shared" si="3"/>
        <v>-892.61782391765882</v>
      </c>
      <c r="O58" s="197">
        <f t="shared" si="5"/>
        <v>-3481.2095132788527</v>
      </c>
      <c r="P58" s="197"/>
    </row>
    <row r="59" spans="1:16" s="196" customFormat="1" x14ac:dyDescent="0.35">
      <c r="A59" s="196" t="s">
        <v>3902</v>
      </c>
      <c r="B59" s="197">
        <f>_xlfn.IFNA(_xlfn.XLOOKUP(A59,'Price list'!G:G,'Price list'!H:H),0)</f>
        <v>35000</v>
      </c>
      <c r="C59" s="196" t="s">
        <v>9</v>
      </c>
      <c r="E59" s="197"/>
      <c r="F59" s="197"/>
      <c r="G59" s="197" t="s">
        <v>896</v>
      </c>
      <c r="H59" s="197" t="str">
        <f>IF(G59=0,"",_xlfn.XLOOKUP(G59,List_item!A:A,List_item!B:B))</f>
        <v>Karkas Uk 1.0 Karkas Uk 1.0 Frozen Grade A</v>
      </c>
      <c r="I59" s="197">
        <v>17.3</v>
      </c>
      <c r="J59" s="198">
        <f t="shared" si="4"/>
        <v>8.908525407320438E-4</v>
      </c>
      <c r="K59" s="197">
        <f t="shared" si="0"/>
        <v>605500</v>
      </c>
      <c r="L59" s="199">
        <f t="shared" si="6"/>
        <v>35892.617823917659</v>
      </c>
      <c r="M59" s="197">
        <f t="shared" si="2"/>
        <v>620942.28835377551</v>
      </c>
      <c r="N59" s="197">
        <f t="shared" si="3"/>
        <v>-892.61782391765882</v>
      </c>
      <c r="O59" s="197">
        <f t="shared" si="5"/>
        <v>-15442.288353775511</v>
      </c>
      <c r="P59" s="197"/>
    </row>
    <row r="60" spans="1:16" s="196" customFormat="1" x14ac:dyDescent="0.35">
      <c r="A60" s="196" t="s">
        <v>3902</v>
      </c>
      <c r="B60" s="197">
        <f>_xlfn.IFNA(_xlfn.XLOOKUP(A60,'Price list'!G:G,'Price list'!H:H),0)</f>
        <v>35000</v>
      </c>
      <c r="C60" s="196" t="s">
        <v>9</v>
      </c>
      <c r="E60" s="197"/>
      <c r="F60" s="197"/>
      <c r="G60" s="197" t="s">
        <v>962</v>
      </c>
      <c r="H60" s="197" t="str">
        <f>IF(G60=0,"",_xlfn.XLOOKUP(G60,List_item!A:A,List_item!B:B))</f>
        <v>Karkas Uk 1.1 Karkas Uk 1.1 Frozen Grade A</v>
      </c>
      <c r="I60" s="197">
        <v>62.2</v>
      </c>
      <c r="J60" s="198">
        <f t="shared" si="4"/>
        <v>3.2029495973140538E-3</v>
      </c>
      <c r="K60" s="197">
        <f t="shared" si="0"/>
        <v>2177000</v>
      </c>
      <c r="L60" s="199">
        <f t="shared" si="6"/>
        <v>35892.617823917652</v>
      </c>
      <c r="M60" s="197">
        <f t="shared" si="2"/>
        <v>2232520.8286476783</v>
      </c>
      <c r="N60" s="197">
        <f t="shared" si="3"/>
        <v>-892.61782391765155</v>
      </c>
      <c r="O60" s="197">
        <f t="shared" si="5"/>
        <v>-55520.828647678252</v>
      </c>
      <c r="P60" s="197"/>
    </row>
    <row r="61" spans="1:16" s="196" customFormat="1" x14ac:dyDescent="0.35">
      <c r="A61" s="196" t="s">
        <v>3903</v>
      </c>
      <c r="B61" s="197">
        <f>_xlfn.IFNA(_xlfn.XLOOKUP(A61,'Price list'!G:G,'Price list'!H:H),0)</f>
        <v>35000</v>
      </c>
      <c r="C61" s="196" t="s">
        <v>9</v>
      </c>
      <c r="E61" s="197"/>
      <c r="F61" s="197"/>
      <c r="G61" s="197" t="s">
        <v>1028</v>
      </c>
      <c r="H61" s="197" t="str">
        <f>IF(G61=0,"",_xlfn.XLOOKUP(G61,List_item!A:A,List_item!B:B))</f>
        <v>Karkas Uk 1.2 Karkas Uk 1.2 Frozen Grade A</v>
      </c>
      <c r="I61" s="197">
        <v>117.9</v>
      </c>
      <c r="J61" s="198">
        <f t="shared" si="4"/>
        <v>6.0711858122721373E-3</v>
      </c>
      <c r="K61" s="197">
        <f t="shared" si="0"/>
        <v>4126500</v>
      </c>
      <c r="L61" s="199">
        <f t="shared" si="6"/>
        <v>35892.617823917652</v>
      </c>
      <c r="M61" s="197">
        <f t="shared" si="2"/>
        <v>4231739.6414398914</v>
      </c>
      <c r="N61" s="197">
        <f t="shared" si="3"/>
        <v>-892.61782391765155</v>
      </c>
      <c r="O61" s="197">
        <f t="shared" si="5"/>
        <v>-105239.64143989142</v>
      </c>
      <c r="P61" s="197"/>
    </row>
    <row r="62" spans="1:16" s="196" customFormat="1" x14ac:dyDescent="0.35">
      <c r="A62" s="196" t="s">
        <v>3905</v>
      </c>
      <c r="B62" s="197">
        <f>_xlfn.IFNA(_xlfn.XLOOKUP(A62,'Price list'!G:G,'Price list'!H:H),0)</f>
        <v>35000</v>
      </c>
      <c r="C62" s="196" t="s">
        <v>9</v>
      </c>
      <c r="E62" s="197"/>
      <c r="F62" s="197"/>
      <c r="G62" s="197" t="s">
        <v>1094</v>
      </c>
      <c r="H62" s="197" t="str">
        <f>IF(G62=0,"",_xlfn.XLOOKUP(G62,List_item!A:A,List_item!B:B))</f>
        <v>Karkas Uk 1.3 Karkas Uk 1.3 Frozen Grade A</v>
      </c>
      <c r="I62" s="197">
        <v>181</v>
      </c>
      <c r="J62" s="198">
        <f t="shared" si="4"/>
        <v>9.3204803394508623E-3</v>
      </c>
      <c r="K62" s="197">
        <f t="shared" si="0"/>
        <v>6335000</v>
      </c>
      <c r="L62" s="199">
        <f t="shared" si="6"/>
        <v>35892.617823917659</v>
      </c>
      <c r="M62" s="197">
        <f t="shared" si="2"/>
        <v>6496563.8261290966</v>
      </c>
      <c r="N62" s="197">
        <f t="shared" si="3"/>
        <v>-892.61782391765882</v>
      </c>
      <c r="O62" s="197">
        <f t="shared" si="5"/>
        <v>-161563.82612909656</v>
      </c>
      <c r="P62" s="197"/>
    </row>
    <row r="63" spans="1:16" s="196" customFormat="1" x14ac:dyDescent="0.35">
      <c r="A63" s="196" t="s">
        <v>3905</v>
      </c>
      <c r="B63" s="197">
        <f>_xlfn.IFNA(_xlfn.XLOOKUP(A63,'Price list'!G:G,'Price list'!H:H),0)</f>
        <v>35000</v>
      </c>
      <c r="C63" s="196" t="s">
        <v>9</v>
      </c>
      <c r="E63" s="197"/>
      <c r="F63" s="197"/>
      <c r="G63" s="197" t="s">
        <v>1160</v>
      </c>
      <c r="H63" s="197" t="str">
        <f>IF(G63=0,"",_xlfn.XLOOKUP(G63,List_item!A:A,List_item!B:B))</f>
        <v>Karkas Uk 1.4 Karkas Uk 1.4 Frozen Grade A</v>
      </c>
      <c r="I63" s="197">
        <v>174.8</v>
      </c>
      <c r="J63" s="198">
        <f t="shared" si="4"/>
        <v>9.001215267049785E-3</v>
      </c>
      <c r="K63" s="197">
        <f t="shared" si="0"/>
        <v>6118000</v>
      </c>
      <c r="L63" s="199">
        <f t="shared" si="6"/>
        <v>35892.617823917659</v>
      </c>
      <c r="M63" s="197">
        <f t="shared" si="2"/>
        <v>6274029.5956208073</v>
      </c>
      <c r="N63" s="197">
        <f t="shared" si="3"/>
        <v>-892.61782391765882</v>
      </c>
      <c r="O63" s="197">
        <f t="shared" si="5"/>
        <v>-156029.59562080726</v>
      </c>
      <c r="P63" s="197"/>
    </row>
    <row r="64" spans="1:16" s="196" customFormat="1" x14ac:dyDescent="0.35">
      <c r="A64" s="196" t="s">
        <v>3906</v>
      </c>
      <c r="B64" s="197">
        <f>_xlfn.IFNA(_xlfn.XLOOKUP(A64,'Price list'!G:G,'Price list'!H:H),0)</f>
        <v>35000</v>
      </c>
      <c r="C64" s="196" t="s">
        <v>9</v>
      </c>
      <c r="E64" s="197"/>
      <c r="F64" s="197"/>
      <c r="G64" s="197" t="s">
        <v>1225</v>
      </c>
      <c r="H64" s="197" t="str">
        <f>IF(G64=0,"",_xlfn.XLOOKUP(G64,List_item!A:A,List_item!B:B))</f>
        <v>Karkas Uk 1.5 Karkas Uk 1.5 Frozen Grade A</v>
      </c>
      <c r="I64" s="197">
        <v>148.9</v>
      </c>
      <c r="J64" s="198">
        <f t="shared" si="4"/>
        <v>7.6675111742775335E-3</v>
      </c>
      <c r="K64" s="197">
        <f t="shared" si="0"/>
        <v>5211500</v>
      </c>
      <c r="L64" s="199">
        <f t="shared" si="6"/>
        <v>35892.617823917659</v>
      </c>
      <c r="M64" s="197">
        <f t="shared" si="2"/>
        <v>5344410.7939813398</v>
      </c>
      <c r="N64" s="197">
        <f t="shared" si="3"/>
        <v>-892.61782391765882</v>
      </c>
      <c r="O64" s="197">
        <f t="shared" si="5"/>
        <v>-132910.79398133978</v>
      </c>
      <c r="P64" s="197"/>
    </row>
    <row r="65" spans="1:16" s="196" customFormat="1" x14ac:dyDescent="0.35">
      <c r="A65" s="196" t="s">
        <v>3907</v>
      </c>
      <c r="B65" s="197">
        <f>_xlfn.IFNA(_xlfn.XLOOKUP(A65,'Price list'!G:G,'Price list'!H:H),0)</f>
        <v>35000</v>
      </c>
      <c r="C65" s="196" t="s">
        <v>9</v>
      </c>
      <c r="E65" s="197"/>
      <c r="F65" s="197"/>
      <c r="G65" s="197" t="s">
        <v>1291</v>
      </c>
      <c r="H65" s="197" t="str">
        <f>IF(G65=0,"",_xlfn.XLOOKUP(G65,List_item!A:A,List_item!B:B))</f>
        <v>Karkas Uk 1.6 Karkas Uk 1.6 Frozen Grade A</v>
      </c>
      <c r="I65" s="197">
        <v>91</v>
      </c>
      <c r="J65" s="198">
        <f t="shared" si="4"/>
        <v>4.6859873529835833E-3</v>
      </c>
      <c r="K65" s="197">
        <f t="shared" si="0"/>
        <v>3185000</v>
      </c>
      <c r="L65" s="199">
        <f t="shared" si="6"/>
        <v>35892.617823917659</v>
      </c>
      <c r="M65" s="197">
        <f t="shared" si="2"/>
        <v>3266228.221976507</v>
      </c>
      <c r="N65" s="197">
        <f t="shared" si="3"/>
        <v>-892.61782391765882</v>
      </c>
      <c r="O65" s="197">
        <f t="shared" si="5"/>
        <v>-81228.221976506989</v>
      </c>
      <c r="P65" s="197"/>
    </row>
    <row r="66" spans="1:16" s="196" customFormat="1" x14ac:dyDescent="0.35">
      <c r="A66" s="196" t="s">
        <v>3908</v>
      </c>
      <c r="B66" s="197">
        <f>_xlfn.IFNA(_xlfn.XLOOKUP(A66,'Price list'!G:G,'Price list'!H:H),0)</f>
        <v>35000</v>
      </c>
      <c r="C66" s="196" t="s">
        <v>9</v>
      </c>
      <c r="E66" s="197"/>
      <c r="F66" s="197"/>
      <c r="G66" s="197" t="s">
        <v>1357</v>
      </c>
      <c r="H66" s="197" t="str">
        <f>IF(G66=0,"",_xlfn.XLOOKUP(G66,List_item!A:A,List_item!B:B))</f>
        <v>Karkas Uk 1.7 Karkas Uk 1.7 Frozen Grade A</v>
      </c>
      <c r="I66" s="197">
        <v>59.2</v>
      </c>
      <c r="J66" s="198">
        <f t="shared" si="4"/>
        <v>3.0484664977651443E-3</v>
      </c>
      <c r="K66" s="197">
        <f t="shared" si="0"/>
        <v>2072000</v>
      </c>
      <c r="L66" s="199">
        <f t="shared" si="6"/>
        <v>35892.617823917659</v>
      </c>
      <c r="M66" s="197">
        <f t="shared" si="2"/>
        <v>2124842.9751759255</v>
      </c>
      <c r="N66" s="197">
        <f t="shared" si="3"/>
        <v>-892.61782391765882</v>
      </c>
      <c r="O66" s="197">
        <f t="shared" si="5"/>
        <v>-52842.97517592553</v>
      </c>
      <c r="P66" s="197"/>
    </row>
    <row r="67" spans="1:16" s="196" customFormat="1" x14ac:dyDescent="0.35">
      <c r="A67" s="196" t="s">
        <v>3909</v>
      </c>
      <c r="B67" s="197">
        <f>_xlfn.IFNA(_xlfn.XLOOKUP(A67,'Price list'!G:G,'Price list'!H:H),0)</f>
        <v>35000</v>
      </c>
      <c r="C67" s="196" t="s">
        <v>9</v>
      </c>
      <c r="E67" s="197"/>
      <c r="F67" s="197"/>
      <c r="G67" s="197" t="s">
        <v>1424</v>
      </c>
      <c r="H67" s="197" t="str">
        <f>IF(G67=0,"",_xlfn.XLOOKUP(G67,List_item!A:A,List_item!B:B))</f>
        <v>Karkas Uk 1.8 Karkas Uk 1.8 Frozen Grade A</v>
      </c>
      <c r="I67" s="197">
        <v>52.2</v>
      </c>
      <c r="J67" s="198">
        <f t="shared" si="4"/>
        <v>2.6880059321510224E-3</v>
      </c>
      <c r="K67" s="197">
        <f t="shared" si="0"/>
        <v>1827000</v>
      </c>
      <c r="L67" s="199">
        <f t="shared" si="6"/>
        <v>35892.617823917659</v>
      </c>
      <c r="M67" s="197">
        <f t="shared" si="2"/>
        <v>1873594.650408502</v>
      </c>
      <c r="N67" s="197">
        <f t="shared" si="3"/>
        <v>-892.61782391765882</v>
      </c>
      <c r="O67" s="197">
        <f t="shared" si="5"/>
        <v>-46594.65040850197</v>
      </c>
      <c r="P67" s="197"/>
    </row>
    <row r="68" spans="1:16" s="196" customFormat="1" x14ac:dyDescent="0.35">
      <c r="A68" s="196" t="s">
        <v>3945</v>
      </c>
      <c r="B68" s="197">
        <f>_xlfn.IFNA(_xlfn.XLOOKUP(A68,'Price list'!G:G,'Price list'!H:H),0)</f>
        <v>35000</v>
      </c>
      <c r="C68" s="196" t="s">
        <v>9</v>
      </c>
      <c r="E68" s="197"/>
      <c r="F68" s="197"/>
      <c r="G68" s="197" t="s">
        <v>1516</v>
      </c>
      <c r="H68" s="197" t="str">
        <f>IF(G68=0,"",_xlfn.XLOOKUP(G68,List_item!A:A,List_item!B:B))</f>
        <v>Karkas Uk 1.9 Karkas Uk 1.9 Frozen Premium</v>
      </c>
      <c r="I68" s="197">
        <v>23.9</v>
      </c>
      <c r="J68" s="198">
        <f t="shared" si="4"/>
        <v>1.2307153597396442E-3</v>
      </c>
      <c r="K68" s="197">
        <f t="shared" si="0"/>
        <v>836500</v>
      </c>
      <c r="L68" s="199">
        <f t="shared" si="6"/>
        <v>35892.617823917659</v>
      </c>
      <c r="M68" s="197">
        <f t="shared" si="2"/>
        <v>857833.56599163194</v>
      </c>
      <c r="N68" s="197">
        <f t="shared" si="3"/>
        <v>-892.61782391765882</v>
      </c>
      <c r="O68" s="197">
        <f t="shared" si="5"/>
        <v>-21333.565991631942</v>
      </c>
      <c r="P68" s="197"/>
    </row>
    <row r="69" spans="1:16" x14ac:dyDescent="0.35">
      <c r="A69" t="s">
        <v>3911</v>
      </c>
      <c r="B69" s="3">
        <f>_xlfn.IFNA(_xlfn.XLOOKUP(A69,'Price list'!G:G,'Price list'!H:H),0)</f>
        <v>35000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6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6" x14ac:dyDescent="0.35">
      <c r="A70" t="s">
        <v>3912</v>
      </c>
      <c r="B70" s="3">
        <f>_xlfn.IFNA(_xlfn.XLOOKUP(A70,'Price list'!G:G,'Price list'!H:H),0)</f>
        <v>35000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6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6" x14ac:dyDescent="0.35">
      <c r="A71" t="s">
        <v>3913</v>
      </c>
      <c r="B71" s="3">
        <f>_xlfn.IFNA(_xlfn.XLOOKUP(A71,'Price list'!G:G,'Price list'!H:H),0)</f>
        <v>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6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6" x14ac:dyDescent="0.35">
      <c r="A72" t="s">
        <v>3914</v>
      </c>
      <c r="B72" s="3">
        <f>_xlfn.IFNA(_xlfn.XLOOKUP(A72,'Price list'!G:G,'Price list'!H:H),0)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6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6" x14ac:dyDescent="0.35">
      <c r="A73" t="s">
        <v>3915</v>
      </c>
      <c r="B73" s="3">
        <f>_xlfn.IFNA(_xlfn.XLOOKUP(A73,'Price list'!G:G,'Price list'!H:H),0)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6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6" x14ac:dyDescent="0.35">
      <c r="A74" t="s">
        <v>3916</v>
      </c>
      <c r="B74" s="3">
        <f>_xlfn.IFNA(_xlfn.XLOOKUP(A74,'Price list'!G:G,'Price list'!H:H),0)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6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6" x14ac:dyDescent="0.35">
      <c r="A75" t="s">
        <v>3917</v>
      </c>
      <c r="B75" s="3">
        <f>_xlfn.IFNA(_xlfn.XLOOKUP(A75,'Price list'!G:G,'Price list'!H:H),0)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ref="L75:L82" si="7">IFERROR(((K75/SUM($K$11:$K$82))*$F$10)/(F75+I75),0)</f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6" x14ac:dyDescent="0.35">
      <c r="A76" t="s">
        <v>3918</v>
      </c>
      <c r="B76" s="3">
        <f>_xlfn.IFNA(_xlfn.XLOOKUP(A76,'Price list'!G:G,'Price list'!H:H),0)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si="0"/>
        <v>0</v>
      </c>
      <c r="L76" s="27">
        <f t="shared" si="7"/>
        <v>0</v>
      </c>
      <c r="M76" s="3">
        <f t="shared" si="2"/>
        <v>0</v>
      </c>
      <c r="N76" s="3">
        <f t="shared" si="3"/>
        <v>0</v>
      </c>
      <c r="O76" s="3">
        <f t="shared" si="5"/>
        <v>0</v>
      </c>
      <c r="P76" s="3"/>
    </row>
    <row r="77" spans="1:16" x14ac:dyDescent="0.35">
      <c r="A77" t="s">
        <v>3919</v>
      </c>
      <c r="B77" s="3">
        <f>_xlfn.IFNA(_xlfn.XLOOKUP(A77,'Price list'!G:G,'Price list'!H:H),0)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4"/>
        <v>0</v>
      </c>
      <c r="K77" s="3">
        <f t="shared" si="0"/>
        <v>0</v>
      </c>
      <c r="L77" s="27">
        <f t="shared" si="7"/>
        <v>0</v>
      </c>
      <c r="M77" s="3">
        <f t="shared" si="2"/>
        <v>0</v>
      </c>
      <c r="N77" s="3">
        <f t="shared" si="3"/>
        <v>0</v>
      </c>
      <c r="O77" s="3">
        <f t="shared" si="5"/>
        <v>0</v>
      </c>
      <c r="P77" s="3"/>
    </row>
    <row r="78" spans="1:16" x14ac:dyDescent="0.35">
      <c r="A78" t="s">
        <v>3920</v>
      </c>
      <c r="B78" s="3">
        <f>_xlfn.IFNA(_xlfn.XLOOKUP(A78,'Price list'!G:G,'Price list'!H:H),0)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4"/>
        <v>0</v>
      </c>
      <c r="K78" s="3">
        <f t="shared" ref="K78:K82" si="8">+B78*(F78+I78)</f>
        <v>0</v>
      </c>
      <c r="L78" s="27">
        <f t="shared" si="7"/>
        <v>0</v>
      </c>
      <c r="M78" s="3">
        <f t="shared" ref="M78:M82" si="9">+L78*(F78+I78)</f>
        <v>0</v>
      </c>
      <c r="N78" s="3">
        <f t="shared" ref="N78:N82" si="10">IF(L78=0,0,B78-L78)</f>
        <v>0</v>
      </c>
      <c r="O78" s="3">
        <f t="shared" si="5"/>
        <v>0</v>
      </c>
      <c r="P78" s="3"/>
    </row>
    <row r="79" spans="1:16" x14ac:dyDescent="0.35">
      <c r="A79" t="s">
        <v>3921</v>
      </c>
      <c r="B79" s="3">
        <f>_xlfn.IFNA(_xlfn.XLOOKUP(A79,'Price list'!G:G,'Price list'!H:H),0)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ref="J79:J82" si="11">IF(F79/J$5&gt;0,F79/J$5,I79/J$5)</f>
        <v>0</v>
      </c>
      <c r="K79" s="3">
        <f t="shared" si="8"/>
        <v>0</v>
      </c>
      <c r="L79" s="27">
        <f t="shared" si="7"/>
        <v>0</v>
      </c>
      <c r="M79" s="3">
        <f t="shared" si="9"/>
        <v>0</v>
      </c>
      <c r="N79" s="3">
        <f t="shared" si="10"/>
        <v>0</v>
      </c>
      <c r="O79" s="3">
        <f t="shared" ref="O79:O82" si="12">+K79-M79</f>
        <v>0</v>
      </c>
      <c r="P79" s="3"/>
    </row>
    <row r="80" spans="1:16" x14ac:dyDescent="0.35">
      <c r="A80" t="s">
        <v>3922</v>
      </c>
      <c r="B80" s="3">
        <f>_xlfn.IFNA(_xlfn.XLOOKUP(A80,'Price list'!G:G,'Price list'!H:H),0)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11"/>
        <v>0</v>
      </c>
      <c r="K80" s="3">
        <f t="shared" si="8"/>
        <v>0</v>
      </c>
      <c r="L80" s="27">
        <f t="shared" si="7"/>
        <v>0</v>
      </c>
      <c r="M80" s="3">
        <f t="shared" si="9"/>
        <v>0</v>
      </c>
      <c r="N80" s="3">
        <f t="shared" si="10"/>
        <v>0</v>
      </c>
      <c r="O80" s="3">
        <f t="shared" si="12"/>
        <v>0</v>
      </c>
      <c r="P80" s="3"/>
    </row>
    <row r="81" spans="1:18" x14ac:dyDescent="0.35">
      <c r="A81" t="s">
        <v>3923</v>
      </c>
      <c r="B81" s="3">
        <f>_xlfn.IFNA(_xlfn.XLOOKUP(A81,'Price list'!G:G,'Price list'!H:H),0)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11"/>
        <v>0</v>
      </c>
      <c r="K81" s="3">
        <f t="shared" si="8"/>
        <v>0</v>
      </c>
      <c r="L81" s="27">
        <f t="shared" si="7"/>
        <v>0</v>
      </c>
      <c r="M81" s="3">
        <f t="shared" si="9"/>
        <v>0</v>
      </c>
      <c r="N81" s="3">
        <f t="shared" si="10"/>
        <v>0</v>
      </c>
      <c r="O81" s="3">
        <f t="shared" si="12"/>
        <v>0</v>
      </c>
      <c r="P81" s="3"/>
    </row>
    <row r="82" spans="1:18" x14ac:dyDescent="0.35">
      <c r="A82" t="s">
        <v>3924</v>
      </c>
      <c r="B82" s="3">
        <f>_xlfn.IFNA(_xlfn.XLOOKUP(A82,'Price list'!G:G,'Price list'!H:H),0)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3">
        <v>0</v>
      </c>
      <c r="J82" s="26">
        <f t="shared" si="11"/>
        <v>0</v>
      </c>
      <c r="K82" s="3">
        <f t="shared" si="8"/>
        <v>0</v>
      </c>
      <c r="L82" s="27">
        <f t="shared" si="7"/>
        <v>0</v>
      </c>
      <c r="M82" s="3">
        <f t="shared" si="9"/>
        <v>0</v>
      </c>
      <c r="N82" s="3">
        <f t="shared" si="10"/>
        <v>0</v>
      </c>
      <c r="O82" s="3">
        <f t="shared" si="12"/>
        <v>0</v>
      </c>
      <c r="P82" s="3"/>
    </row>
    <row r="85" spans="1:18" s="2" customFormat="1" x14ac:dyDescent="0.35">
      <c r="A85" t="s">
        <v>3929</v>
      </c>
      <c r="B85"/>
      <c r="C85"/>
      <c r="D85"/>
      <c r="E85"/>
      <c r="F85" s="117"/>
      <c r="G85" t="s">
        <v>3930</v>
      </c>
      <c r="Q85"/>
      <c r="R85"/>
    </row>
    <row r="86" spans="1:18" s="2" customFormat="1" x14ac:dyDescent="0.35">
      <c r="A86"/>
      <c r="B86"/>
      <c r="C86"/>
      <c r="D86"/>
      <c r="E86"/>
      <c r="F86" s="117"/>
      <c r="G86"/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/>
      <c r="B89"/>
      <c r="C89"/>
      <c r="D89"/>
      <c r="E89"/>
      <c r="F89" s="117"/>
      <c r="G89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  <row r="91" spans="1:18" s="2" customFormat="1" x14ac:dyDescent="0.35">
      <c r="A91" s="118"/>
      <c r="B91"/>
      <c r="C91"/>
      <c r="D91"/>
      <c r="E91"/>
      <c r="F91" s="117"/>
      <c r="G91" s="118"/>
      <c r="Q91"/>
      <c r="R91"/>
    </row>
    <row r="92" spans="1:18" s="2" customFormat="1" x14ac:dyDescent="0.35">
      <c r="A92"/>
      <c r="B92"/>
      <c r="C92"/>
      <c r="D92"/>
      <c r="E92"/>
      <c r="F92" s="117"/>
      <c r="G92"/>
      <c r="Q92"/>
      <c r="R92"/>
    </row>
  </sheetData>
  <autoFilter ref="A10:P82" xr:uid="{9E3D57EB-0D9F-40FE-B4FE-C94EEFF00F8F}"/>
  <conditionalFormatting sqref="O10">
    <cfRule type="cellIs" dxfId="8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rowBreaks count="1" manualBreakCount="1">
    <brk id="67" max="1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ACE9-1B2A-4B84-BFB8-C5202E34D164}">
  <sheetPr>
    <tabColor rgb="FFFF0000"/>
    <pageSetUpPr fitToPage="1"/>
  </sheetPr>
  <dimension ref="A1:R93"/>
  <sheetViews>
    <sheetView zoomScale="80" zoomScaleNormal="80" workbookViewId="0">
      <pane xSplit="3" ySplit="9" topLeftCell="D31" activePane="bottomRight" state="frozen"/>
      <selection activeCell="A751" sqref="A751"/>
      <selection pane="topRight" activeCell="A751" sqref="A751"/>
      <selection pane="bottomLeft" activeCell="A751" sqref="A751"/>
      <selection pane="bottomRight" activeCell="K50" sqref="K50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6.906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s="18" t="s">
        <v>3865</v>
      </c>
      <c r="F2" s="159">
        <v>46276</v>
      </c>
      <c r="G2" s="19" t="s">
        <v>3943</v>
      </c>
    </row>
    <row r="3" spans="1:18" x14ac:dyDescent="0.35">
      <c r="A3" s="101" t="s">
        <v>3866</v>
      </c>
      <c r="B3" s="2">
        <v>321198680</v>
      </c>
      <c r="C3" s="19">
        <f>B3*0.25%</f>
        <v>802996.70000000007</v>
      </c>
      <c r="E3" s="157"/>
      <c r="F3" s="157" t="s">
        <v>4110</v>
      </c>
      <c r="G3" s="156" t="s">
        <v>4027</v>
      </c>
      <c r="H3" s="157" t="s">
        <v>4112</v>
      </c>
      <c r="I3" s="101" t="s">
        <v>3870</v>
      </c>
      <c r="J3" s="2" t="s">
        <v>3950</v>
      </c>
      <c r="Q3" s="25"/>
      <c r="R3" s="2"/>
    </row>
    <row r="4" spans="1:18" x14ac:dyDescent="0.35">
      <c r="A4" s="101" t="s">
        <v>3867</v>
      </c>
      <c r="B4" s="2">
        <v>15000000</v>
      </c>
      <c r="E4" s="157"/>
      <c r="F4" s="157" t="s">
        <v>4111</v>
      </c>
      <c r="G4" s="157"/>
      <c r="H4" s="157" t="s">
        <v>4028</v>
      </c>
      <c r="I4" s="101" t="s">
        <v>3872</v>
      </c>
      <c r="J4" s="115">
        <v>46275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17320055</v>
      </c>
      <c r="C5" s="2">
        <v>19225280</v>
      </c>
      <c r="E5" s="157"/>
      <c r="F5" s="157"/>
      <c r="G5" s="157" t="s">
        <v>4109</v>
      </c>
      <c r="H5" s="157" t="s">
        <v>4029</v>
      </c>
      <c r="I5" s="101" t="s">
        <v>3944</v>
      </c>
      <c r="J5" s="19">
        <f>3500+3001.4+2694.2+3500</f>
        <v>12695.599999999999</v>
      </c>
      <c r="K5" s="2">
        <v>12015.8</v>
      </c>
      <c r="L5" s="2">
        <f>K5-J5</f>
        <v>-679.79999999999927</v>
      </c>
      <c r="M5" s="158">
        <f>L5/J5</f>
        <v>-5.3546110463467606E-2</v>
      </c>
    </row>
    <row r="6" spans="1:18" x14ac:dyDescent="0.35">
      <c r="A6" s="102" t="s">
        <v>3869</v>
      </c>
      <c r="B6" s="19">
        <f>SUM(B3:B5)</f>
        <v>353518735</v>
      </c>
      <c r="E6" s="157"/>
      <c r="F6" s="157"/>
      <c r="G6" s="157"/>
      <c r="H6" s="157"/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SUM(K11:K69)/M10-1</f>
        <v>1.6410205246972343E-2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353518735</v>
      </c>
      <c r="G10" s="5"/>
      <c r="H10" s="5"/>
      <c r="I10" s="5">
        <f>SUM(I11:I83)</f>
        <v>11040.7</v>
      </c>
      <c r="J10" s="111">
        <f>SUM(J11:J83)</f>
        <v>0.86964775197706312</v>
      </c>
      <c r="K10" s="5">
        <f>+SUM(K11:K83)</f>
        <v>359320050</v>
      </c>
      <c r="L10" s="5"/>
      <c r="M10" s="5">
        <f>+SUM(M11:M83)</f>
        <v>353518734.99999994</v>
      </c>
      <c r="N10" s="5"/>
      <c r="O10" s="5">
        <f>+SUM(O11:O83)</f>
        <v>5801315.0000000149</v>
      </c>
    </row>
    <row r="11" spans="1:18" x14ac:dyDescent="0.35">
      <c r="A11" t="s">
        <v>3873</v>
      </c>
      <c r="B11" s="3">
        <f>_xlfn.IFNA(_xlfn.XLOOKUP(A11,'Price list'!A:A,'Price list'!E:E),0)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78" si="0">+B11*(F11+I11)</f>
        <v>0</v>
      </c>
      <c r="L11" s="27">
        <f t="shared" ref="L11:L78" si="1">IFERROR(((K11/SUM($K$11:$K$83))*$F$10)/(F11+I11),0)</f>
        <v>0</v>
      </c>
      <c r="M11" s="3">
        <f t="shared" ref="M11:M78" si="2">+L11*(F11+I11)</f>
        <v>0</v>
      </c>
      <c r="N11" s="3">
        <f t="shared" ref="N11:N78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list'!A:A,'Price list'!E:E),0)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79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79" si="5">+K12-M12</f>
        <v>0</v>
      </c>
      <c r="P12" s="3"/>
      <c r="R12" s="3"/>
    </row>
    <row r="13" spans="1:18" s="196" customFormat="1" x14ac:dyDescent="0.35">
      <c r="A13" s="196" t="s">
        <v>3875</v>
      </c>
      <c r="B13" s="197">
        <f>_xlfn.IFNA(_xlfn.XLOOKUP(A13,'Price list'!A:A,'Price list'!E:E),0)</f>
        <v>36500</v>
      </c>
      <c r="C13" s="196" t="s">
        <v>9</v>
      </c>
      <c r="E13" s="197"/>
      <c r="F13" s="197"/>
      <c r="G13" s="197" t="s">
        <v>2219</v>
      </c>
      <c r="H13" s="197" t="str">
        <f>IF(G13=0,"",_xlfn.XLOOKUP(G13,List_item!A:A,List_item!B:B))</f>
        <v>Karkas Uk 0.5 Karkas Uk 0.5 Frozen Premium</v>
      </c>
      <c r="I13" s="197">
        <v>8</v>
      </c>
      <c r="J13" s="198">
        <f t="shared" si="4"/>
        <v>6.3013957591606553E-4</v>
      </c>
      <c r="K13" s="197">
        <f t="shared" si="0"/>
        <v>292000</v>
      </c>
      <c r="L13" s="199">
        <f t="shared" si="1"/>
        <v>35910.698074042899</v>
      </c>
      <c r="M13" s="197">
        <f t="shared" si="2"/>
        <v>287285.58459234319</v>
      </c>
      <c r="N13" s="197">
        <f t="shared" si="3"/>
        <v>589.30192595710105</v>
      </c>
      <c r="O13" s="197">
        <f t="shared" si="5"/>
        <v>4714.4154076568084</v>
      </c>
      <c r="P13" s="197"/>
    </row>
    <row r="14" spans="1:18" s="196" customFormat="1" x14ac:dyDescent="0.35">
      <c r="A14" s="196" t="s">
        <v>3876</v>
      </c>
      <c r="B14" s="197">
        <f>_xlfn.IFNA(_xlfn.XLOOKUP(A14,'Price list'!A:A,'Price list'!E:E),0)</f>
        <v>36500</v>
      </c>
      <c r="C14" s="196" t="s">
        <v>9</v>
      </c>
      <c r="E14" s="197"/>
      <c r="F14" s="197"/>
      <c r="G14" s="197" t="s">
        <v>2220</v>
      </c>
      <c r="H14" s="197" t="str">
        <f>IF(G14=0,"",_xlfn.XLOOKUP(G14,List_item!A:A,List_item!B:B))</f>
        <v>Karkas Uk 0.6 Karkas Uk 0.6 Frozen Premium</v>
      </c>
      <c r="I14" s="197">
        <v>41.3</v>
      </c>
      <c r="J14" s="198">
        <f t="shared" si="4"/>
        <v>3.2530955606666877E-3</v>
      </c>
      <c r="K14" s="197">
        <f t="shared" si="0"/>
        <v>1507450</v>
      </c>
      <c r="L14" s="199">
        <f t="shared" si="1"/>
        <v>35910.698074042906</v>
      </c>
      <c r="M14" s="197">
        <f t="shared" si="2"/>
        <v>1483111.8304579719</v>
      </c>
      <c r="N14" s="197">
        <f t="shared" si="3"/>
        <v>589.30192595709377</v>
      </c>
      <c r="O14" s="197">
        <f t="shared" si="5"/>
        <v>24338.169542028103</v>
      </c>
      <c r="P14" s="197"/>
    </row>
    <row r="15" spans="1:18" s="196" customFormat="1" x14ac:dyDescent="0.35">
      <c r="A15" s="196" t="s">
        <v>3877</v>
      </c>
      <c r="B15" s="197">
        <f>_xlfn.IFNA(_xlfn.XLOOKUP(A15,'Price list'!A:A,'Price list'!E:E),0)</f>
        <v>36500</v>
      </c>
      <c r="C15" s="196" t="s">
        <v>9</v>
      </c>
      <c r="G15" s="197" t="s">
        <v>2221</v>
      </c>
      <c r="H15" s="197" t="str">
        <f>IF(G15=0,"",_xlfn.XLOOKUP(G15,List_item!A:A,List_item!B:B))</f>
        <v>Karkas Uk 0.7 Karkas Uk 0.7 Frozen Premium</v>
      </c>
      <c r="I15" s="197">
        <v>133.6</v>
      </c>
      <c r="J15" s="198">
        <f t="shared" si="4"/>
        <v>1.0523330917798293E-2</v>
      </c>
      <c r="K15" s="197">
        <f t="shared" si="0"/>
        <v>4876400</v>
      </c>
      <c r="L15" s="199">
        <f t="shared" si="1"/>
        <v>35910.698074042906</v>
      </c>
      <c r="M15" s="197">
        <f t="shared" si="2"/>
        <v>4797669.262692132</v>
      </c>
      <c r="N15" s="197">
        <f t="shared" si="3"/>
        <v>589.30192595709377</v>
      </c>
      <c r="O15" s="197">
        <f t="shared" si="5"/>
        <v>78730.737307867967</v>
      </c>
      <c r="P15" s="197"/>
    </row>
    <row r="16" spans="1:18" s="196" customFormat="1" x14ac:dyDescent="0.35">
      <c r="A16" s="196" t="s">
        <v>3878</v>
      </c>
      <c r="B16" s="197">
        <f>_xlfn.IFNA(_xlfn.XLOOKUP(A16,'Price list'!A:A,'Price list'!E:E),0)</f>
        <v>36500</v>
      </c>
      <c r="C16" s="196" t="s">
        <v>9</v>
      </c>
      <c r="E16" s="197"/>
      <c r="G16" s="197" t="s">
        <v>2222</v>
      </c>
      <c r="H16" s="197" t="str">
        <f>IF(G16=0,"",_xlfn.XLOOKUP(G16,List_item!A:A,List_item!B:B))</f>
        <v>Karkas Uk 0.8 Frozen Premium</v>
      </c>
      <c r="I16" s="197">
        <v>116.9</v>
      </c>
      <c r="J16" s="198">
        <f t="shared" si="4"/>
        <v>9.2079145530735065E-3</v>
      </c>
      <c r="K16" s="197">
        <f t="shared" si="0"/>
        <v>4266850</v>
      </c>
      <c r="L16" s="199">
        <f t="shared" si="1"/>
        <v>35910.698074042906</v>
      </c>
      <c r="M16" s="197">
        <f t="shared" si="2"/>
        <v>4197960.6048556156</v>
      </c>
      <c r="N16" s="197">
        <f t="shared" si="3"/>
        <v>589.30192595709377</v>
      </c>
      <c r="O16" s="197">
        <f t="shared" si="5"/>
        <v>68889.395144384354</v>
      </c>
      <c r="P16" s="197"/>
    </row>
    <row r="17" spans="1:16" s="196" customFormat="1" x14ac:dyDescent="0.35">
      <c r="A17" s="196" t="s">
        <v>3879</v>
      </c>
      <c r="B17" s="197">
        <f>_xlfn.IFNA(_xlfn.XLOOKUP(A17,'Price list'!A:A,'Price list'!E:E),0)</f>
        <v>36500</v>
      </c>
      <c r="C17" s="196" t="s">
        <v>9</v>
      </c>
      <c r="E17" s="200"/>
      <c r="G17" s="197" t="s">
        <v>2223</v>
      </c>
      <c r="H17" s="197" t="str">
        <f>IF(G17=0,"",_xlfn.XLOOKUP(G17,List_item!A:A,List_item!B:B))</f>
        <v>Karkas Uk 0.9 Frozen Premium</v>
      </c>
      <c r="I17" s="197">
        <v>537.20000000000005</v>
      </c>
      <c r="J17" s="198">
        <f t="shared" si="4"/>
        <v>4.23138725227638E-2</v>
      </c>
      <c r="K17" s="197">
        <f t="shared" si="0"/>
        <v>19607800</v>
      </c>
      <c r="L17" s="199">
        <f t="shared" si="1"/>
        <v>35910.698074042899</v>
      </c>
      <c r="M17" s="197">
        <f t="shared" si="2"/>
        <v>19291227.005375847</v>
      </c>
      <c r="N17" s="197">
        <f t="shared" si="3"/>
        <v>589.30192595710105</v>
      </c>
      <c r="O17" s="197">
        <f t="shared" si="5"/>
        <v>316572.99462415278</v>
      </c>
      <c r="P17" s="197"/>
    </row>
    <row r="18" spans="1:16" s="196" customFormat="1" x14ac:dyDescent="0.35">
      <c r="A18" s="196" t="s">
        <v>3880</v>
      </c>
      <c r="B18" s="197">
        <f>_xlfn.IFNA(_xlfn.XLOOKUP(A18,'Price list'!A:A,'Price list'!E:E),0)</f>
        <v>36500</v>
      </c>
      <c r="C18" s="196" t="s">
        <v>9</v>
      </c>
      <c r="E18" s="197"/>
      <c r="F18" s="197"/>
      <c r="G18" s="197" t="s">
        <v>923</v>
      </c>
      <c r="H18" s="197" t="str">
        <f>IF(G18=0,"",_xlfn.XLOOKUP(G18,List_item!A:A,List_item!B:B))</f>
        <v>Karkas Uk 1.0 Karkas Uk 1.0 Frozen Premium</v>
      </c>
      <c r="I18" s="197">
        <v>321.5</v>
      </c>
      <c r="J18" s="198">
        <f t="shared" si="4"/>
        <v>2.5323734207126882E-2</v>
      </c>
      <c r="K18" s="197">
        <f t="shared" si="0"/>
        <v>11734750</v>
      </c>
      <c r="L18" s="199">
        <f t="shared" si="1"/>
        <v>35910.698074042906</v>
      </c>
      <c r="M18" s="197">
        <f t="shared" si="2"/>
        <v>11545289.430804795</v>
      </c>
      <c r="N18" s="197">
        <f t="shared" si="3"/>
        <v>589.30192595709377</v>
      </c>
      <c r="O18" s="197">
        <f t="shared" si="5"/>
        <v>189460.56919520535</v>
      </c>
      <c r="P18" s="197"/>
    </row>
    <row r="19" spans="1:16" s="196" customFormat="1" x14ac:dyDescent="0.35">
      <c r="A19" s="196" t="s">
        <v>3881</v>
      </c>
      <c r="B19" s="197">
        <f>_xlfn.IFNA(_xlfn.XLOOKUP(A19,'Price list'!A:A,'Price list'!E:E),0)</f>
        <v>36500</v>
      </c>
      <c r="C19" s="196" t="s">
        <v>9</v>
      </c>
      <c r="E19" s="197"/>
      <c r="F19" s="197"/>
      <c r="G19" s="197" t="s">
        <v>989</v>
      </c>
      <c r="H19" s="197" t="str">
        <f>IF(G19=0,"",_xlfn.XLOOKUP(G19,List_item!A:A,List_item!B:B))</f>
        <v>Karkas Uk 1.1 Karkas Uk 1.1 Frozen Premium</v>
      </c>
      <c r="I19" s="197">
        <v>1352</v>
      </c>
      <c r="J19" s="198">
        <f t="shared" si="4"/>
        <v>0.10649358832981506</v>
      </c>
      <c r="K19" s="197">
        <f t="shared" si="0"/>
        <v>49348000</v>
      </c>
      <c r="L19" s="199">
        <f t="shared" si="1"/>
        <v>35910.698074042899</v>
      </c>
      <c r="M19" s="197">
        <f t="shared" si="2"/>
        <v>48551263.796105996</v>
      </c>
      <c r="N19" s="197">
        <f t="shared" si="3"/>
        <v>589.30192595710105</v>
      </c>
      <c r="O19" s="197">
        <f t="shared" si="5"/>
        <v>796736.20389400423</v>
      </c>
      <c r="P19" s="197"/>
    </row>
    <row r="20" spans="1:16" s="196" customFormat="1" x14ac:dyDescent="0.35">
      <c r="A20" s="196" t="s">
        <v>3882</v>
      </c>
      <c r="B20" s="197">
        <f>_xlfn.IFNA(_xlfn.XLOOKUP(A20,'Price list'!A:A,'Price list'!E:E),0)</f>
        <v>36500</v>
      </c>
      <c r="C20" s="196" t="s">
        <v>9</v>
      </c>
      <c r="E20" s="197"/>
      <c r="F20" s="197"/>
      <c r="G20" s="197" t="s">
        <v>1055</v>
      </c>
      <c r="H20" s="197" t="str">
        <f>IF(G20=0,"",_xlfn.XLOOKUP(G20,List_item!A:A,List_item!B:B))</f>
        <v>Karkas Uk 1.2 Karkas Uk 1.2 Frozen Premium</v>
      </c>
      <c r="I20" s="197">
        <v>1572</v>
      </c>
      <c r="J20" s="198">
        <f t="shared" si="4"/>
        <v>0.12382242666750687</v>
      </c>
      <c r="K20" s="197">
        <f t="shared" si="0"/>
        <v>57378000</v>
      </c>
      <c r="L20" s="199">
        <f t="shared" si="1"/>
        <v>35910.698074042906</v>
      </c>
      <c r="M20" s="197">
        <f t="shared" si="2"/>
        <v>56451617.372395448</v>
      </c>
      <c r="N20" s="197">
        <f t="shared" si="3"/>
        <v>589.30192595709377</v>
      </c>
      <c r="O20" s="197">
        <f t="shared" si="5"/>
        <v>926382.62760455161</v>
      </c>
      <c r="P20" s="197"/>
    </row>
    <row r="21" spans="1:16" s="196" customFormat="1" x14ac:dyDescent="0.35">
      <c r="A21" s="196" t="s">
        <v>3883</v>
      </c>
      <c r="B21" s="197">
        <f>_xlfn.IFNA(_xlfn.XLOOKUP(A21,'Price list'!A:A,'Price list'!E:E),0)</f>
        <v>36500</v>
      </c>
      <c r="C21" s="196" t="s">
        <v>9</v>
      </c>
      <c r="E21" s="197"/>
      <c r="F21" s="197"/>
      <c r="G21" s="197" t="s">
        <v>1121</v>
      </c>
      <c r="H21" s="197" t="str">
        <f>IF(G21=0,"",_xlfn.XLOOKUP(G21,List_item!A:A,List_item!B:B))</f>
        <v>Karkas Uk 1.3 Karkas Uk 1.3 Frozen Premium</v>
      </c>
      <c r="I21" s="197">
        <v>1200</v>
      </c>
      <c r="J21" s="198">
        <f t="shared" si="4"/>
        <v>9.4520936387409826E-2</v>
      </c>
      <c r="K21" s="197">
        <f t="shared" si="0"/>
        <v>43800000</v>
      </c>
      <c r="L21" s="199">
        <f t="shared" si="1"/>
        <v>35910.698074042906</v>
      </c>
      <c r="M21" s="197">
        <f t="shared" si="2"/>
        <v>43092837.688851491</v>
      </c>
      <c r="N21" s="197">
        <f t="shared" si="3"/>
        <v>589.30192595709377</v>
      </c>
      <c r="O21" s="197">
        <f t="shared" si="5"/>
        <v>707162.31114850938</v>
      </c>
      <c r="P21" s="197"/>
    </row>
    <row r="22" spans="1:16" s="196" customFormat="1" x14ac:dyDescent="0.35">
      <c r="A22" s="196" t="s">
        <v>3884</v>
      </c>
      <c r="B22" s="197">
        <f>_xlfn.IFNA(_xlfn.XLOOKUP(A22,'Price list'!A:A,'Price list'!E:E),0)</f>
        <v>36500</v>
      </c>
      <c r="C22" s="196" t="s">
        <v>9</v>
      </c>
      <c r="E22" s="197"/>
      <c r="F22" s="197"/>
      <c r="G22" s="197" t="s">
        <v>1187</v>
      </c>
      <c r="H22" s="197" t="str">
        <f>IF(G22=0,"",_xlfn.XLOOKUP(G22,List_item!A:A,List_item!B:B))</f>
        <v>Karkas Uk 1.4 Karkas Uk 1.4 Frozen Premium</v>
      </c>
      <c r="I22" s="197">
        <v>221.8</v>
      </c>
      <c r="J22" s="198">
        <f t="shared" si="4"/>
        <v>1.7470619742272916E-2</v>
      </c>
      <c r="K22" s="197">
        <f t="shared" si="0"/>
        <v>8095700</v>
      </c>
      <c r="L22" s="199">
        <f t="shared" si="1"/>
        <v>35910.698074042899</v>
      </c>
      <c r="M22" s="197">
        <f t="shared" si="2"/>
        <v>7964992.8328227149</v>
      </c>
      <c r="N22" s="197">
        <f t="shared" si="3"/>
        <v>589.30192595710105</v>
      </c>
      <c r="O22" s="197">
        <f t="shared" si="5"/>
        <v>130707.16717728507</v>
      </c>
      <c r="P22" s="197"/>
    </row>
    <row r="23" spans="1:16" s="196" customFormat="1" x14ac:dyDescent="0.35">
      <c r="A23" s="196" t="s">
        <v>3884</v>
      </c>
      <c r="B23" s="197">
        <f>_xlfn.IFNA(_xlfn.XLOOKUP(A23,'Price list'!A:A,'Price list'!E:E),0)</f>
        <v>36500</v>
      </c>
      <c r="C23" s="196" t="s">
        <v>9</v>
      </c>
      <c r="E23" s="197"/>
      <c r="F23" s="197"/>
      <c r="G23" s="197" t="s">
        <v>1155</v>
      </c>
      <c r="H23" s="197" t="str">
        <f>IF(G23=0,"",_xlfn.XLOOKUP(G23,List_item!A:A,List_item!B:B))</f>
        <v>Karkas Uk 1.4 Karkas Uk 1.4 Fresh Premium</v>
      </c>
      <c r="I23" s="197">
        <v>1228.2</v>
      </c>
      <c r="J23" s="198">
        <f t="shared" si="4"/>
        <v>9.674217839251395E-2</v>
      </c>
      <c r="K23" s="197">
        <f t="shared" ref="K23" si="6">+B23*(F23+I23)</f>
        <v>44829300</v>
      </c>
      <c r="L23" s="199">
        <f t="shared" ref="L23" si="7">IFERROR(((K23/SUM($K$11:$K$83))*$F$10)/(F23+I23),0)</f>
        <v>35910.698074042899</v>
      </c>
      <c r="M23" s="197">
        <f t="shared" ref="M23" si="8">+L23*(F23+I23)</f>
        <v>44105519.374539487</v>
      </c>
      <c r="N23" s="197">
        <f t="shared" ref="N23" si="9">IF(L23=0,0,B23-L23)</f>
        <v>589.30192595710105</v>
      </c>
      <c r="O23" s="197">
        <f t="shared" ref="O23" si="10">+K23-M23</f>
        <v>723780.62546051294</v>
      </c>
      <c r="P23" s="197"/>
    </row>
    <row r="24" spans="1:16" s="196" customFormat="1" x14ac:dyDescent="0.35">
      <c r="A24" s="196" t="s">
        <v>3849</v>
      </c>
      <c r="B24" s="197">
        <f>_xlfn.IFNA(_xlfn.XLOOKUP(A24,'Price list'!A:A,'Price list'!E:E),0)</f>
        <v>36500</v>
      </c>
      <c r="C24" s="196" t="s">
        <v>9</v>
      </c>
      <c r="E24" s="197"/>
      <c r="F24" s="197"/>
      <c r="G24" s="197" t="s">
        <v>1252</v>
      </c>
      <c r="H24" s="197" t="str">
        <f>IF(G24=0,"",_xlfn.XLOOKUP(G24,List_item!A:A,List_item!B:B))</f>
        <v>Karkas Uk 1.5 Karkas Uk 1.5 Frozen Premium</v>
      </c>
      <c r="I24" s="197">
        <v>636</v>
      </c>
      <c r="J24" s="198">
        <f t="shared" si="4"/>
        <v>5.0096096285327206E-2</v>
      </c>
      <c r="K24" s="197">
        <f t="shared" si="0"/>
        <v>23214000</v>
      </c>
      <c r="L24" s="199">
        <f t="shared" si="1"/>
        <v>35910.698074042899</v>
      </c>
      <c r="M24" s="197">
        <f t="shared" si="2"/>
        <v>22839203.975091282</v>
      </c>
      <c r="N24" s="197">
        <f t="shared" si="3"/>
        <v>589.30192595710105</v>
      </c>
      <c r="O24" s="197">
        <f t="shared" si="5"/>
        <v>374796.02490871772</v>
      </c>
      <c r="P24" s="197"/>
    </row>
    <row r="25" spans="1:16" s="196" customFormat="1" x14ac:dyDescent="0.35">
      <c r="A25" s="196" t="s">
        <v>3885</v>
      </c>
      <c r="B25" s="197">
        <f>_xlfn.IFNA(_xlfn.XLOOKUP(A25,'Price list'!A:A,'Price list'!E:E),0)</f>
        <v>36500</v>
      </c>
      <c r="C25" s="196" t="s">
        <v>9</v>
      </c>
      <c r="E25" s="197"/>
      <c r="F25" s="197"/>
      <c r="G25" s="197" t="s">
        <v>1318</v>
      </c>
      <c r="H25" s="197" t="str">
        <f>IF(G25=0,"",_xlfn.XLOOKUP(G25,List_item!A:A,List_item!B:B))</f>
        <v>Karkas Uk 1.6 Karkas Uk 1.6 Frozen Premium</v>
      </c>
      <c r="I25" s="197">
        <v>292</v>
      </c>
      <c r="J25" s="198">
        <f t="shared" si="4"/>
        <v>2.300009452093639E-2</v>
      </c>
      <c r="K25" s="197">
        <f t="shared" si="0"/>
        <v>10658000</v>
      </c>
      <c r="L25" s="199">
        <f t="shared" si="1"/>
        <v>35910.698074042906</v>
      </c>
      <c r="M25" s="197">
        <f t="shared" si="2"/>
        <v>10485923.837620528</v>
      </c>
      <c r="N25" s="197">
        <f t="shared" si="3"/>
        <v>589.30192595709377</v>
      </c>
      <c r="O25" s="197">
        <f t="shared" si="5"/>
        <v>172076.16237947159</v>
      </c>
      <c r="P25" s="197"/>
    </row>
    <row r="26" spans="1:16" s="196" customFormat="1" x14ac:dyDescent="0.35">
      <c r="A26" s="196" t="s">
        <v>3886</v>
      </c>
      <c r="B26" s="197">
        <f>_xlfn.IFNA(_xlfn.XLOOKUP(A26,'Price list'!A:A,'Price list'!E:E),0)</f>
        <v>36500</v>
      </c>
      <c r="C26" s="196" t="s">
        <v>9</v>
      </c>
      <c r="E26" s="197"/>
      <c r="F26" s="197"/>
      <c r="G26" s="197" t="s">
        <v>1384</v>
      </c>
      <c r="H26" s="197" t="str">
        <f>IF(G26=0,"",_xlfn.XLOOKUP(G26,List_item!A:A,List_item!B:B))</f>
        <v>Karkas Uk 1.7 Karkas Uk 1.7 Frozen Premium</v>
      </c>
      <c r="I26" s="197">
        <v>123</v>
      </c>
      <c r="J26" s="198">
        <f t="shared" si="4"/>
        <v>9.6883959797095069E-3</v>
      </c>
      <c r="K26" s="197">
        <f t="shared" si="0"/>
        <v>4489500</v>
      </c>
      <c r="L26" s="199">
        <f t="shared" si="1"/>
        <v>35910.698074042906</v>
      </c>
      <c r="M26" s="197">
        <f t="shared" si="2"/>
        <v>4417015.8631072771</v>
      </c>
      <c r="N26" s="197">
        <f t="shared" si="3"/>
        <v>589.30192595709377</v>
      </c>
      <c r="O26" s="197">
        <f t="shared" si="5"/>
        <v>72484.13689272292</v>
      </c>
      <c r="P26" s="197"/>
    </row>
    <row r="27" spans="1:16" s="196" customFormat="1" x14ac:dyDescent="0.35">
      <c r="A27" s="196" t="s">
        <v>3887</v>
      </c>
      <c r="B27" s="197">
        <f>_xlfn.IFNA(_xlfn.XLOOKUP(A27,'Price list'!A:A,'Price list'!E:E),0)</f>
        <v>36500</v>
      </c>
      <c r="C27" s="196" t="s">
        <v>9</v>
      </c>
      <c r="E27" s="197"/>
      <c r="F27" s="197"/>
      <c r="G27" s="197" t="s">
        <v>1450</v>
      </c>
      <c r="H27" s="197" t="str">
        <f>IF(G27=0,"",_xlfn.XLOOKUP(G27,List_item!A:A,List_item!B:B))</f>
        <v>Karkas Uk 1.8 Karkas Uk 1.8 Frozen Premium</v>
      </c>
      <c r="I27" s="197">
        <v>35</v>
      </c>
      <c r="J27" s="198">
        <f t="shared" si="4"/>
        <v>2.7568606446327867E-3</v>
      </c>
      <c r="K27" s="197">
        <f t="shared" si="0"/>
        <v>1277500</v>
      </c>
      <c r="L27" s="199">
        <f t="shared" si="1"/>
        <v>35910.698074042906</v>
      </c>
      <c r="M27" s="197">
        <f t="shared" si="2"/>
        <v>1256874.4325915016</v>
      </c>
      <c r="N27" s="197">
        <f t="shared" si="3"/>
        <v>589.30192595709377</v>
      </c>
      <c r="O27" s="197">
        <f t="shared" si="5"/>
        <v>20625.567408498377</v>
      </c>
      <c r="P27" s="197"/>
    </row>
    <row r="28" spans="1:16" s="196" customFormat="1" x14ac:dyDescent="0.35">
      <c r="A28" s="196" t="s">
        <v>3888</v>
      </c>
      <c r="B28" s="197">
        <f>_xlfn.IFNA(_xlfn.XLOOKUP(A28,'Price list'!A:A,'Price list'!E:E),0)</f>
        <v>36500</v>
      </c>
      <c r="C28" s="196" t="s">
        <v>9</v>
      </c>
      <c r="E28" s="197"/>
      <c r="F28" s="197"/>
      <c r="G28" s="197" t="s">
        <v>1516</v>
      </c>
      <c r="H28" s="197" t="str">
        <f>IF(G28=0,"",_xlfn.XLOOKUP(G28,List_item!A:A,List_item!B:B))</f>
        <v>Karkas Uk 1.9 Karkas Uk 1.9 Frozen Premium</v>
      </c>
      <c r="I28" s="197">
        <v>8</v>
      </c>
      <c r="J28" s="198">
        <f t="shared" si="4"/>
        <v>6.3013957591606553E-4</v>
      </c>
      <c r="K28" s="197">
        <f t="shared" si="0"/>
        <v>292000</v>
      </c>
      <c r="L28" s="199">
        <f t="shared" si="1"/>
        <v>35910.698074042899</v>
      </c>
      <c r="M28" s="197">
        <f t="shared" si="2"/>
        <v>287285.58459234319</v>
      </c>
      <c r="N28" s="197">
        <f t="shared" si="3"/>
        <v>589.30192595710105</v>
      </c>
      <c r="O28" s="197">
        <f t="shared" si="5"/>
        <v>4714.4154076568084</v>
      </c>
      <c r="P28" s="197"/>
    </row>
    <row r="29" spans="1:16" x14ac:dyDescent="0.35">
      <c r="A29" t="s">
        <v>3889</v>
      </c>
      <c r="B29" s="3">
        <f>_xlfn.IFNA(_xlfn.XLOOKUP(A29,'Price list'!A:A,'Price list'!E:E),0)</f>
        <v>36500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3890</v>
      </c>
      <c r="B30" s="3">
        <f>_xlfn.IFNA(_xlfn.XLOOKUP(A30,'Price list'!A:A,'Price list'!E:E),0)</f>
        <v>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8</v>
      </c>
      <c r="B31" s="3">
        <f>_xlfn.IFNA(_xlfn.XLOOKUP(A31,'Price list'!A:A,'Price list'!E:E),0)</f>
        <v>50000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10</v>
      </c>
      <c r="B32" s="3">
        <f>_xlfn.IFNA(_xlfn.XLOOKUP(A32,'Price list'!A:A,'Price list'!E:E),0)</f>
        <v>48000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12</v>
      </c>
      <c r="B33" s="3">
        <f>_xlfn.IFNA(_xlfn.XLOOKUP(A33,'Price list'!A:A,'Price list'!E:E),0)</f>
        <v>49000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2159</v>
      </c>
      <c r="B34" s="3">
        <f>_xlfn.IFNA(_xlfn.XLOOKUP(A34,'Price list'!A:A,'Price list'!E:E),0)</f>
        <v>5500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3891</v>
      </c>
      <c r="B35" s="3">
        <f>_xlfn.IFNA(_xlfn.XLOOKUP(A35,'Price list'!A:A,'Price list'!E:E),0)</f>
        <v>20000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3892</v>
      </c>
      <c r="B36" s="3">
        <f>_xlfn.IFNA(_xlfn.XLOOKUP(A36,'Price list'!A:A,'Price list'!E:E),0)</f>
        <v>22000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3852</v>
      </c>
      <c r="B37" s="3">
        <f>_xlfn.IFNA(_xlfn.XLOOKUP(A37,'Price list'!A:A,'Price list'!E:E),0)</f>
        <v>18000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17</v>
      </c>
      <c r="B38" s="3">
        <f>_xlfn.IFNA(_xlfn.XLOOKUP(A38,'Price list'!A:A,'Price list'!E:E),0)</f>
        <v>3500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x14ac:dyDescent="0.35">
      <c r="A39" t="s">
        <v>2199</v>
      </c>
      <c r="B39" s="3">
        <f>_xlfn.IFNA(_xlfn.XLOOKUP(A39,'Price list'!A:A,'Price list'!E:E),0)</f>
        <v>38000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si="1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6" s="196" customFormat="1" x14ac:dyDescent="0.35">
      <c r="A40" s="196" t="s">
        <v>2161</v>
      </c>
      <c r="B40" s="197">
        <f>_xlfn.IFNA(_xlfn.XLOOKUP(A40,'Price list'!A:A,'Price list'!E:E),0)</f>
        <v>18000</v>
      </c>
      <c r="C40" s="196" t="s">
        <v>9</v>
      </c>
      <c r="E40" s="197"/>
      <c r="F40" s="197"/>
      <c r="G40" s="197" t="s">
        <v>19</v>
      </c>
      <c r="H40" s="197" t="str">
        <f>IF(G40=0,"",_xlfn.XLOOKUP(G40,List_item!A:A,List_item!B:B))</f>
        <v>Boneless BL Frozen Lemak</v>
      </c>
      <c r="I40" s="197">
        <v>35.4</v>
      </c>
      <c r="J40" s="198">
        <f t="shared" si="4"/>
        <v>2.7883676234285895E-3</v>
      </c>
      <c r="K40" s="197">
        <f t="shared" si="0"/>
        <v>637200</v>
      </c>
      <c r="L40" s="199">
        <f t="shared" si="1"/>
        <v>17709.385351582801</v>
      </c>
      <c r="M40" s="197">
        <f t="shared" si="2"/>
        <v>626912.24144603114</v>
      </c>
      <c r="N40" s="197">
        <f t="shared" si="3"/>
        <v>290.61464841719862</v>
      </c>
      <c r="O40" s="197">
        <f t="shared" si="5"/>
        <v>10287.758553968859</v>
      </c>
      <c r="P40" s="197"/>
    </row>
    <row r="41" spans="1:16" s="196" customFormat="1" x14ac:dyDescent="0.35">
      <c r="A41" s="196" t="s">
        <v>2162</v>
      </c>
      <c r="B41" s="197">
        <f>_xlfn.IFNA(_xlfn.XLOOKUP(A41,'Price list'!A:A,'Price list'!E:E),0)</f>
        <v>8000</v>
      </c>
      <c r="C41" s="196" t="s">
        <v>9</v>
      </c>
      <c r="E41" s="197"/>
      <c r="F41" s="197"/>
      <c r="G41" s="197" t="s">
        <v>310</v>
      </c>
      <c r="H41" s="197" t="str">
        <f>IF(G41=0,"",_xlfn.XLOOKUP(G41,List_item!A:A,List_item!B:B))</f>
        <v>Boneless BL Frozen Kepala</v>
      </c>
      <c r="I41" s="197">
        <v>667.2</v>
      </c>
      <c r="J41" s="198">
        <f t="shared" si="4"/>
        <v>5.2553640631399862E-2</v>
      </c>
      <c r="K41" s="197">
        <f t="shared" si="0"/>
        <v>5337600</v>
      </c>
      <c r="L41" s="199">
        <f t="shared" si="1"/>
        <v>7870.8379340368001</v>
      </c>
      <c r="M41" s="197">
        <f t="shared" si="2"/>
        <v>5251423.0695893532</v>
      </c>
      <c r="N41" s="197">
        <f t="shared" si="3"/>
        <v>129.16206596319989</v>
      </c>
      <c r="O41" s="197">
        <f t="shared" si="5"/>
        <v>86176.930410646833</v>
      </c>
      <c r="P41" s="197"/>
    </row>
    <row r="42" spans="1:16" s="196" customFormat="1" x14ac:dyDescent="0.35">
      <c r="A42" s="196" t="s">
        <v>0</v>
      </c>
      <c r="B42" s="197">
        <f>_xlfn.IFNA(_xlfn.XLOOKUP(A42,'Price list'!A:A,'Price list'!E:E),0)</f>
        <v>10000</v>
      </c>
      <c r="C42" s="196" t="s">
        <v>9</v>
      </c>
      <c r="E42" s="197"/>
      <c r="F42" s="197"/>
      <c r="G42" s="197" t="s">
        <v>22</v>
      </c>
      <c r="H42" s="197" t="str">
        <f>IF(G42=0,"",_xlfn.XLOOKUP(G42,List_item!A:A,List_item!B:B))</f>
        <v>Boneless BL Frozen Ceker</v>
      </c>
      <c r="I42" s="197">
        <v>411.2</v>
      </c>
      <c r="J42" s="198">
        <f t="shared" si="4"/>
        <v>3.2389174202085765E-2</v>
      </c>
      <c r="K42" s="197">
        <f t="shared" si="0"/>
        <v>4112000</v>
      </c>
      <c r="L42" s="199">
        <f t="shared" si="1"/>
        <v>9838.5474175460004</v>
      </c>
      <c r="M42" s="197">
        <f t="shared" si="2"/>
        <v>4045610.6980949151</v>
      </c>
      <c r="N42" s="197">
        <f t="shared" si="3"/>
        <v>161.45258245399964</v>
      </c>
      <c r="O42" s="197">
        <f t="shared" si="5"/>
        <v>66389.301905084867</v>
      </c>
      <c r="P42" s="197"/>
    </row>
    <row r="43" spans="1:16" x14ac:dyDescent="0.35">
      <c r="A43" t="s">
        <v>24</v>
      </c>
      <c r="B43" s="3">
        <f>_xlfn.IFNA(_xlfn.XLOOKUP(A43,'Price list'!A:A,'Price list'!E:E),0)</f>
        <v>4000</v>
      </c>
      <c r="C43" t="s">
        <v>9</v>
      </c>
      <c r="E43" s="3"/>
      <c r="F43" s="3"/>
      <c r="G43" s="3"/>
      <c r="H43" s="3" t="str">
        <f>IF(G43=0,"",_xlfn.XLOOKUP(G43,List_item!A:A,List_item!B:B))</f>
        <v/>
      </c>
      <c r="I43" s="3">
        <v>0</v>
      </c>
      <c r="J43" s="26">
        <f t="shared" si="4"/>
        <v>0</v>
      </c>
      <c r="K43" s="3">
        <f t="shared" si="0"/>
        <v>0</v>
      </c>
      <c r="L43" s="27">
        <f t="shared" si="1"/>
        <v>0</v>
      </c>
      <c r="M43" s="3">
        <f t="shared" si="2"/>
        <v>0</v>
      </c>
      <c r="N43" s="3">
        <f t="shared" si="3"/>
        <v>0</v>
      </c>
      <c r="O43" s="3">
        <f t="shared" si="5"/>
        <v>0</v>
      </c>
      <c r="P43" s="3"/>
    </row>
    <row r="44" spans="1:16" s="196" customFormat="1" x14ac:dyDescent="0.35">
      <c r="A44" s="196" t="s">
        <v>3893</v>
      </c>
      <c r="B44" s="197">
        <f>_xlfn.IFNA(_xlfn.XLOOKUP(A44,'Price list'!A:A,'Price list'!E:E),0)</f>
        <v>5000</v>
      </c>
      <c r="C44" s="196" t="s">
        <v>9</v>
      </c>
      <c r="E44" s="197"/>
      <c r="F44" s="197"/>
      <c r="G44" s="197" t="s">
        <v>387</v>
      </c>
      <c r="H44" s="197" t="str">
        <f>IF(G44=0,"",_xlfn.XLOOKUP(G44,List_item!A:A,List_item!B:B))</f>
        <v>Boneless BL Frozen Usus Kotor</v>
      </c>
      <c r="I44" s="197">
        <v>587.1</v>
      </c>
      <c r="J44" s="198">
        <f t="shared" si="4"/>
        <v>4.6244368127540257E-2</v>
      </c>
      <c r="K44" s="197">
        <f t="shared" si="0"/>
        <v>2935500</v>
      </c>
      <c r="L44" s="199">
        <f t="shared" si="1"/>
        <v>4919.2737087730002</v>
      </c>
      <c r="M44" s="197">
        <f t="shared" si="2"/>
        <v>2888105.5944206286</v>
      </c>
      <c r="N44" s="197">
        <f t="shared" si="3"/>
        <v>80.72629122699982</v>
      </c>
      <c r="O44" s="197">
        <f t="shared" si="5"/>
        <v>47394.405579371378</v>
      </c>
      <c r="P44" s="197" t="s">
        <v>3947</v>
      </c>
    </row>
    <row r="45" spans="1:16" x14ac:dyDescent="0.35">
      <c r="A45" t="s">
        <v>2167</v>
      </c>
      <c r="B45" s="3">
        <f>_xlfn.IFNA(_xlfn.XLOOKUP(A45,'Price list'!A:A,'Price list'!E:E),0)</f>
        <v>16000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27">
        <f t="shared" si="1"/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/>
    </row>
    <row r="46" spans="1:16" x14ac:dyDescent="0.35">
      <c r="A46" t="s">
        <v>2168</v>
      </c>
      <c r="B46" s="3">
        <f>_xlfn.IFNA(_xlfn.XLOOKUP(A46,'Price list'!A:A,'Price list'!E:E),0)</f>
        <v>10000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1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6" x14ac:dyDescent="0.35">
      <c r="A47" t="s">
        <v>2169</v>
      </c>
      <c r="B47" s="3">
        <f>_xlfn.IFNA(_xlfn.XLOOKUP(A47,'Price list'!A:A,'Price list'!E:E),0)</f>
        <v>5000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1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6" x14ac:dyDescent="0.35">
      <c r="A48" t="s">
        <v>3894</v>
      </c>
      <c r="B48" s="3">
        <f>_xlfn.IFNA(_xlfn.XLOOKUP(A48,'Price list'!A:A,'Price list'!E:E),0)</f>
        <v>5000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s="32" customFormat="1" x14ac:dyDescent="0.35">
      <c r="A49" s="32" t="s">
        <v>2170</v>
      </c>
      <c r="B49" s="30">
        <f>_xlfn.IFNA(_xlfn.XLOOKUP(A49,'Price list'!A:A,'Price list'!E:E),0)</f>
        <v>45000</v>
      </c>
      <c r="C49" s="32" t="s">
        <v>9</v>
      </c>
      <c r="E49" s="30"/>
      <c r="F49" s="30"/>
      <c r="G49" s="30" t="s">
        <v>286</v>
      </c>
      <c r="H49" s="30" t="str">
        <f>IF(G49=0,"",_xlfn.XLOOKUP(G49,List_item!A:A,List_item!B:B))</f>
        <v>Boneless BL Frozen HJA</v>
      </c>
      <c r="I49" s="30">
        <v>766.5</v>
      </c>
      <c r="J49" s="33">
        <f t="shared" si="4"/>
        <v>6.0375248117458022E-2</v>
      </c>
      <c r="K49" s="30">
        <f>+B49*(F49+I49)</f>
        <v>34492500</v>
      </c>
      <c r="L49" s="35">
        <f t="shared" si="1"/>
        <v>44273.463378957007</v>
      </c>
      <c r="M49" s="30">
        <f t="shared" si="2"/>
        <v>33935609.679970548</v>
      </c>
      <c r="N49" s="30">
        <f t="shared" si="3"/>
        <v>726.53662104299292</v>
      </c>
      <c r="O49" s="30">
        <f t="shared" si="5"/>
        <v>556890.32002945244</v>
      </c>
      <c r="P49" s="30"/>
    </row>
    <row r="50" spans="1:16" x14ac:dyDescent="0.35">
      <c r="A50" t="s">
        <v>2171</v>
      </c>
      <c r="B50" s="3">
        <f>_xlfn.IFNA(_xlfn.XLOOKUP(A50,'Price list'!A:A,'Price list'!E:E),0)</f>
        <v>44000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3895</v>
      </c>
      <c r="B51" s="3">
        <f>_xlfn.IFNA(_xlfn.XLOOKUP(A51,'Price list'!A:A,'Price list'!E:E),0)</f>
        <v>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1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3896</v>
      </c>
      <c r="B52" s="3">
        <f>_xlfn.IFNA(_xlfn.XLOOKUP(A52,'Price list'!A:A,'Price list'!E:E),0)</f>
        <v>35000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s="196" customFormat="1" x14ac:dyDescent="0.35">
      <c r="A53" s="196" t="s">
        <v>3897</v>
      </c>
      <c r="B53" s="197">
        <f>_xlfn.IFNA(_xlfn.XLOOKUP(A53,'Price list'!A:A,'Price list'!E:E),0)</f>
        <v>35000</v>
      </c>
      <c r="C53" s="196" t="s">
        <v>9</v>
      </c>
      <c r="E53" s="197"/>
      <c r="F53" s="197"/>
      <c r="G53" s="197" t="s">
        <v>571</v>
      </c>
      <c r="H53" s="197" t="str">
        <f>IF(G53=0,"",_xlfn.XLOOKUP(G53,List_item!A:A,List_item!B:B))</f>
        <v>Karkas Uk 0.5 Karkas Uk 0.5 Frozen Grade A</v>
      </c>
      <c r="I53" s="197">
        <v>7.5</v>
      </c>
      <c r="J53" s="198">
        <f t="shared" si="4"/>
        <v>5.9075585242131137E-4</v>
      </c>
      <c r="K53" s="197">
        <f t="shared" si="0"/>
        <v>262500</v>
      </c>
      <c r="L53" s="199">
        <f t="shared" si="1"/>
        <v>34434.915961411003</v>
      </c>
      <c r="M53" s="197">
        <f t="shared" si="2"/>
        <v>258261.86971058251</v>
      </c>
      <c r="N53" s="197">
        <f t="shared" si="3"/>
        <v>565.08403858899692</v>
      </c>
      <c r="O53" s="197">
        <f t="shared" si="5"/>
        <v>4238.1302894174878</v>
      </c>
      <c r="P53" s="197"/>
    </row>
    <row r="54" spans="1:16" s="196" customFormat="1" x14ac:dyDescent="0.35">
      <c r="A54" s="196" t="s">
        <v>3898</v>
      </c>
      <c r="B54" s="197">
        <f>_xlfn.IFNA(_xlfn.XLOOKUP(A54,'Price list'!A:A,'Price list'!E:E),0)</f>
        <v>35000</v>
      </c>
      <c r="C54" s="196" t="s">
        <v>9</v>
      </c>
      <c r="E54" s="197"/>
      <c r="F54" s="197"/>
      <c r="G54" s="197" t="s">
        <v>636</v>
      </c>
      <c r="H54" s="197" t="str">
        <f>IF(G54=0,"",_xlfn.XLOOKUP(G54,List_item!A:A,List_item!B:B))</f>
        <v>Karkas Uk 0.6 Karkas Uk 0.6 Frozen Grade A</v>
      </c>
      <c r="I54" s="197">
        <v>13.5</v>
      </c>
      <c r="J54" s="198">
        <f t="shared" si="4"/>
        <v>1.0633605343583605E-3</v>
      </c>
      <c r="K54" s="197">
        <f t="shared" si="0"/>
        <v>472500</v>
      </c>
      <c r="L54" s="199">
        <f t="shared" si="1"/>
        <v>34434.915961411003</v>
      </c>
      <c r="M54" s="197">
        <f t="shared" si="2"/>
        <v>464871.36547904852</v>
      </c>
      <c r="N54" s="197">
        <f t="shared" si="3"/>
        <v>565.08403858899692</v>
      </c>
      <c r="O54" s="197">
        <f t="shared" si="5"/>
        <v>7628.6345209514839</v>
      </c>
      <c r="P54" s="197"/>
    </row>
    <row r="55" spans="1:16" s="196" customFormat="1" x14ac:dyDescent="0.35">
      <c r="A55" s="196" t="s">
        <v>3899</v>
      </c>
      <c r="B55" s="197">
        <f>_xlfn.IFNA(_xlfn.XLOOKUP(A55,'Price list'!A:A,'Price list'!E:E),0)</f>
        <v>35000</v>
      </c>
      <c r="C55" s="196" t="s">
        <v>9</v>
      </c>
      <c r="E55" s="197"/>
      <c r="F55" s="197"/>
      <c r="G55" s="197" t="s">
        <v>701</v>
      </c>
      <c r="H55" s="197" t="str">
        <f>IF(G55=0,"",_xlfn.XLOOKUP(G55,List_item!A:A,List_item!B:B))</f>
        <v>Karkas Uk 0.7 Karkas Uk 0.7 Frozen Grade A</v>
      </c>
      <c r="I55" s="197">
        <v>21</v>
      </c>
      <c r="J55" s="198">
        <f t="shared" si="4"/>
        <v>1.6541163867796718E-3</v>
      </c>
      <c r="K55" s="197">
        <f t="shared" si="0"/>
        <v>735000</v>
      </c>
      <c r="L55" s="199">
        <f t="shared" si="1"/>
        <v>34434.915961411003</v>
      </c>
      <c r="M55" s="197">
        <f t="shared" si="2"/>
        <v>723133.23518963112</v>
      </c>
      <c r="N55" s="197">
        <f t="shared" si="3"/>
        <v>565.08403858899692</v>
      </c>
      <c r="O55" s="197">
        <f t="shared" si="5"/>
        <v>11866.764810368884</v>
      </c>
      <c r="P55" s="197"/>
    </row>
    <row r="56" spans="1:16" s="196" customFormat="1" x14ac:dyDescent="0.35">
      <c r="A56" s="196" t="s">
        <v>3899</v>
      </c>
      <c r="B56" s="197">
        <f>_xlfn.IFNA(_xlfn.XLOOKUP(A56,'Price list'!A:A,'Price list'!E:E),0)</f>
        <v>35000</v>
      </c>
      <c r="C56" s="196" t="s">
        <v>9</v>
      </c>
      <c r="E56" s="197"/>
      <c r="F56" s="197"/>
      <c r="G56" s="197" t="s">
        <v>668</v>
      </c>
      <c r="H56" s="197" t="str">
        <f>IF(G56=0,"",_xlfn.XLOOKUP(G56,List_item!A:A,List_item!B:B))</f>
        <v>Karkas Uk 0.7 Karkas Uk 0.7 Fresh Grade A</v>
      </c>
      <c r="I56" s="197">
        <v>12.6</v>
      </c>
      <c r="J56" s="198">
        <f t="shared" ref="J56" si="11">IF(F56/J$5&gt;0,F56/J$5,I56/J$5)</f>
        <v>9.9246983206780306E-4</v>
      </c>
      <c r="K56" s="197">
        <f t="shared" ref="K56" si="12">+B56*(F56+I56)</f>
        <v>441000</v>
      </c>
      <c r="L56" s="199">
        <f t="shared" ref="L56" si="13">IFERROR(((K56/SUM($K$11:$K$83))*$F$10)/(F56+I56),0)</f>
        <v>34434.915961411003</v>
      </c>
      <c r="M56" s="197">
        <f t="shared" ref="M56" si="14">+L56*(F56+I56)</f>
        <v>433879.94111377862</v>
      </c>
      <c r="N56" s="197">
        <f t="shared" ref="N56" si="15">IF(L56=0,0,B56-L56)</f>
        <v>565.08403858899692</v>
      </c>
      <c r="O56" s="197">
        <f t="shared" ref="O56" si="16">+K56-M56</f>
        <v>7120.0588862213772</v>
      </c>
      <c r="P56" s="197"/>
    </row>
    <row r="57" spans="1:16" s="196" customFormat="1" x14ac:dyDescent="0.35">
      <c r="A57" s="196" t="s">
        <v>3900</v>
      </c>
      <c r="B57" s="197">
        <f>_xlfn.IFNA(_xlfn.XLOOKUP(A57,'Price list'!A:A,'Price list'!E:E),0)</f>
        <v>35000</v>
      </c>
      <c r="C57" s="196" t="s">
        <v>9</v>
      </c>
      <c r="E57" s="197"/>
      <c r="F57" s="197"/>
      <c r="G57" s="197" t="s">
        <v>766</v>
      </c>
      <c r="H57" s="197" t="str">
        <f>IF(G57=0,"",_xlfn.XLOOKUP(G57,List_item!A:A,List_item!B:B))</f>
        <v>Karkas Uk 0.8 Karkas Uk 0.8 Frozen Grade A</v>
      </c>
      <c r="I57" s="197">
        <v>29.1</v>
      </c>
      <c r="J57" s="198">
        <f t="shared" si="4"/>
        <v>2.2921327073946885E-3</v>
      </c>
      <c r="K57" s="197">
        <f t="shared" si="0"/>
        <v>1018500</v>
      </c>
      <c r="L57" s="199">
        <f t="shared" si="1"/>
        <v>34434.915961411003</v>
      </c>
      <c r="M57" s="197">
        <f t="shared" si="2"/>
        <v>1002056.0544770602</v>
      </c>
      <c r="N57" s="197">
        <f t="shared" si="3"/>
        <v>565.08403858899692</v>
      </c>
      <c r="O57" s="197">
        <f t="shared" si="5"/>
        <v>16443.945522939786</v>
      </c>
      <c r="P57" s="197"/>
    </row>
    <row r="58" spans="1:16" s="196" customFormat="1" x14ac:dyDescent="0.35">
      <c r="A58" s="196" t="s">
        <v>3901</v>
      </c>
      <c r="B58" s="197">
        <f>_xlfn.IFNA(_xlfn.XLOOKUP(A58,'Price list'!A:A,'Price list'!E:E),0)</f>
        <v>35000</v>
      </c>
      <c r="C58" s="196" t="s">
        <v>9</v>
      </c>
      <c r="E58" s="197"/>
      <c r="F58" s="197"/>
      <c r="G58" s="197" t="s">
        <v>831</v>
      </c>
      <c r="H58" s="197" t="str">
        <f>IF(G58=0,"",_xlfn.XLOOKUP(G58,List_item!A:A,List_item!B:B))</f>
        <v>Karkas Uk 0.9 Karkas Uk 0.9 Frozen Grade A</v>
      </c>
      <c r="I58" s="197">
        <v>55.9</v>
      </c>
      <c r="J58" s="198">
        <f t="shared" si="4"/>
        <v>4.4031002867135072E-3</v>
      </c>
      <c r="K58" s="197">
        <f t="shared" si="0"/>
        <v>1956500</v>
      </c>
      <c r="L58" s="199">
        <f t="shared" si="1"/>
        <v>34434.915961411003</v>
      </c>
      <c r="M58" s="197">
        <f t="shared" si="2"/>
        <v>1924911.8022428751</v>
      </c>
      <c r="N58" s="197">
        <f t="shared" si="3"/>
        <v>565.08403858899692</v>
      </c>
      <c r="O58" s="197">
        <f t="shared" si="5"/>
        <v>31588.197757124901</v>
      </c>
      <c r="P58" s="197"/>
    </row>
    <row r="59" spans="1:16" s="196" customFormat="1" x14ac:dyDescent="0.35">
      <c r="A59" s="196" t="s">
        <v>3902</v>
      </c>
      <c r="B59" s="197">
        <f>_xlfn.IFNA(_xlfn.XLOOKUP(A59,'Price list'!A:A,'Price list'!E:E),0)</f>
        <v>35000</v>
      </c>
      <c r="C59" s="196" t="s">
        <v>9</v>
      </c>
      <c r="E59" s="197"/>
      <c r="F59" s="197"/>
      <c r="G59" s="197" t="s">
        <v>863</v>
      </c>
      <c r="H59" s="197" t="str">
        <f>IF(G59=0,"",_xlfn.XLOOKUP(G59,List_item!A:A,List_item!B:B))</f>
        <v>Karkas Uk 1.0 Karkas Uk 1.0 Fresh Grade A</v>
      </c>
      <c r="I59" s="197">
        <v>2</v>
      </c>
      <c r="J59" s="198">
        <f t="shared" ref="J59" si="17">IF(F59/J$5&gt;0,F59/J$5,I59/J$5)</f>
        <v>1.5753489397901638E-4</v>
      </c>
      <c r="K59" s="197">
        <f t="shared" ref="K59" si="18">+B59*(F59+I59)</f>
        <v>70000</v>
      </c>
      <c r="L59" s="199">
        <f t="shared" ref="L59" si="19">IFERROR(((K59/SUM($K$11:$K$83))*$F$10)/(F59+I59),0)</f>
        <v>34434.915961411003</v>
      </c>
      <c r="M59" s="197">
        <f t="shared" ref="M59" si="20">+L59*(F59+I59)</f>
        <v>68869.831922822006</v>
      </c>
      <c r="N59" s="197">
        <f t="shared" ref="N59" si="21">IF(L59=0,0,B59-L59)</f>
        <v>565.08403858899692</v>
      </c>
      <c r="O59" s="197">
        <f t="shared" ref="O59" si="22">+K59-M59</f>
        <v>1130.1680771779938</v>
      </c>
      <c r="P59" s="197"/>
    </row>
    <row r="60" spans="1:16" s="196" customFormat="1" x14ac:dyDescent="0.35">
      <c r="A60" s="196" t="s">
        <v>3902</v>
      </c>
      <c r="B60" s="197">
        <f>_xlfn.IFNA(_xlfn.XLOOKUP(A60,'Price list'!A:A,'Price list'!E:E),0)</f>
        <v>35000</v>
      </c>
      <c r="C60" s="196" t="s">
        <v>9</v>
      </c>
      <c r="E60" s="197"/>
      <c r="F60" s="197"/>
      <c r="G60" s="197" t="s">
        <v>896</v>
      </c>
      <c r="H60" s="197" t="str">
        <f>IF(G60=0,"",_xlfn.XLOOKUP(G60,List_item!A:A,List_item!B:B))</f>
        <v>Karkas Uk 1.0 Karkas Uk 1.0 Frozen Grade A</v>
      </c>
      <c r="I60" s="197">
        <v>57.8</v>
      </c>
      <c r="J60" s="198">
        <f t="shared" si="4"/>
        <v>4.5527584359935725E-3</v>
      </c>
      <c r="K60" s="197">
        <f t="shared" si="0"/>
        <v>2023000</v>
      </c>
      <c r="L60" s="199">
        <f t="shared" si="1"/>
        <v>34434.915961411003</v>
      </c>
      <c r="M60" s="197">
        <f t="shared" si="2"/>
        <v>1990338.1425695559</v>
      </c>
      <c r="N60" s="197">
        <f t="shared" si="3"/>
        <v>565.08403858899692</v>
      </c>
      <c r="O60" s="197">
        <f t="shared" si="5"/>
        <v>32661.857430444099</v>
      </c>
      <c r="P60" s="197"/>
    </row>
    <row r="61" spans="1:16" s="196" customFormat="1" x14ac:dyDescent="0.35">
      <c r="A61" s="196" t="s">
        <v>3903</v>
      </c>
      <c r="B61" s="197">
        <f>_xlfn.IFNA(_xlfn.XLOOKUP(A61,'Price list'!A:A,'Price list'!E:E),0)</f>
        <v>35000</v>
      </c>
      <c r="C61" s="196" t="s">
        <v>9</v>
      </c>
      <c r="E61" s="197"/>
      <c r="F61" s="197"/>
      <c r="G61" s="197" t="s">
        <v>962</v>
      </c>
      <c r="H61" s="197" t="str">
        <f>IF(G61=0,"",_xlfn.XLOOKUP(G61,List_item!A:A,List_item!B:B))</f>
        <v>Karkas Uk 1.1 Karkas Uk 1.1 Frozen Grade A</v>
      </c>
      <c r="I61" s="197">
        <v>98.4</v>
      </c>
      <c r="J61" s="198">
        <f t="shared" si="4"/>
        <v>7.7507167837676059E-3</v>
      </c>
      <c r="K61" s="197">
        <f t="shared" si="0"/>
        <v>3444000</v>
      </c>
      <c r="L61" s="199">
        <f t="shared" si="1"/>
        <v>34434.915961411003</v>
      </c>
      <c r="M61" s="197">
        <f t="shared" si="2"/>
        <v>3388395.7306028428</v>
      </c>
      <c r="N61" s="197">
        <f t="shared" si="3"/>
        <v>565.08403858899692</v>
      </c>
      <c r="O61" s="197">
        <f t="shared" si="5"/>
        <v>55604.269397157244</v>
      </c>
      <c r="P61" s="197"/>
    </row>
    <row r="62" spans="1:16" s="196" customFormat="1" x14ac:dyDescent="0.35">
      <c r="A62" s="196" t="s">
        <v>3904</v>
      </c>
      <c r="B62" s="197">
        <f>_xlfn.IFNA(_xlfn.XLOOKUP(A62,'Price list'!A:A,'Price list'!E:E),0)</f>
        <v>35000</v>
      </c>
      <c r="C62" s="196" t="s">
        <v>9</v>
      </c>
      <c r="E62" s="197"/>
      <c r="F62" s="197"/>
      <c r="G62" s="197" t="s">
        <v>1028</v>
      </c>
      <c r="H62" s="197" t="str">
        <f>IF(G62=0,"",_xlfn.XLOOKUP(G62,List_item!A:A,List_item!B:B))</f>
        <v>Karkas Uk 1.2 Karkas Uk 1.2 Frozen Grade A</v>
      </c>
      <c r="I62" s="197">
        <v>155.69999999999999</v>
      </c>
      <c r="J62" s="198">
        <f t="shared" si="4"/>
        <v>1.2264091496266423E-2</v>
      </c>
      <c r="K62" s="197">
        <f t="shared" si="0"/>
        <v>5449500</v>
      </c>
      <c r="L62" s="199">
        <f t="shared" si="1"/>
        <v>34434.915961411003</v>
      </c>
      <c r="M62" s="197">
        <f t="shared" si="2"/>
        <v>5361516.4151916932</v>
      </c>
      <c r="N62" s="197">
        <f t="shared" si="3"/>
        <v>565.08403858899692</v>
      </c>
      <c r="O62" s="197">
        <f t="shared" si="5"/>
        <v>87983.584808306769</v>
      </c>
      <c r="P62" s="197"/>
    </row>
    <row r="63" spans="1:16" s="196" customFormat="1" x14ac:dyDescent="0.35">
      <c r="A63" s="196" t="s">
        <v>3905</v>
      </c>
      <c r="B63" s="197">
        <f>_xlfn.IFNA(_xlfn.XLOOKUP(A63,'Price list'!A:A,'Price list'!E:E),0)</f>
        <v>35000</v>
      </c>
      <c r="C63" s="196" t="s">
        <v>9</v>
      </c>
      <c r="E63" s="197"/>
      <c r="F63" s="197"/>
      <c r="G63" s="197" t="s">
        <v>1062</v>
      </c>
      <c r="H63" s="197" t="str">
        <f>IF(G63=0,"",_xlfn.XLOOKUP(G63,List_item!A:A,List_item!B:B))</f>
        <v>Karkas Uk 1.3 Karkas Uk 1.3 Fresh Grade A</v>
      </c>
      <c r="I63" s="197">
        <v>20</v>
      </c>
      <c r="J63" s="198">
        <f t="shared" si="4"/>
        <v>1.5753489397901637E-3</v>
      </c>
      <c r="K63" s="197">
        <f t="shared" si="0"/>
        <v>700000</v>
      </c>
      <c r="L63" s="199">
        <f t="shared" si="1"/>
        <v>34434.91596141101</v>
      </c>
      <c r="M63" s="197">
        <f t="shared" si="2"/>
        <v>688698.31922822027</v>
      </c>
      <c r="N63" s="197">
        <f t="shared" si="3"/>
        <v>565.08403858898964</v>
      </c>
      <c r="O63" s="197">
        <f t="shared" si="5"/>
        <v>11301.680771779735</v>
      </c>
      <c r="P63" s="197"/>
    </row>
    <row r="64" spans="1:16" s="196" customFormat="1" x14ac:dyDescent="0.35">
      <c r="A64" s="196" t="s">
        <v>3905</v>
      </c>
      <c r="B64" s="197">
        <f>_xlfn.IFNA(_xlfn.XLOOKUP(A64,'Price list'!A:A,'Price list'!E:E),0)</f>
        <v>35000</v>
      </c>
      <c r="C64" s="196" t="s">
        <v>9</v>
      </c>
      <c r="E64" s="197"/>
      <c r="F64" s="197"/>
      <c r="G64" s="197" t="s">
        <v>1094</v>
      </c>
      <c r="H64" s="197" t="str">
        <f>IF(G64=0,"",_xlfn.XLOOKUP(G64,List_item!A:A,List_item!B:B))</f>
        <v>Karkas Uk 1.3 Karkas Uk 1.3 Frozen Grade A</v>
      </c>
      <c r="I64" s="197">
        <v>110.9</v>
      </c>
      <c r="J64" s="198">
        <f t="shared" ref="J64" si="23">IF(F64/J$5&gt;0,F64/J$5,I64/J$5)</f>
        <v>8.7353098711364582E-3</v>
      </c>
      <c r="K64" s="197">
        <f t="shared" ref="K64" si="24">+B64*(F64+I64)</f>
        <v>3881500</v>
      </c>
      <c r="L64" s="199">
        <f t="shared" ref="L64" si="25">IFERROR(((K64/SUM($K$11:$K$83))*$F$10)/(F64+I64),0)</f>
        <v>34434.915961411003</v>
      </c>
      <c r="M64" s="197">
        <f t="shared" ref="M64" si="26">+L64*(F64+I64)</f>
        <v>3818832.1801204802</v>
      </c>
      <c r="N64" s="197">
        <f t="shared" ref="N64" si="27">IF(L64=0,0,B64-L64)</f>
        <v>565.08403858899692</v>
      </c>
      <c r="O64" s="197">
        <f t="shared" ref="O64" si="28">+K64-M64</f>
        <v>62667.819879519753</v>
      </c>
      <c r="P64" s="197"/>
    </row>
    <row r="65" spans="1:16" s="196" customFormat="1" x14ac:dyDescent="0.35">
      <c r="A65" s="196" t="s">
        <v>3906</v>
      </c>
      <c r="B65" s="197">
        <f>_xlfn.IFNA(_xlfn.XLOOKUP(A65,'Price list'!A:A,'Price list'!E:E),0)</f>
        <v>35000</v>
      </c>
      <c r="C65" s="196" t="s">
        <v>9</v>
      </c>
      <c r="E65" s="197"/>
      <c r="F65" s="197"/>
      <c r="G65" s="197" t="s">
        <v>1160</v>
      </c>
      <c r="H65" s="197" t="str">
        <f>IF(G65=0,"",_xlfn.XLOOKUP(G65,List_item!A:A,List_item!B:B))</f>
        <v>Karkas Uk 1.4 Karkas Uk 1.4 Frozen Grade A</v>
      </c>
      <c r="I65" s="197">
        <v>89.5</v>
      </c>
      <c r="J65" s="198">
        <f t="shared" si="4"/>
        <v>7.0496865055609823E-3</v>
      </c>
      <c r="K65" s="197">
        <f t="shared" si="0"/>
        <v>3132500</v>
      </c>
      <c r="L65" s="199">
        <f t="shared" si="1"/>
        <v>34434.915961411003</v>
      </c>
      <c r="M65" s="197">
        <f t="shared" si="2"/>
        <v>3081924.9785462846</v>
      </c>
      <c r="N65" s="197">
        <f t="shared" si="3"/>
        <v>565.08403858899692</v>
      </c>
      <c r="O65" s="197">
        <f t="shared" si="5"/>
        <v>50575.021453715395</v>
      </c>
      <c r="P65" s="197"/>
    </row>
    <row r="66" spans="1:16" s="196" customFormat="1" x14ac:dyDescent="0.35">
      <c r="A66" s="196" t="s">
        <v>3907</v>
      </c>
      <c r="B66" s="197">
        <f>_xlfn.IFNA(_xlfn.XLOOKUP(A66,'Price list'!A:A,'Price list'!E:E),0)</f>
        <v>35000</v>
      </c>
      <c r="C66" s="196" t="s">
        <v>9</v>
      </c>
      <c r="E66" s="197"/>
      <c r="F66" s="197"/>
      <c r="G66" s="197" t="s">
        <v>1225</v>
      </c>
      <c r="H66" s="197" t="str">
        <f>IF(G66=0,"",_xlfn.XLOOKUP(G66,List_item!A:A,List_item!B:B))</f>
        <v>Karkas Uk 1.5 Karkas Uk 1.5 Frozen Grade A</v>
      </c>
      <c r="I66" s="197">
        <v>37.5</v>
      </c>
      <c r="J66" s="198">
        <f t="shared" si="4"/>
        <v>2.9537792621065571E-3</v>
      </c>
      <c r="K66" s="197">
        <f t="shared" si="0"/>
        <v>1312500</v>
      </c>
      <c r="L66" s="199">
        <f t="shared" si="1"/>
        <v>34434.915961411003</v>
      </c>
      <c r="M66" s="197">
        <f t="shared" si="2"/>
        <v>1291309.3485529127</v>
      </c>
      <c r="N66" s="197">
        <f t="shared" si="3"/>
        <v>565.08403858899692</v>
      </c>
      <c r="O66" s="197">
        <f t="shared" si="5"/>
        <v>21190.651447087293</v>
      </c>
      <c r="P66" s="197"/>
    </row>
    <row r="67" spans="1:16" s="196" customFormat="1" x14ac:dyDescent="0.35">
      <c r="A67" s="196" t="s">
        <v>3908</v>
      </c>
      <c r="B67" s="197">
        <f>_xlfn.IFNA(_xlfn.XLOOKUP(A67,'Price list'!A:A,'Price list'!E:E),0)</f>
        <v>35000</v>
      </c>
      <c r="C67" s="196" t="s">
        <v>9</v>
      </c>
      <c r="E67" s="197"/>
      <c r="F67" s="197"/>
      <c r="G67" s="197" t="s">
        <v>1291</v>
      </c>
      <c r="H67" s="197" t="str">
        <f>IF(G67=0,"",_xlfn.XLOOKUP(G67,List_item!A:A,List_item!B:B))</f>
        <v>Karkas Uk 1.6 Karkas Uk 1.6 Frozen Grade A</v>
      </c>
      <c r="I67" s="197">
        <v>24.6</v>
      </c>
      <c r="J67" s="198">
        <f t="shared" si="4"/>
        <v>1.9376791959419015E-3</v>
      </c>
      <c r="K67" s="197">
        <f t="shared" si="0"/>
        <v>861000</v>
      </c>
      <c r="L67" s="199">
        <f t="shared" si="1"/>
        <v>34434.915961411003</v>
      </c>
      <c r="M67" s="197">
        <f t="shared" si="2"/>
        <v>847098.93265071069</v>
      </c>
      <c r="N67" s="197">
        <f t="shared" si="3"/>
        <v>565.08403858899692</v>
      </c>
      <c r="O67" s="197">
        <f t="shared" si="5"/>
        <v>13901.067349289311</v>
      </c>
      <c r="P67" s="197"/>
    </row>
    <row r="68" spans="1:16" s="196" customFormat="1" x14ac:dyDescent="0.35">
      <c r="A68" s="196" t="s">
        <v>3909</v>
      </c>
      <c r="B68" s="197">
        <f>_xlfn.IFNA(_xlfn.XLOOKUP(A68,'Price list'!A:A,'Price list'!E:E),0)</f>
        <v>35000</v>
      </c>
      <c r="C68" s="196" t="s">
        <v>9</v>
      </c>
      <c r="E68" s="197"/>
      <c r="F68" s="197"/>
      <c r="G68" s="197" t="s">
        <v>1357</v>
      </c>
      <c r="H68" s="197" t="str">
        <f>IF(G68=0,"",_xlfn.XLOOKUP(G68,List_item!A:A,List_item!B:B))</f>
        <v>Karkas Uk 1.7 Karkas Uk 1.7 Frozen Grade A</v>
      </c>
      <c r="I68" s="197">
        <v>10.8</v>
      </c>
      <c r="J68" s="198">
        <f t="shared" si="4"/>
        <v>8.5068842748668846E-4</v>
      </c>
      <c r="K68" s="197">
        <f t="shared" si="0"/>
        <v>378000</v>
      </c>
      <c r="L68" s="199">
        <f t="shared" si="1"/>
        <v>34434.915961411003</v>
      </c>
      <c r="M68" s="197">
        <f t="shared" si="2"/>
        <v>371897.09238323884</v>
      </c>
      <c r="N68" s="197">
        <f t="shared" si="3"/>
        <v>565.08403858899692</v>
      </c>
      <c r="O68" s="197">
        <f t="shared" si="5"/>
        <v>6102.9076167611638</v>
      </c>
      <c r="P68" s="197"/>
    </row>
    <row r="69" spans="1:16" x14ac:dyDescent="0.35">
      <c r="A69" t="s">
        <v>3945</v>
      </c>
      <c r="B69" s="3">
        <f>_xlfn.IFNA(_xlfn.XLOOKUP(A69,'Price list'!A:A,'Price list'!E:E),0)</f>
        <v>35000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6" x14ac:dyDescent="0.35">
      <c r="A70" t="s">
        <v>3911</v>
      </c>
      <c r="B70" s="3">
        <f>_xlfn.IFNA(_xlfn.XLOOKUP(A70,'Price list'!A:A,'Price list'!E:E),0)</f>
        <v>35000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6" x14ac:dyDescent="0.35">
      <c r="A71" t="s">
        <v>3912</v>
      </c>
      <c r="B71" s="3">
        <f>_xlfn.IFNA(_xlfn.XLOOKUP(A71,'Price list'!A:A,'Price list'!E:E),0)</f>
        <v>35000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1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6" x14ac:dyDescent="0.35">
      <c r="A72" t="s">
        <v>3913</v>
      </c>
      <c r="B72" s="3">
        <f>_xlfn.IFNA(_xlfn.XLOOKUP(A72,'Price list'!A:A,'Price list'!E:E),0)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1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6" x14ac:dyDescent="0.35">
      <c r="A73" t="s">
        <v>3914</v>
      </c>
      <c r="B73" s="3">
        <f>_xlfn.IFNA(_xlfn.XLOOKUP(A73,'Price list'!A:A,'Price list'!E:E),0)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6" x14ac:dyDescent="0.35">
      <c r="A74" t="s">
        <v>3915</v>
      </c>
      <c r="B74" s="3">
        <f>_xlfn.IFNA(_xlfn.XLOOKUP(A74,'Price list'!A:A,'Price list'!E:E),0)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6" x14ac:dyDescent="0.35">
      <c r="A75" t="s">
        <v>3916</v>
      </c>
      <c r="B75" s="3">
        <f>_xlfn.IFNA(_xlfn.XLOOKUP(A75,'Price list'!A:A,'Price list'!E:E),0)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si="1"/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6" x14ac:dyDescent="0.35">
      <c r="A76" t="s">
        <v>3917</v>
      </c>
      <c r="B76" s="3">
        <f>_xlfn.IFNA(_xlfn.XLOOKUP(A76,'Price list'!A:A,'Price list'!E:E),0)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si="0"/>
        <v>0</v>
      </c>
      <c r="L76" s="27">
        <f t="shared" si="1"/>
        <v>0</v>
      </c>
      <c r="M76" s="3">
        <f t="shared" si="2"/>
        <v>0</v>
      </c>
      <c r="N76" s="3">
        <f t="shared" si="3"/>
        <v>0</v>
      </c>
      <c r="O76" s="3">
        <f t="shared" si="5"/>
        <v>0</v>
      </c>
      <c r="P76" s="3"/>
    </row>
    <row r="77" spans="1:16" x14ac:dyDescent="0.35">
      <c r="A77" t="s">
        <v>3918</v>
      </c>
      <c r="B77" s="3">
        <f>_xlfn.IFNA(_xlfn.XLOOKUP(A77,'Price list'!A:A,'Price list'!E:E),0)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4"/>
        <v>0</v>
      </c>
      <c r="K77" s="3">
        <f t="shared" si="0"/>
        <v>0</v>
      </c>
      <c r="L77" s="27">
        <f t="shared" si="1"/>
        <v>0</v>
      </c>
      <c r="M77" s="3">
        <f t="shared" si="2"/>
        <v>0</v>
      </c>
      <c r="N77" s="3">
        <f t="shared" si="3"/>
        <v>0</v>
      </c>
      <c r="O77" s="3">
        <f t="shared" si="5"/>
        <v>0</v>
      </c>
      <c r="P77" s="3"/>
    </row>
    <row r="78" spans="1:16" x14ac:dyDescent="0.35">
      <c r="A78" t="s">
        <v>3919</v>
      </c>
      <c r="B78" s="3">
        <f>_xlfn.IFNA(_xlfn.XLOOKUP(A78,'Price list'!A:A,'Price list'!E:E),0)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4"/>
        <v>0</v>
      </c>
      <c r="K78" s="3">
        <f t="shared" si="0"/>
        <v>0</v>
      </c>
      <c r="L78" s="27">
        <f t="shared" si="1"/>
        <v>0</v>
      </c>
      <c r="M78" s="3">
        <f t="shared" si="2"/>
        <v>0</v>
      </c>
      <c r="N78" s="3">
        <f t="shared" si="3"/>
        <v>0</v>
      </c>
      <c r="O78" s="3">
        <f t="shared" si="5"/>
        <v>0</v>
      </c>
      <c r="P78" s="3"/>
    </row>
    <row r="79" spans="1:16" x14ac:dyDescent="0.35">
      <c r="A79" t="s">
        <v>3920</v>
      </c>
      <c r="B79" s="3">
        <f>_xlfn.IFNA(_xlfn.XLOOKUP(A79,'Price list'!A:A,'Price list'!E:E),0)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4"/>
        <v>0</v>
      </c>
      <c r="K79" s="3">
        <f t="shared" ref="K79:K83" si="29">+B79*(F79+I79)</f>
        <v>0</v>
      </c>
      <c r="L79" s="27">
        <f t="shared" ref="L79:L83" si="30">IFERROR(((K79/SUM($K$11:$K$83))*$F$10)/(F79+I79),0)</f>
        <v>0</v>
      </c>
      <c r="M79" s="3">
        <f t="shared" ref="M79:M83" si="31">+L79*(F79+I79)</f>
        <v>0</v>
      </c>
      <c r="N79" s="3">
        <f t="shared" ref="N79:N83" si="32">IF(L79=0,0,B79-L79)</f>
        <v>0</v>
      </c>
      <c r="O79" s="3">
        <f t="shared" si="5"/>
        <v>0</v>
      </c>
      <c r="P79" s="3"/>
    </row>
    <row r="80" spans="1:16" x14ac:dyDescent="0.35">
      <c r="A80" t="s">
        <v>3921</v>
      </c>
      <c r="B80" s="3">
        <f>_xlfn.IFNA(_xlfn.XLOOKUP(A80,'Price list'!A:A,'Price list'!E:E),0)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ref="J80:J83" si="33">IF(F80/J$5&gt;0,F80/J$5,I80/J$5)</f>
        <v>0</v>
      </c>
      <c r="K80" s="3">
        <f t="shared" si="29"/>
        <v>0</v>
      </c>
      <c r="L80" s="27">
        <f t="shared" si="30"/>
        <v>0</v>
      </c>
      <c r="M80" s="3">
        <f t="shared" si="31"/>
        <v>0</v>
      </c>
      <c r="N80" s="3">
        <f t="shared" si="32"/>
        <v>0</v>
      </c>
      <c r="O80" s="3">
        <f t="shared" ref="O80:O83" si="34">+K80-M80</f>
        <v>0</v>
      </c>
      <c r="P80" s="3"/>
    </row>
    <row r="81" spans="1:18" x14ac:dyDescent="0.35">
      <c r="A81" t="s">
        <v>3922</v>
      </c>
      <c r="B81" s="3">
        <f>_xlfn.IFNA(_xlfn.XLOOKUP(A81,'Price list'!A:A,'Price list'!E:E),0)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33"/>
        <v>0</v>
      </c>
      <c r="K81" s="3">
        <f t="shared" si="29"/>
        <v>0</v>
      </c>
      <c r="L81" s="27">
        <f t="shared" si="30"/>
        <v>0</v>
      </c>
      <c r="M81" s="3">
        <f t="shared" si="31"/>
        <v>0</v>
      </c>
      <c r="N81" s="3">
        <f t="shared" si="32"/>
        <v>0</v>
      </c>
      <c r="O81" s="3">
        <f t="shared" si="34"/>
        <v>0</v>
      </c>
      <c r="P81" s="3"/>
    </row>
    <row r="82" spans="1:18" x14ac:dyDescent="0.35">
      <c r="A82" t="s">
        <v>3923</v>
      </c>
      <c r="B82" s="3">
        <f>_xlfn.IFNA(_xlfn.XLOOKUP(A82,'Price list'!A:A,'Price list'!E:E),0)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3">
        <v>0</v>
      </c>
      <c r="J82" s="26">
        <f t="shared" si="33"/>
        <v>0</v>
      </c>
      <c r="K82" s="3">
        <f t="shared" si="29"/>
        <v>0</v>
      </c>
      <c r="L82" s="27">
        <f t="shared" si="30"/>
        <v>0</v>
      </c>
      <c r="M82" s="3">
        <f t="shared" si="31"/>
        <v>0</v>
      </c>
      <c r="N82" s="3">
        <f t="shared" si="32"/>
        <v>0</v>
      </c>
      <c r="O82" s="3">
        <f t="shared" si="34"/>
        <v>0</v>
      </c>
      <c r="P82" s="3"/>
    </row>
    <row r="83" spans="1:18" x14ac:dyDescent="0.35">
      <c r="A83" t="s">
        <v>3924</v>
      </c>
      <c r="B83" s="3">
        <f>_xlfn.IFNA(_xlfn.XLOOKUP(A83,'Price list'!A:A,'Price list'!E:E),0)</f>
        <v>0</v>
      </c>
      <c r="C83" t="s">
        <v>9</v>
      </c>
      <c r="E83" s="3"/>
      <c r="F83" s="3"/>
      <c r="G83" s="3"/>
      <c r="H83" s="3" t="str">
        <f>IF(G83=0,"",_xlfn.XLOOKUP(G83,List_item!A:A,List_item!B:B))</f>
        <v/>
      </c>
      <c r="I83" s="3">
        <v>0</v>
      </c>
      <c r="J83" s="26">
        <f t="shared" si="33"/>
        <v>0</v>
      </c>
      <c r="K83" s="3">
        <f t="shared" si="29"/>
        <v>0</v>
      </c>
      <c r="L83" s="27">
        <f t="shared" si="30"/>
        <v>0</v>
      </c>
      <c r="M83" s="3">
        <f t="shared" si="31"/>
        <v>0</v>
      </c>
      <c r="N83" s="3">
        <f t="shared" si="32"/>
        <v>0</v>
      </c>
      <c r="O83" s="3">
        <f t="shared" si="34"/>
        <v>0</v>
      </c>
      <c r="P83" s="3"/>
    </row>
    <row r="86" spans="1:18" s="2" customFormat="1" x14ac:dyDescent="0.35">
      <c r="A86" t="s">
        <v>3929</v>
      </c>
      <c r="B86"/>
      <c r="C86"/>
      <c r="D86"/>
      <c r="E86"/>
      <c r="F86" s="117"/>
      <c r="G86" t="s">
        <v>3930</v>
      </c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/>
      <c r="B89"/>
      <c r="C89"/>
      <c r="D89"/>
      <c r="E89"/>
      <c r="F89" s="117"/>
      <c r="G89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  <row r="91" spans="1:18" s="2" customFormat="1" x14ac:dyDescent="0.35">
      <c r="A91"/>
      <c r="B91"/>
      <c r="C91"/>
      <c r="D91"/>
      <c r="E91"/>
      <c r="F91" s="117"/>
      <c r="G91"/>
      <c r="Q91"/>
      <c r="R91"/>
    </row>
    <row r="92" spans="1:18" s="2" customFormat="1" x14ac:dyDescent="0.35">
      <c r="A92" s="118"/>
      <c r="B92"/>
      <c r="C92"/>
      <c r="D92"/>
      <c r="E92"/>
      <c r="F92" s="117"/>
      <c r="G92" s="118"/>
      <c r="Q92"/>
      <c r="R92"/>
    </row>
    <row r="93" spans="1:18" s="2" customFormat="1" x14ac:dyDescent="0.35">
      <c r="A93"/>
      <c r="B93"/>
      <c r="C93"/>
      <c r="D93"/>
      <c r="E93"/>
      <c r="F93" s="117"/>
      <c r="G93"/>
      <c r="Q93"/>
      <c r="R93"/>
    </row>
  </sheetData>
  <autoFilter ref="A9:R93" xr:uid="{D2D1ACE9-1B2A-4B84-BFB8-C5202E34D164}"/>
  <conditionalFormatting sqref="O10">
    <cfRule type="cellIs" dxfId="7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rowBreaks count="1" manualBreakCount="1">
    <brk id="68" max="1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8320-10C5-4EB8-B564-E51815149AFE}">
  <sheetPr>
    <tabColor theme="3"/>
    <pageSetUpPr fitToPage="1"/>
  </sheetPr>
  <dimension ref="A1:R92"/>
  <sheetViews>
    <sheetView view="pageBreakPreview" zoomScale="60" zoomScaleNormal="80" workbookViewId="0">
      <pane xSplit="3" ySplit="9" topLeftCell="D21" activePane="bottomRight" state="frozen"/>
      <selection activeCell="A751" sqref="A751"/>
      <selection pane="topRight" activeCell="A751" sqref="A751"/>
      <selection pane="bottomLeft" activeCell="A751" sqref="A751"/>
      <selection pane="bottomRight" activeCell="L54" sqref="L54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2.269531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s="18" t="s">
        <v>3865</v>
      </c>
      <c r="C2" s="19">
        <f>266454540*0.25%</f>
        <v>666136.35</v>
      </c>
      <c r="E2" s="159">
        <v>46274</v>
      </c>
      <c r="F2" s="159">
        <v>46273</v>
      </c>
      <c r="G2" s="19" t="s">
        <v>3943</v>
      </c>
    </row>
    <row r="3" spans="1:18" x14ac:dyDescent="0.35">
      <c r="A3" s="101" t="s">
        <v>3866</v>
      </c>
      <c r="B3" s="2">
        <f>266454540+178157500</f>
        <v>444612040</v>
      </c>
      <c r="C3" s="19">
        <f>178157500*0.25%</f>
        <v>445393.75</v>
      </c>
      <c r="E3" s="157" t="s">
        <v>4106</v>
      </c>
      <c r="F3" s="157" t="s">
        <v>4105</v>
      </c>
      <c r="G3" s="156" t="s">
        <v>4035</v>
      </c>
      <c r="H3" s="157" t="s">
        <v>4038</v>
      </c>
      <c r="I3" s="101" t="s">
        <v>3870</v>
      </c>
      <c r="J3" s="2" t="s">
        <v>3950</v>
      </c>
      <c r="Q3" s="25"/>
      <c r="R3" s="2"/>
    </row>
    <row r="4" spans="1:18" x14ac:dyDescent="0.35">
      <c r="A4" s="101" t="s">
        <v>3867</v>
      </c>
      <c r="B4" s="2">
        <v>18000000</v>
      </c>
      <c r="E4" s="157" t="s">
        <v>4107</v>
      </c>
      <c r="F4" s="157" t="s">
        <v>4108</v>
      </c>
      <c r="G4" s="157"/>
      <c r="H4" s="157" t="s">
        <v>4037</v>
      </c>
      <c r="I4" s="101" t="s">
        <v>3872</v>
      </c>
      <c r="J4" s="115">
        <v>46274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f>23698283+324324</f>
        <v>24022607</v>
      </c>
      <c r="C5" s="2">
        <v>26305120</v>
      </c>
      <c r="F5" s="157"/>
      <c r="G5" s="157" t="s">
        <v>4103</v>
      </c>
      <c r="H5" s="157" t="s">
        <v>4036</v>
      </c>
      <c r="I5" s="101" t="s">
        <v>3944</v>
      </c>
      <c r="J5" s="19">
        <f>3363+3492+3676.8+3831.3+3295</f>
        <v>17658.099999999999</v>
      </c>
      <c r="K5" s="2">
        <v>16440.7</v>
      </c>
      <c r="L5" s="2">
        <f>K5-J5</f>
        <v>-1217.3999999999978</v>
      </c>
      <c r="M5" s="158">
        <f>L5/J5</f>
        <v>-6.894286474762279E-2</v>
      </c>
    </row>
    <row r="6" spans="1:18" x14ac:dyDescent="0.35">
      <c r="A6" s="102" t="s">
        <v>3869</v>
      </c>
      <c r="B6" s="19">
        <f>SUM(B3:B5)</f>
        <v>486634647</v>
      </c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SUM(K11:K68)/M10-1</f>
        <v>1.0010288067302087E-2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486634647</v>
      </c>
      <c r="G10" s="5"/>
      <c r="H10" s="5"/>
      <c r="I10" s="5">
        <f>SUM(I11:I82)</f>
        <v>15074.9</v>
      </c>
      <c r="J10" s="111">
        <f>SUM(J11:J82)</f>
        <v>0.85371019532112735</v>
      </c>
      <c r="K10" s="5">
        <f>+SUM(K11:K82)</f>
        <v>491506000</v>
      </c>
      <c r="L10" s="5"/>
      <c r="M10" s="5">
        <f>+SUM(M11:M82)</f>
        <v>486634647.00000012</v>
      </c>
      <c r="N10" s="5"/>
      <c r="O10" s="5">
        <f>+SUM(O11:O82)</f>
        <v>4871353.0000000093</v>
      </c>
    </row>
    <row r="11" spans="1:18" x14ac:dyDescent="0.35">
      <c r="A11" t="s">
        <v>3873</v>
      </c>
      <c r="B11" s="3">
        <f>_xlfn.IFNA(_xlfn.XLOOKUP(A11,'Price list'!A:A,'Price list'!E:E),0)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77" si="0">+B11*(F11+I11)</f>
        <v>0</v>
      </c>
      <c r="L11" s="27">
        <f t="shared" ref="L11:L42" si="1">IFERROR(((K11/SUM($K$11:$K$82))*$F$10)/(F11+I11),0)</f>
        <v>0</v>
      </c>
      <c r="M11" s="3">
        <f t="shared" ref="M11:M77" si="2">+L11*(F11+I11)</f>
        <v>0</v>
      </c>
      <c r="N11" s="3">
        <f t="shared" ref="N11:N77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list'!A:A,'Price list'!E:E),0)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78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78" si="5">+K12-M12</f>
        <v>0</v>
      </c>
      <c r="P12" s="3"/>
      <c r="R12" s="3"/>
    </row>
    <row r="13" spans="1:18" s="196" customFormat="1" x14ac:dyDescent="0.35">
      <c r="A13" s="196" t="s">
        <v>3875</v>
      </c>
      <c r="B13" s="197">
        <f>_xlfn.IFNA(_xlfn.XLOOKUP(A13,'Price list'!A:A,'Price list'!E:E),0)</f>
        <v>36500</v>
      </c>
      <c r="C13" s="196" t="s">
        <v>9</v>
      </c>
      <c r="E13" s="197"/>
      <c r="F13" s="197"/>
      <c r="G13" s="197" t="s">
        <v>2219</v>
      </c>
      <c r="H13" s="197" t="str">
        <f>IF(G13=0,"",_xlfn.XLOOKUP(G13,List_item!A:A,List_item!B:B))</f>
        <v>Karkas Uk 0.5 Karkas Uk 0.5 Frozen Premium</v>
      </c>
      <c r="I13" s="197">
        <v>7.3</v>
      </c>
      <c r="J13" s="198">
        <f t="shared" si="4"/>
        <v>4.1340801105441697E-4</v>
      </c>
      <c r="K13" s="197">
        <f t="shared" si="0"/>
        <v>266450</v>
      </c>
      <c r="L13" s="199">
        <f t="shared" si="1"/>
        <v>36138.245749797556</v>
      </c>
      <c r="M13" s="197">
        <f t="shared" si="2"/>
        <v>263809.19397352217</v>
      </c>
      <c r="N13" s="197">
        <f t="shared" si="3"/>
        <v>361.75425020244438</v>
      </c>
      <c r="O13" s="197">
        <f t="shared" si="5"/>
        <v>2640.8060264778323</v>
      </c>
      <c r="P13" s="197"/>
    </row>
    <row r="14" spans="1:18" s="196" customFormat="1" x14ac:dyDescent="0.35">
      <c r="A14" s="196" t="s">
        <v>3876</v>
      </c>
      <c r="B14" s="197">
        <f>_xlfn.IFNA(_xlfn.XLOOKUP(A14,'Price list'!A:A,'Price list'!E:E),0)</f>
        <v>36500</v>
      </c>
      <c r="C14" s="196" t="s">
        <v>9</v>
      </c>
      <c r="E14" s="197"/>
      <c r="F14" s="197"/>
      <c r="G14" s="197" t="s">
        <v>2220</v>
      </c>
      <c r="H14" s="197" t="str">
        <f>IF(G14=0,"",_xlfn.XLOOKUP(G14,List_item!A:A,List_item!B:B))</f>
        <v>Karkas Uk 0.6 Karkas Uk 0.6 Frozen Premium</v>
      </c>
      <c r="I14" s="197">
        <v>58.7</v>
      </c>
      <c r="J14" s="198">
        <f t="shared" si="4"/>
        <v>3.324253458752641E-3</v>
      </c>
      <c r="K14" s="197">
        <f t="shared" si="0"/>
        <v>2142550</v>
      </c>
      <c r="L14" s="199">
        <f t="shared" si="1"/>
        <v>36138.245749797556</v>
      </c>
      <c r="M14" s="197">
        <f t="shared" si="2"/>
        <v>2121315.0255131167</v>
      </c>
      <c r="N14" s="197">
        <f t="shared" si="3"/>
        <v>361.75425020244438</v>
      </c>
      <c r="O14" s="197">
        <f t="shared" si="5"/>
        <v>21234.974486883264</v>
      </c>
      <c r="P14" s="197"/>
    </row>
    <row r="15" spans="1:18" s="196" customFormat="1" x14ac:dyDescent="0.35">
      <c r="A15" s="196" t="s">
        <v>3877</v>
      </c>
      <c r="B15" s="197">
        <f>_xlfn.IFNA(_xlfn.XLOOKUP(A15,'Price list'!A:A,'Price list'!E:E),0)</f>
        <v>36500</v>
      </c>
      <c r="C15" s="196" t="s">
        <v>9</v>
      </c>
      <c r="G15" s="197" t="s">
        <v>2221</v>
      </c>
      <c r="H15" s="197" t="str">
        <f>IF(G15=0,"",_xlfn.XLOOKUP(G15,List_item!A:A,List_item!B:B))</f>
        <v>Karkas Uk 0.7 Karkas Uk 0.7 Frozen Premium</v>
      </c>
      <c r="I15" s="197">
        <v>379.3</v>
      </c>
      <c r="J15" s="198">
        <f t="shared" si="4"/>
        <v>2.148022720451238E-2</v>
      </c>
      <c r="K15" s="197">
        <f t="shared" si="0"/>
        <v>13844450</v>
      </c>
      <c r="L15" s="199">
        <f t="shared" si="1"/>
        <v>36138.245749797563</v>
      </c>
      <c r="M15" s="197">
        <f t="shared" si="2"/>
        <v>13707236.612898216</v>
      </c>
      <c r="N15" s="197">
        <f t="shared" si="3"/>
        <v>361.75425020243711</v>
      </c>
      <c r="O15" s="197">
        <f t="shared" si="5"/>
        <v>137213.38710178435</v>
      </c>
      <c r="P15" s="197"/>
    </row>
    <row r="16" spans="1:18" s="196" customFormat="1" x14ac:dyDescent="0.35">
      <c r="A16" s="196" t="s">
        <v>3878</v>
      </c>
      <c r="B16" s="197">
        <f>_xlfn.IFNA(_xlfn.XLOOKUP(A16,'Price list'!A:A,'Price list'!E:E),0)</f>
        <v>36500</v>
      </c>
      <c r="C16" s="196" t="s">
        <v>9</v>
      </c>
      <c r="E16" s="197"/>
      <c r="G16" s="197" t="s">
        <v>2222</v>
      </c>
      <c r="H16" s="197" t="str">
        <f>IF(G16=0,"",_xlfn.XLOOKUP(G16,List_item!A:A,List_item!B:B))</f>
        <v>Karkas Uk 0.8 Frozen Premium</v>
      </c>
      <c r="I16" s="197">
        <v>911.5</v>
      </c>
      <c r="J16" s="198">
        <f t="shared" si="4"/>
        <v>5.1619370147411109E-2</v>
      </c>
      <c r="K16" s="197">
        <f t="shared" si="0"/>
        <v>33269750</v>
      </c>
      <c r="L16" s="199">
        <f t="shared" si="1"/>
        <v>36138.245749797563</v>
      </c>
      <c r="M16" s="197">
        <f t="shared" si="2"/>
        <v>32940011.000940479</v>
      </c>
      <c r="N16" s="197">
        <f t="shared" si="3"/>
        <v>361.75425020243711</v>
      </c>
      <c r="O16" s="197">
        <f t="shared" si="5"/>
        <v>329738.99905952066</v>
      </c>
      <c r="P16" s="197"/>
    </row>
    <row r="17" spans="1:16" s="196" customFormat="1" x14ac:dyDescent="0.35">
      <c r="A17" s="196" t="s">
        <v>3879</v>
      </c>
      <c r="B17" s="197">
        <f>_xlfn.IFNA(_xlfn.XLOOKUP(A17,'Price list'!A:A,'Price list'!E:E),0)</f>
        <v>36500</v>
      </c>
      <c r="C17" s="196" t="s">
        <v>9</v>
      </c>
      <c r="E17" s="200"/>
      <c r="G17" s="197" t="s">
        <v>826</v>
      </c>
      <c r="H17" s="197" t="str">
        <f>IF(G17=0,"",_xlfn.XLOOKUP(G17,List_item!A:A,List_item!B:B))</f>
        <v>Karkas Uk 0.9 Karkas Uk 0.9 Fresh Premium</v>
      </c>
      <c r="I17" s="197">
        <v>1402.2</v>
      </c>
      <c r="J17" s="198">
        <f t="shared" si="4"/>
        <v>7.9408316863082667E-2</v>
      </c>
      <c r="K17" s="197">
        <f t="shared" si="0"/>
        <v>51180300</v>
      </c>
      <c r="L17" s="199">
        <f t="shared" si="1"/>
        <v>36138.245749797556</v>
      </c>
      <c r="M17" s="197">
        <f t="shared" si="2"/>
        <v>50673048.190366134</v>
      </c>
      <c r="N17" s="197">
        <f t="shared" si="3"/>
        <v>361.75425020244438</v>
      </c>
      <c r="O17" s="197">
        <f t="shared" si="5"/>
        <v>507251.80963386595</v>
      </c>
      <c r="P17" s="197"/>
    </row>
    <row r="18" spans="1:16" s="196" customFormat="1" x14ac:dyDescent="0.35">
      <c r="A18" s="196" t="s">
        <v>3879</v>
      </c>
      <c r="B18" s="197">
        <f>_xlfn.IFNA(_xlfn.XLOOKUP(A18,'Price list'!A:A,'Price list'!E:E),0)</f>
        <v>36500</v>
      </c>
      <c r="C18" s="196" t="s">
        <v>9</v>
      </c>
      <c r="E18" s="200"/>
      <c r="G18" s="197" t="s">
        <v>2223</v>
      </c>
      <c r="H18" s="197" t="str">
        <f>IF(G18=0,"",_xlfn.XLOOKUP(G18,List_item!A:A,List_item!B:B))</f>
        <v>Karkas Uk 0.9 Frozen Premium</v>
      </c>
      <c r="I18" s="197">
        <v>514.79999999999995</v>
      </c>
      <c r="J18" s="198">
        <f t="shared" ref="J18:J19" si="6">IF(F18/J$5&gt;0,F18/J$5,I18/J$5)</f>
        <v>2.9153759464495048E-2</v>
      </c>
      <c r="K18" s="197">
        <f t="shared" ref="K18:K19" si="7">+B18*(F18+I18)</f>
        <v>18790200</v>
      </c>
      <c r="L18" s="199">
        <f t="shared" si="1"/>
        <v>36138.24574979757</v>
      </c>
      <c r="M18" s="197">
        <f t="shared" ref="M18:M19" si="8">+L18*(F18+I18)</f>
        <v>18603968.911995787</v>
      </c>
      <c r="N18" s="197">
        <f t="shared" ref="N18:N19" si="9">IF(L18=0,0,B18-L18)</f>
        <v>361.75425020242983</v>
      </c>
      <c r="O18" s="197">
        <f t="shared" ref="O18:O19" si="10">+K18-M18</f>
        <v>186231.08800421283</v>
      </c>
      <c r="P18" s="197"/>
    </row>
    <row r="19" spans="1:16" s="196" customFormat="1" x14ac:dyDescent="0.35">
      <c r="A19" s="196" t="s">
        <v>3880</v>
      </c>
      <c r="B19" s="197">
        <f>_xlfn.IFNA(_xlfn.XLOOKUP(A19,'Price list'!A:A,'Price list'!E:E),0)</f>
        <v>36500</v>
      </c>
      <c r="C19" s="196" t="s">
        <v>9</v>
      </c>
      <c r="E19" s="197"/>
      <c r="F19" s="197"/>
      <c r="G19" s="197" t="s">
        <v>923</v>
      </c>
      <c r="H19" s="197" t="str">
        <f>IF(G19=0,"",_xlfn.XLOOKUP(G19,List_item!A:A,List_item!B:B))</f>
        <v>Karkas Uk 1.0 Karkas Uk 1.0 Frozen Premium</v>
      </c>
      <c r="I19" s="197">
        <v>407.8</v>
      </c>
      <c r="J19" s="198">
        <f t="shared" si="6"/>
        <v>2.3094217384656335E-2</v>
      </c>
      <c r="K19" s="197">
        <f t="shared" si="7"/>
        <v>14884700</v>
      </c>
      <c r="L19" s="199">
        <f t="shared" si="1"/>
        <v>36138.245749797563</v>
      </c>
      <c r="M19" s="197">
        <f t="shared" si="8"/>
        <v>14737176.616767447</v>
      </c>
      <c r="N19" s="197">
        <f t="shared" si="9"/>
        <v>361.75425020243711</v>
      </c>
      <c r="O19" s="197">
        <f t="shared" si="10"/>
        <v>147523.38323255256</v>
      </c>
      <c r="P19" s="197"/>
    </row>
    <row r="20" spans="1:16" s="196" customFormat="1" x14ac:dyDescent="0.35">
      <c r="A20" s="196" t="s">
        <v>3880</v>
      </c>
      <c r="B20" s="197">
        <f>_xlfn.IFNA(_xlfn.XLOOKUP(A20,'Price list'!A:A,'Price list'!E:E),0)</f>
        <v>36500</v>
      </c>
      <c r="C20" s="196" t="s">
        <v>9</v>
      </c>
      <c r="E20" s="197"/>
      <c r="F20" s="197"/>
      <c r="G20" s="197" t="s">
        <v>891</v>
      </c>
      <c r="H20" s="197" t="str">
        <f>IF(G20=0,"",_xlfn.XLOOKUP(G20,List_item!A:A,List_item!B:B))</f>
        <v>Karkas Uk 1.0 Karkas Uk 1.0 Fresh Premium</v>
      </c>
      <c r="I20" s="197">
        <v>2351.1999999999998</v>
      </c>
      <c r="J20" s="198">
        <f t="shared" si="4"/>
        <v>0.13315135830015687</v>
      </c>
      <c r="K20" s="197">
        <f t="shared" si="0"/>
        <v>85818800</v>
      </c>
      <c r="L20" s="199">
        <f t="shared" si="1"/>
        <v>36138.245749797563</v>
      </c>
      <c r="M20" s="197">
        <f t="shared" si="2"/>
        <v>84968243.406924024</v>
      </c>
      <c r="N20" s="197">
        <f t="shared" si="3"/>
        <v>361.75425020243711</v>
      </c>
      <c r="O20" s="197">
        <f t="shared" si="5"/>
        <v>850556.59307597578</v>
      </c>
      <c r="P20" s="197"/>
    </row>
    <row r="21" spans="1:16" s="196" customFormat="1" x14ac:dyDescent="0.35">
      <c r="A21" s="196" t="s">
        <v>3881</v>
      </c>
      <c r="B21" s="197">
        <f>_xlfn.IFNA(_xlfn.XLOOKUP(A21,'Price list'!A:A,'Price list'!E:E),0)</f>
        <v>36500</v>
      </c>
      <c r="C21" s="196" t="s">
        <v>9</v>
      </c>
      <c r="E21" s="197"/>
      <c r="F21" s="197"/>
      <c r="G21" s="197" t="s">
        <v>957</v>
      </c>
      <c r="H21" s="197" t="str">
        <f>IF(G21=0,"",_xlfn.XLOOKUP(G21,List_item!A:A,List_item!B:B))</f>
        <v>Karkas Uk 1.1 Karkas Uk 1.1 Fresh Premium</v>
      </c>
      <c r="I21" s="197">
        <v>2442</v>
      </c>
      <c r="J21" s="198">
        <f t="shared" ref="J21" si="11">IF(F21/J$5&gt;0,F21/J$5,I21/J$5)</f>
        <v>0.13829347438286113</v>
      </c>
      <c r="K21" s="197">
        <f t="shared" ref="K21" si="12">+B21*(F21+I21)</f>
        <v>89133000</v>
      </c>
      <c r="L21" s="199">
        <f t="shared" si="1"/>
        <v>36138.245749797556</v>
      </c>
      <c r="M21" s="197">
        <f t="shared" ref="M21" si="13">+L21*(F21+I21)</f>
        <v>88249596.121005625</v>
      </c>
      <c r="N21" s="197">
        <f t="shared" ref="N21" si="14">IF(L21=0,0,B21-L21)</f>
        <v>361.75425020244438</v>
      </c>
      <c r="O21" s="197">
        <f t="shared" ref="O21" si="15">+K21-M21</f>
        <v>883403.87899437547</v>
      </c>
      <c r="P21" s="197"/>
    </row>
    <row r="22" spans="1:16" s="196" customFormat="1" x14ac:dyDescent="0.35">
      <c r="A22" s="196" t="s">
        <v>3881</v>
      </c>
      <c r="B22" s="197">
        <f>_xlfn.IFNA(_xlfn.XLOOKUP(A22,'Price list'!A:A,'Price list'!E:E),0)</f>
        <v>36500</v>
      </c>
      <c r="C22" s="196" t="s">
        <v>9</v>
      </c>
      <c r="E22" s="197"/>
      <c r="F22" s="197"/>
      <c r="G22" s="197" t="s">
        <v>989</v>
      </c>
      <c r="H22" s="197" t="str">
        <f>IF(G22=0,"",_xlfn.XLOOKUP(G22,List_item!A:A,List_item!B:B))</f>
        <v>Karkas Uk 1.1 Karkas Uk 1.1 Frozen Premium</v>
      </c>
      <c r="I22" s="197">
        <v>417.9</v>
      </c>
      <c r="J22" s="198">
        <f t="shared" si="4"/>
        <v>2.3666192852005597E-2</v>
      </c>
      <c r="K22" s="197">
        <f t="shared" si="0"/>
        <v>15253350</v>
      </c>
      <c r="L22" s="199">
        <f t="shared" si="1"/>
        <v>36138.245749797563</v>
      </c>
      <c r="M22" s="197">
        <f t="shared" si="2"/>
        <v>15102172.898840401</v>
      </c>
      <c r="N22" s="197">
        <f t="shared" si="3"/>
        <v>361.75425020243711</v>
      </c>
      <c r="O22" s="197">
        <f t="shared" si="5"/>
        <v>151177.10115959868</v>
      </c>
      <c r="P22" s="197"/>
    </row>
    <row r="23" spans="1:16" s="196" customFormat="1" x14ac:dyDescent="0.35">
      <c r="A23" s="196" t="s">
        <v>3882</v>
      </c>
      <c r="B23" s="197">
        <f>_xlfn.IFNA(_xlfn.XLOOKUP(A23,'Price list'!A:A,'Price list'!E:E),0)</f>
        <v>36500</v>
      </c>
      <c r="C23" s="196" t="s">
        <v>9</v>
      </c>
      <c r="E23" s="197"/>
      <c r="F23" s="197"/>
      <c r="G23" s="197" t="s">
        <v>1055</v>
      </c>
      <c r="H23" s="197" t="str">
        <f>IF(G23=0,"",_xlfn.XLOOKUP(G23,List_item!A:A,List_item!B:B))</f>
        <v>Karkas Uk 1.2 Karkas Uk 1.2 Frozen Premium</v>
      </c>
      <c r="I23" s="197">
        <v>1135.5</v>
      </c>
      <c r="J23" s="198">
        <f t="shared" si="4"/>
        <v>6.4304766650998699E-2</v>
      </c>
      <c r="K23" s="197">
        <f t="shared" si="0"/>
        <v>41445750</v>
      </c>
      <c r="L23" s="199">
        <f t="shared" si="1"/>
        <v>36138.245749797563</v>
      </c>
      <c r="M23" s="197">
        <f t="shared" si="2"/>
        <v>41034978.048895136</v>
      </c>
      <c r="N23" s="197">
        <f t="shared" si="3"/>
        <v>361.75425020243711</v>
      </c>
      <c r="O23" s="197">
        <f t="shared" si="5"/>
        <v>410771.95110486448</v>
      </c>
      <c r="P23" s="197"/>
    </row>
    <row r="24" spans="1:16" s="196" customFormat="1" x14ac:dyDescent="0.35">
      <c r="A24" s="196" t="s">
        <v>3883</v>
      </c>
      <c r="B24" s="197">
        <f>_xlfn.IFNA(_xlfn.XLOOKUP(A24,'Price list'!A:A,'Price list'!E:E),0)</f>
        <v>36500</v>
      </c>
      <c r="C24" s="196" t="s">
        <v>9</v>
      </c>
      <c r="E24" s="197"/>
      <c r="F24" s="197"/>
      <c r="G24" s="197" t="s">
        <v>1121</v>
      </c>
      <c r="H24" s="197" t="str">
        <f>IF(G24=0,"",_xlfn.XLOOKUP(G24,List_item!A:A,List_item!B:B))</f>
        <v>Karkas Uk 1.3 Karkas Uk 1.3 Frozen Premium</v>
      </c>
      <c r="I24" s="197">
        <v>440.5</v>
      </c>
      <c r="J24" s="198">
        <f t="shared" si="4"/>
        <v>2.494605874924256E-2</v>
      </c>
      <c r="K24" s="197">
        <f t="shared" si="0"/>
        <v>16078250</v>
      </c>
      <c r="L24" s="199">
        <f t="shared" si="1"/>
        <v>36138.245749797556</v>
      </c>
      <c r="M24" s="197">
        <f t="shared" si="2"/>
        <v>15918897.252785822</v>
      </c>
      <c r="N24" s="197">
        <f t="shared" si="3"/>
        <v>361.75425020244438</v>
      </c>
      <c r="O24" s="197">
        <f t="shared" si="5"/>
        <v>159352.74721417762</v>
      </c>
      <c r="P24" s="197"/>
    </row>
    <row r="25" spans="1:16" s="196" customFormat="1" x14ac:dyDescent="0.35">
      <c r="A25" s="196" t="s">
        <v>3884</v>
      </c>
      <c r="B25" s="197">
        <f>_xlfn.IFNA(_xlfn.XLOOKUP(A25,'Price list'!A:A,'Price list'!E:E),0)</f>
        <v>36500</v>
      </c>
      <c r="C25" s="196" t="s">
        <v>9</v>
      </c>
      <c r="E25" s="197"/>
      <c r="F25" s="197"/>
      <c r="G25" s="197" t="s">
        <v>1187</v>
      </c>
      <c r="H25" s="197" t="str">
        <f>IF(G25=0,"",_xlfn.XLOOKUP(G25,List_item!A:A,List_item!B:B))</f>
        <v>Karkas Uk 1.4 Karkas Uk 1.4 Frozen Premium</v>
      </c>
      <c r="I25" s="197">
        <v>135.69999999999999</v>
      </c>
      <c r="J25" s="198">
        <f t="shared" si="4"/>
        <v>7.6848585068608737E-3</v>
      </c>
      <c r="K25" s="197">
        <f t="shared" si="0"/>
        <v>4953050</v>
      </c>
      <c r="L25" s="199">
        <f t="shared" si="1"/>
        <v>36138.245749797563</v>
      </c>
      <c r="M25" s="197">
        <f t="shared" si="2"/>
        <v>4903959.9482475286</v>
      </c>
      <c r="N25" s="197">
        <f t="shared" si="3"/>
        <v>361.75425020243711</v>
      </c>
      <c r="O25" s="197">
        <f t="shared" si="5"/>
        <v>49090.051752471365</v>
      </c>
      <c r="P25" s="197"/>
    </row>
    <row r="26" spans="1:16" s="196" customFormat="1" x14ac:dyDescent="0.35">
      <c r="A26" s="196" t="s">
        <v>3849</v>
      </c>
      <c r="B26" s="197">
        <f>_xlfn.IFNA(_xlfn.XLOOKUP(A26,'Price list'!A:A,'Price list'!E:E),0)</f>
        <v>36500</v>
      </c>
      <c r="C26" s="196" t="s">
        <v>9</v>
      </c>
      <c r="E26" s="197"/>
      <c r="F26" s="197"/>
      <c r="G26" s="197" t="s">
        <v>1252</v>
      </c>
      <c r="H26" s="197" t="str">
        <f>IF(G26=0,"",_xlfn.XLOOKUP(G26,List_item!A:A,List_item!B:B))</f>
        <v>Karkas Uk 1.5 Karkas Uk 1.5 Frozen Premium</v>
      </c>
      <c r="I26" s="197">
        <v>22.2</v>
      </c>
      <c r="J26" s="198">
        <f t="shared" si="4"/>
        <v>1.2572134034805557E-3</v>
      </c>
      <c r="K26" s="197">
        <f t="shared" si="0"/>
        <v>810300</v>
      </c>
      <c r="L26" s="199">
        <f t="shared" si="1"/>
        <v>36138.245749797563</v>
      </c>
      <c r="M26" s="197">
        <f t="shared" si="2"/>
        <v>802269.0556455059</v>
      </c>
      <c r="N26" s="197">
        <f t="shared" si="3"/>
        <v>361.75425020243711</v>
      </c>
      <c r="O26" s="197">
        <f t="shared" si="5"/>
        <v>8030.9443544941023</v>
      </c>
      <c r="P26" s="197"/>
    </row>
    <row r="27" spans="1:16" s="196" customFormat="1" x14ac:dyDescent="0.35">
      <c r="A27" s="196" t="s">
        <v>3885</v>
      </c>
      <c r="B27" s="197">
        <f>_xlfn.IFNA(_xlfn.XLOOKUP(A27,'Price list'!A:A,'Price list'!E:E),0)</f>
        <v>36500</v>
      </c>
      <c r="C27" s="196" t="s">
        <v>9</v>
      </c>
      <c r="E27" s="197"/>
      <c r="F27" s="197"/>
      <c r="G27" s="197" t="s">
        <v>1318</v>
      </c>
      <c r="H27" s="197" t="str">
        <f>IF(G27=0,"",_xlfn.XLOOKUP(G27,List_item!A:A,List_item!B:B))</f>
        <v>Karkas Uk 1.6 Karkas Uk 1.6 Frozen Premium</v>
      </c>
      <c r="I27" s="197">
        <v>8.4</v>
      </c>
      <c r="J27" s="198">
        <f t="shared" si="4"/>
        <v>4.7570236888453462E-4</v>
      </c>
      <c r="K27" s="197">
        <f t="shared" si="0"/>
        <v>306600</v>
      </c>
      <c r="L27" s="199">
        <f t="shared" si="1"/>
        <v>36138.245749797563</v>
      </c>
      <c r="M27" s="197">
        <f t="shared" si="2"/>
        <v>303561.26429829956</v>
      </c>
      <c r="N27" s="197">
        <f t="shared" si="3"/>
        <v>361.75425020243711</v>
      </c>
      <c r="O27" s="197">
        <f t="shared" si="5"/>
        <v>3038.7357017004397</v>
      </c>
      <c r="P27" s="197"/>
    </row>
    <row r="28" spans="1:16" x14ac:dyDescent="0.35">
      <c r="A28" t="s">
        <v>3886</v>
      </c>
      <c r="B28" s="3">
        <f>_xlfn.IFNA(_xlfn.XLOOKUP(A28,'Price list'!A:A,'Price list'!E:E),0)</f>
        <v>36500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6" x14ac:dyDescent="0.35">
      <c r="A29" t="s">
        <v>3887</v>
      </c>
      <c r="B29" s="3">
        <f>_xlfn.IFNA(_xlfn.XLOOKUP(A29,'Price list'!A:A,'Price list'!E:E),0)</f>
        <v>36500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3888</v>
      </c>
      <c r="B30" s="3">
        <f>_xlfn.IFNA(_xlfn.XLOOKUP(A30,'Price list'!A:A,'Price list'!E:E),0)</f>
        <v>36500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3889</v>
      </c>
      <c r="B31" s="3">
        <f>_xlfn.IFNA(_xlfn.XLOOKUP(A31,'Price list'!A:A,'Price list'!E:E),0)</f>
        <v>36500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3890</v>
      </c>
      <c r="B32" s="3">
        <f>_xlfn.IFNA(_xlfn.XLOOKUP(A32,'Price list'!A:A,'Price list'!E:E),0)</f>
        <v>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8</v>
      </c>
      <c r="B33" s="3">
        <f>_xlfn.IFNA(_xlfn.XLOOKUP(A33,'Price list'!A:A,'Price list'!E:E),0)</f>
        <v>50000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10</v>
      </c>
      <c r="B34" s="3">
        <f>_xlfn.IFNA(_xlfn.XLOOKUP(A34,'Price list'!A:A,'Price list'!E:E),0)</f>
        <v>48000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12</v>
      </c>
      <c r="B35" s="3">
        <f>_xlfn.IFNA(_xlfn.XLOOKUP(A35,'Price list'!A:A,'Price list'!E:E),0)</f>
        <v>49000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2159</v>
      </c>
      <c r="B36" s="3">
        <f>_xlfn.IFNA(_xlfn.XLOOKUP(A36,'Price list'!A:A,'Price list'!E:E),0)</f>
        <v>5500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3891</v>
      </c>
      <c r="B37" s="3">
        <f>_xlfn.IFNA(_xlfn.XLOOKUP(A37,'Price list'!A:A,'Price list'!E:E),0)</f>
        <v>20000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3892</v>
      </c>
      <c r="B38" s="3">
        <f>_xlfn.IFNA(_xlfn.XLOOKUP(A38,'Price list'!A:A,'Price list'!E:E),0)</f>
        <v>22000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x14ac:dyDescent="0.35">
      <c r="A39" t="s">
        <v>3852</v>
      </c>
      <c r="B39" s="3">
        <f>_xlfn.IFNA(_xlfn.XLOOKUP(A39,'Price list'!A:A,'Price list'!E:E),0)</f>
        <v>18000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si="1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6" x14ac:dyDescent="0.35">
      <c r="A40" t="s">
        <v>17</v>
      </c>
      <c r="B40" s="3">
        <f>_xlfn.IFNA(_xlfn.XLOOKUP(A40,'Price list'!A:A,'Price list'!E:E),0)</f>
        <v>3500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1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6" x14ac:dyDescent="0.35">
      <c r="A41" t="s">
        <v>2199</v>
      </c>
      <c r="B41" s="3">
        <f>_xlfn.IFNA(_xlfn.XLOOKUP(A41,'Price list'!A:A,'Price list'!E:E),0)</f>
        <v>38000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3">
        <v>0</v>
      </c>
      <c r="J41" s="26">
        <f t="shared" si="4"/>
        <v>0</v>
      </c>
      <c r="K41" s="3">
        <f t="shared" si="0"/>
        <v>0</v>
      </c>
      <c r="L41" s="27">
        <f t="shared" si="1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6" s="196" customFormat="1" x14ac:dyDescent="0.35">
      <c r="A42" s="196" t="s">
        <v>2161</v>
      </c>
      <c r="B42" s="197">
        <f>_xlfn.IFNA(_xlfn.XLOOKUP(A42,'Price list'!A:A,'Price list'!E:E),0)</f>
        <v>18000</v>
      </c>
      <c r="C42" s="196" t="s">
        <v>9</v>
      </c>
      <c r="E42" s="197"/>
      <c r="F42" s="197"/>
      <c r="G42" s="197" t="s">
        <v>19</v>
      </c>
      <c r="H42" s="197" t="str">
        <f>IF(G42=0,"",_xlfn.XLOOKUP(G42,List_item!A:A,List_item!B:B))</f>
        <v>Boneless BL Frozen Lemak</v>
      </c>
      <c r="I42" s="197">
        <v>55</v>
      </c>
      <c r="J42" s="198">
        <f t="shared" si="4"/>
        <v>3.1147178915058816E-3</v>
      </c>
      <c r="K42" s="197">
        <f t="shared" si="0"/>
        <v>990000</v>
      </c>
      <c r="L42" s="199">
        <f t="shared" si="1"/>
        <v>17821.600643735783</v>
      </c>
      <c r="M42" s="197">
        <f t="shared" si="2"/>
        <v>980188.03540546808</v>
      </c>
      <c r="N42" s="197">
        <f t="shared" si="3"/>
        <v>178.3993562642172</v>
      </c>
      <c r="O42" s="197">
        <f t="shared" si="5"/>
        <v>9811.9645945319207</v>
      </c>
      <c r="P42" s="197"/>
    </row>
    <row r="43" spans="1:16" s="196" customFormat="1" x14ac:dyDescent="0.35">
      <c r="A43" s="196" t="s">
        <v>2162</v>
      </c>
      <c r="B43" s="197">
        <f>_xlfn.IFNA(_xlfn.XLOOKUP(A43,'Price list'!A:A,'Price list'!E:E),0)</f>
        <v>8000</v>
      </c>
      <c r="C43" s="196" t="s">
        <v>9</v>
      </c>
      <c r="E43" s="197"/>
      <c r="F43" s="197"/>
      <c r="G43" s="197" t="s">
        <v>310</v>
      </c>
      <c r="H43" s="197" t="str">
        <f>IF(G43=0,"",_xlfn.XLOOKUP(G43,List_item!A:A,List_item!B:B))</f>
        <v>Boneless BL Frozen Kepala</v>
      </c>
      <c r="I43" s="197">
        <v>909</v>
      </c>
      <c r="J43" s="198">
        <f t="shared" si="4"/>
        <v>5.1477792061433568E-2</v>
      </c>
      <c r="K43" s="197">
        <f t="shared" si="0"/>
        <v>7272000</v>
      </c>
      <c r="L43" s="199">
        <f t="shared" ref="L43:L74" si="16">IFERROR(((K43/SUM($K$11:$K$82))*$F$10)/(F43+I43),0)</f>
        <v>7920.7113972159032</v>
      </c>
      <c r="M43" s="197">
        <f t="shared" si="2"/>
        <v>7199926.6600692561</v>
      </c>
      <c r="N43" s="197">
        <f t="shared" si="3"/>
        <v>79.288602784096838</v>
      </c>
      <c r="O43" s="197">
        <f t="shared" si="5"/>
        <v>72073.33993074391</v>
      </c>
      <c r="P43" s="197"/>
    </row>
    <row r="44" spans="1:16" s="196" customFormat="1" x14ac:dyDescent="0.35">
      <c r="A44" s="196" t="s">
        <v>0</v>
      </c>
      <c r="B44" s="197">
        <f>_xlfn.IFNA(_xlfn.XLOOKUP(A44,'Price list'!A:A,'Price list'!E:E),0)</f>
        <v>10000</v>
      </c>
      <c r="C44" s="196" t="s">
        <v>9</v>
      </c>
      <c r="E44" s="197"/>
      <c r="F44" s="197"/>
      <c r="G44" s="197" t="s">
        <v>22</v>
      </c>
      <c r="H44" s="197" t="str">
        <f>IF(G44=0,"",_xlfn.XLOOKUP(G44,List_item!A:A,List_item!B:B))</f>
        <v>Boneless BL Frozen Ceker</v>
      </c>
      <c r="I44" s="197">
        <v>562.79999999999995</v>
      </c>
      <c r="J44" s="198">
        <f t="shared" si="4"/>
        <v>3.1872058715263815E-2</v>
      </c>
      <c r="K44" s="197">
        <f t="shared" si="0"/>
        <v>5628000</v>
      </c>
      <c r="L44" s="199">
        <f t="shared" si="16"/>
        <v>9900.8892465198787</v>
      </c>
      <c r="M44" s="197">
        <f t="shared" si="2"/>
        <v>5572220.4679413876</v>
      </c>
      <c r="N44" s="197">
        <f t="shared" si="3"/>
        <v>99.110753480121275</v>
      </c>
      <c r="O44" s="197">
        <f t="shared" si="5"/>
        <v>55779.532058612444</v>
      </c>
      <c r="P44" s="197"/>
    </row>
    <row r="45" spans="1:16" x14ac:dyDescent="0.35">
      <c r="A45" t="s">
        <v>24</v>
      </c>
      <c r="B45" s="3">
        <f>_xlfn.IFNA(_xlfn.XLOOKUP(A45,'Price list'!A:A,'Price list'!E:E),0)</f>
        <v>4000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27">
        <f t="shared" si="16"/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/>
    </row>
    <row r="46" spans="1:16" s="196" customFormat="1" x14ac:dyDescent="0.35">
      <c r="A46" s="196" t="s">
        <v>3893</v>
      </c>
      <c r="B46" s="197">
        <f>_xlfn.IFNA(_xlfn.XLOOKUP(A46,'Price list'!A:A,'Price list'!E:E),0)</f>
        <v>5000</v>
      </c>
      <c r="C46" s="196" t="s">
        <v>9</v>
      </c>
      <c r="E46" s="197"/>
      <c r="F46" s="197"/>
      <c r="G46" s="197" t="s">
        <v>387</v>
      </c>
      <c r="H46" s="197" t="str">
        <f>IF(G46=0,"",_xlfn.XLOOKUP(G46,List_item!A:A,List_item!B:B))</f>
        <v>Boneless BL Frozen Usus Kotor</v>
      </c>
      <c r="I46" s="197">
        <v>791.8</v>
      </c>
      <c r="J46" s="198">
        <f t="shared" si="4"/>
        <v>4.4840611390806487E-2</v>
      </c>
      <c r="K46" s="197">
        <f t="shared" si="0"/>
        <v>3959000</v>
      </c>
      <c r="L46" s="199">
        <f t="shared" si="16"/>
        <v>4950.4446232599394</v>
      </c>
      <c r="M46" s="197">
        <f t="shared" si="2"/>
        <v>3919762.0526972199</v>
      </c>
      <c r="N46" s="197">
        <f t="shared" si="3"/>
        <v>49.555376740060638</v>
      </c>
      <c r="O46" s="197">
        <f t="shared" si="5"/>
        <v>39237.947302780114</v>
      </c>
      <c r="P46" s="197" t="s">
        <v>3947</v>
      </c>
    </row>
    <row r="47" spans="1:16" x14ac:dyDescent="0.35">
      <c r="A47" t="s">
        <v>2167</v>
      </c>
      <c r="B47" s="3">
        <f>_xlfn.IFNA(_xlfn.XLOOKUP(A47,'Price list'!A:A,'Price list'!E:E),0)</f>
        <v>16000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16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6" x14ac:dyDescent="0.35">
      <c r="A48" t="s">
        <v>2168</v>
      </c>
      <c r="B48" s="3">
        <f>_xlfn.IFNA(_xlfn.XLOOKUP(A48,'Price list'!A:A,'Price list'!E:E),0)</f>
        <v>10000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6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2169</v>
      </c>
      <c r="B49" s="3">
        <f>_xlfn.IFNA(_xlfn.XLOOKUP(A49,'Price list'!A:A,'Price list'!E:E),0)</f>
        <v>5000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6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3894</v>
      </c>
      <c r="B50" s="3">
        <f>_xlfn.IFNA(_xlfn.XLOOKUP(A50,'Price list'!A:A,'Price list'!E:E),0)</f>
        <v>5000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6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s="196" customFormat="1" x14ac:dyDescent="0.35">
      <c r="A51" s="196" t="s">
        <v>2170</v>
      </c>
      <c r="B51" s="197">
        <f>_xlfn.IFNA(_xlfn.XLOOKUP(A51,'Price list'!A:A,'Price list'!E:E),0)</f>
        <v>45000</v>
      </c>
      <c r="C51" s="196" t="s">
        <v>9</v>
      </c>
      <c r="E51" s="197"/>
      <c r="F51" s="197"/>
      <c r="G51" s="197" t="s">
        <v>286</v>
      </c>
      <c r="H51" s="197" t="str">
        <f>IF(G51=0,"",_xlfn.XLOOKUP(G51,List_item!A:A,List_item!B:B))</f>
        <v>Boneless BL Frozen HJA</v>
      </c>
      <c r="I51" s="197">
        <v>1123.4000000000001</v>
      </c>
      <c r="J51" s="198">
        <f t="shared" si="4"/>
        <v>6.361952871486741E-2</v>
      </c>
      <c r="K51" s="197">
        <f t="shared" si="0"/>
        <v>50553000.000000007</v>
      </c>
      <c r="L51" s="199">
        <f t="shared" si="16"/>
        <v>44554.001609339466</v>
      </c>
      <c r="M51" s="197">
        <f t="shared" si="2"/>
        <v>50051965.407931961</v>
      </c>
      <c r="N51" s="197">
        <f t="shared" si="3"/>
        <v>445.99839066053391</v>
      </c>
      <c r="O51" s="197">
        <f t="shared" si="5"/>
        <v>501034.59206804633</v>
      </c>
      <c r="P51" s="197"/>
    </row>
    <row r="52" spans="1:16" x14ac:dyDescent="0.35">
      <c r="A52" t="s">
        <v>2171</v>
      </c>
      <c r="B52" s="3">
        <f>_xlfn.IFNA(_xlfn.XLOOKUP(A52,'Price list'!A:A,'Price list'!E:E),0)</f>
        <v>44000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6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3895</v>
      </c>
      <c r="B53" s="3">
        <f>_xlfn.IFNA(_xlfn.XLOOKUP(A53,'Price list'!A:A,'Price list'!E:E),0)</f>
        <v>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16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3896</v>
      </c>
      <c r="B54" s="3">
        <f>_xlfn.IFNA(_xlfn.XLOOKUP(A54,'Price list'!A:A,'Price list'!E:E),0)</f>
        <v>35000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0"/>
        <v>0</v>
      </c>
      <c r="L54" s="27">
        <f t="shared" si="16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s="196" customFormat="1" x14ac:dyDescent="0.35">
      <c r="A55" s="196" t="s">
        <v>3897</v>
      </c>
      <c r="B55" s="197">
        <f>_xlfn.IFNA(_xlfn.XLOOKUP(A55,'Price list'!A:A,'Price list'!E:E),0)</f>
        <v>35000</v>
      </c>
      <c r="C55" s="196" t="s">
        <v>9</v>
      </c>
      <c r="E55" s="197"/>
      <c r="F55" s="197"/>
      <c r="G55" s="197" t="s">
        <v>571</v>
      </c>
      <c r="H55" s="197" t="str">
        <f>IF(G55=0,"",_xlfn.XLOOKUP(G55,List_item!A:A,List_item!B:B))</f>
        <v>Karkas Uk 0.5 Karkas Uk 0.5 Frozen Grade A</v>
      </c>
      <c r="I55" s="197">
        <v>7.3</v>
      </c>
      <c r="J55" s="198">
        <f t="shared" si="4"/>
        <v>4.1340801105441697E-4</v>
      </c>
      <c r="K55" s="197">
        <f t="shared" si="0"/>
        <v>255500</v>
      </c>
      <c r="L55" s="199">
        <f t="shared" si="16"/>
        <v>34653.112362819586</v>
      </c>
      <c r="M55" s="197">
        <f t="shared" si="2"/>
        <v>252967.72024858298</v>
      </c>
      <c r="N55" s="197">
        <f t="shared" si="3"/>
        <v>346.88763718041446</v>
      </c>
      <c r="O55" s="197">
        <f t="shared" si="5"/>
        <v>2532.2797514170234</v>
      </c>
      <c r="P55" s="197"/>
    </row>
    <row r="56" spans="1:16" s="196" customFormat="1" x14ac:dyDescent="0.35">
      <c r="A56" s="196" t="s">
        <v>3898</v>
      </c>
      <c r="B56" s="197">
        <f>_xlfn.IFNA(_xlfn.XLOOKUP(A56,'Price list'!A:A,'Price list'!E:E),0)</f>
        <v>35000</v>
      </c>
      <c r="C56" s="196" t="s">
        <v>9</v>
      </c>
      <c r="E56" s="197"/>
      <c r="F56" s="197"/>
      <c r="G56" s="197" t="s">
        <v>636</v>
      </c>
      <c r="H56" s="197" t="str">
        <f>IF(G56=0,"",_xlfn.XLOOKUP(G56,List_item!A:A,List_item!B:B))</f>
        <v>Karkas Uk 0.6 Karkas Uk 0.6 Frozen Grade A</v>
      </c>
      <c r="I56" s="197">
        <v>25.6</v>
      </c>
      <c r="J56" s="198">
        <f t="shared" si="4"/>
        <v>1.4497596004100102E-3</v>
      </c>
      <c r="K56" s="197">
        <f t="shared" si="0"/>
        <v>896000</v>
      </c>
      <c r="L56" s="199">
        <f t="shared" si="16"/>
        <v>34653.112362819578</v>
      </c>
      <c r="M56" s="197">
        <f t="shared" si="2"/>
        <v>887119.67648818123</v>
      </c>
      <c r="N56" s="197">
        <f t="shared" si="3"/>
        <v>346.88763718042173</v>
      </c>
      <c r="O56" s="197">
        <f t="shared" si="5"/>
        <v>8880.3235118187731</v>
      </c>
      <c r="P56" s="197"/>
    </row>
    <row r="57" spans="1:16" s="196" customFormat="1" x14ac:dyDescent="0.35">
      <c r="A57" s="196" t="s">
        <v>3899</v>
      </c>
      <c r="B57" s="197">
        <f>_xlfn.IFNA(_xlfn.XLOOKUP(A57,'Price list'!A:A,'Price list'!E:E),0)</f>
        <v>35000</v>
      </c>
      <c r="C57" s="196" t="s">
        <v>9</v>
      </c>
      <c r="E57" s="197"/>
      <c r="F57" s="197"/>
      <c r="G57" s="197" t="s">
        <v>701</v>
      </c>
      <c r="H57" s="197" t="str">
        <f>IF(G57=0,"",_xlfn.XLOOKUP(G57,List_item!A:A,List_item!B:B))</f>
        <v>Karkas Uk 0.7 Karkas Uk 0.7 Frozen Grade A</v>
      </c>
      <c r="I57" s="197">
        <v>106.9</v>
      </c>
      <c r="J57" s="198">
        <f t="shared" si="4"/>
        <v>6.0538789563996135E-3</v>
      </c>
      <c r="K57" s="197">
        <f t="shared" si="0"/>
        <v>3741500</v>
      </c>
      <c r="L57" s="199">
        <f t="shared" si="16"/>
        <v>34653.112362819578</v>
      </c>
      <c r="M57" s="197">
        <f t="shared" si="2"/>
        <v>3704417.7115854132</v>
      </c>
      <c r="N57" s="197">
        <f t="shared" si="3"/>
        <v>346.88763718042173</v>
      </c>
      <c r="O57" s="197">
        <f t="shared" si="5"/>
        <v>37082.288414586801</v>
      </c>
      <c r="P57" s="197"/>
    </row>
    <row r="58" spans="1:16" s="196" customFormat="1" x14ac:dyDescent="0.35">
      <c r="A58" s="196" t="s">
        <v>3900</v>
      </c>
      <c r="B58" s="197">
        <f>_xlfn.IFNA(_xlfn.XLOOKUP(A58,'Price list'!A:A,'Price list'!E:E),0)</f>
        <v>35000</v>
      </c>
      <c r="C58" s="196" t="s">
        <v>9</v>
      </c>
      <c r="E58" s="197"/>
      <c r="F58" s="197"/>
      <c r="G58" s="197" t="s">
        <v>766</v>
      </c>
      <c r="H58" s="197" t="str">
        <f>IF(G58=0,"",_xlfn.XLOOKUP(G58,List_item!A:A,List_item!B:B))</f>
        <v>Karkas Uk 0.8 Karkas Uk 0.8 Frozen Grade A</v>
      </c>
      <c r="I58" s="197">
        <v>179.7</v>
      </c>
      <c r="J58" s="198">
        <f t="shared" si="4"/>
        <v>1.0176632820065579E-2</v>
      </c>
      <c r="K58" s="197">
        <f t="shared" si="0"/>
        <v>6289500</v>
      </c>
      <c r="L58" s="199">
        <f t="shared" si="16"/>
        <v>34653.112362819586</v>
      </c>
      <c r="M58" s="197">
        <f t="shared" si="2"/>
        <v>6227164.2915986795</v>
      </c>
      <c r="N58" s="197">
        <f t="shared" si="3"/>
        <v>346.88763718041446</v>
      </c>
      <c r="O58" s="197">
        <f t="shared" si="5"/>
        <v>62335.708401320502</v>
      </c>
      <c r="P58" s="197"/>
    </row>
    <row r="59" spans="1:16" s="196" customFormat="1" x14ac:dyDescent="0.35">
      <c r="A59" s="196" t="s">
        <v>3901</v>
      </c>
      <c r="B59" s="197">
        <f>_xlfn.IFNA(_xlfn.XLOOKUP(A59,'Price list'!A:A,'Price list'!E:E),0)</f>
        <v>35000</v>
      </c>
      <c r="C59" s="196" t="s">
        <v>9</v>
      </c>
      <c r="E59" s="197"/>
      <c r="F59" s="197"/>
      <c r="G59" s="197" t="s">
        <v>831</v>
      </c>
      <c r="H59" s="197" t="str">
        <f>IF(G59=0,"",_xlfn.XLOOKUP(G59,List_item!A:A,List_item!B:B))</f>
        <v>Karkas Uk 0.9 Karkas Uk 0.9 Frozen Grade A</v>
      </c>
      <c r="I59" s="197">
        <v>247.4</v>
      </c>
      <c r="J59" s="198">
        <f t="shared" si="4"/>
        <v>1.4010567388337366E-2</v>
      </c>
      <c r="K59" s="197">
        <f t="shared" si="0"/>
        <v>8659000</v>
      </c>
      <c r="L59" s="199">
        <f t="shared" si="16"/>
        <v>34653.112362819578</v>
      </c>
      <c r="M59" s="197">
        <f t="shared" si="2"/>
        <v>8573179.998561563</v>
      </c>
      <c r="N59" s="197">
        <f t="shared" si="3"/>
        <v>346.88763718042173</v>
      </c>
      <c r="O59" s="197">
        <f t="shared" si="5"/>
        <v>85820.00143843703</v>
      </c>
      <c r="P59" s="197"/>
    </row>
    <row r="60" spans="1:16" s="196" customFormat="1" x14ac:dyDescent="0.35">
      <c r="A60" s="196" t="s">
        <v>3902</v>
      </c>
      <c r="B60" s="197">
        <f>_xlfn.IFNA(_xlfn.XLOOKUP(A60,'Price list'!A:A,'Price list'!E:E),0)</f>
        <v>35000</v>
      </c>
      <c r="C60" s="196" t="s">
        <v>9</v>
      </c>
      <c r="E60" s="197"/>
      <c r="F60" s="197"/>
      <c r="G60" s="197" t="s">
        <v>896</v>
      </c>
      <c r="H60" s="197" t="str">
        <f>IF(G60=0,"",_xlfn.XLOOKUP(G60,List_item!A:A,List_item!B:B))</f>
        <v>Karkas Uk 1.0 Karkas Uk 1.0 Frozen Grade A</v>
      </c>
      <c r="I60" s="197">
        <v>213</v>
      </c>
      <c r="J60" s="198">
        <f t="shared" si="4"/>
        <v>1.2062452925286413E-2</v>
      </c>
      <c r="K60" s="197">
        <f t="shared" si="0"/>
        <v>7455000</v>
      </c>
      <c r="L60" s="199">
        <f t="shared" si="16"/>
        <v>34653.112362819578</v>
      </c>
      <c r="M60" s="197">
        <f t="shared" si="2"/>
        <v>7381112.9332805704</v>
      </c>
      <c r="N60" s="197">
        <f t="shared" si="3"/>
        <v>346.88763718042173</v>
      </c>
      <c r="O60" s="197">
        <f t="shared" si="5"/>
        <v>73887.066719429567</v>
      </c>
      <c r="P60" s="197"/>
    </row>
    <row r="61" spans="1:16" s="196" customFormat="1" x14ac:dyDescent="0.35">
      <c r="A61" s="196" t="s">
        <v>3903</v>
      </c>
      <c r="B61" s="197">
        <f>_xlfn.IFNA(_xlfn.XLOOKUP(A61,'Price list'!A:A,'Price list'!E:E),0)</f>
        <v>35000</v>
      </c>
      <c r="C61" s="196" t="s">
        <v>9</v>
      </c>
      <c r="E61" s="197"/>
      <c r="F61" s="197"/>
      <c r="G61" s="197" t="s">
        <v>962</v>
      </c>
      <c r="H61" s="197" t="str">
        <f>IF(G61=0,"",_xlfn.XLOOKUP(G61,List_item!A:A,List_item!B:B))</f>
        <v>Karkas Uk 1.1 Karkas Uk 1.1 Frozen Grade A</v>
      </c>
      <c r="I61" s="197">
        <v>117.7</v>
      </c>
      <c r="J61" s="198">
        <f t="shared" si="4"/>
        <v>6.665496287822586E-3</v>
      </c>
      <c r="K61" s="197">
        <f t="shared" si="0"/>
        <v>4119500</v>
      </c>
      <c r="L61" s="199">
        <f t="shared" si="16"/>
        <v>34653.112362819586</v>
      </c>
      <c r="M61" s="197">
        <f t="shared" si="2"/>
        <v>4078671.3251038655</v>
      </c>
      <c r="N61" s="197">
        <f t="shared" si="3"/>
        <v>346.88763718041446</v>
      </c>
      <c r="O61" s="197">
        <f t="shared" si="5"/>
        <v>40828.674896134529</v>
      </c>
      <c r="P61" s="197"/>
    </row>
    <row r="62" spans="1:16" s="196" customFormat="1" x14ac:dyDescent="0.35">
      <c r="A62" s="196" t="s">
        <v>3904</v>
      </c>
      <c r="B62" s="197">
        <f>_xlfn.IFNA(_xlfn.XLOOKUP(A62,'Price list'!A:A,'Price list'!E:E),0)</f>
        <v>35000</v>
      </c>
      <c r="C62" s="196" t="s">
        <v>9</v>
      </c>
      <c r="E62" s="197"/>
      <c r="F62" s="197"/>
      <c r="G62" s="197" t="s">
        <v>1028</v>
      </c>
      <c r="H62" s="197" t="str">
        <f>IF(G62=0,"",_xlfn.XLOOKUP(G62,List_item!A:A,List_item!B:B))</f>
        <v>Karkas Uk 1.2 Karkas Uk 1.2 Frozen Grade A</v>
      </c>
      <c r="I62" s="197">
        <v>62.5</v>
      </c>
      <c r="J62" s="198">
        <f t="shared" si="4"/>
        <v>3.5394521494385017E-3</v>
      </c>
      <c r="K62" s="197">
        <f t="shared" si="0"/>
        <v>2187500</v>
      </c>
      <c r="L62" s="199">
        <f t="shared" si="16"/>
        <v>34653.112362819586</v>
      </c>
      <c r="M62" s="197">
        <f t="shared" si="2"/>
        <v>2165819.5226762239</v>
      </c>
      <c r="N62" s="197">
        <f t="shared" si="3"/>
        <v>346.88763718041446</v>
      </c>
      <c r="O62" s="197">
        <f t="shared" si="5"/>
        <v>21680.477323776111</v>
      </c>
      <c r="P62" s="197"/>
    </row>
    <row r="63" spans="1:16" s="196" customFormat="1" x14ac:dyDescent="0.35">
      <c r="A63" s="196" t="s">
        <v>3905</v>
      </c>
      <c r="B63" s="197">
        <f>_xlfn.IFNA(_xlfn.XLOOKUP(A63,'Price list'!A:A,'Price list'!E:E),0)</f>
        <v>35000</v>
      </c>
      <c r="C63" s="196" t="s">
        <v>9</v>
      </c>
      <c r="E63" s="197"/>
      <c r="F63" s="197"/>
      <c r="G63" s="197" t="s">
        <v>1094</v>
      </c>
      <c r="H63" s="197" t="str">
        <f>IF(G63=0,"",_xlfn.XLOOKUP(G63,List_item!A:A,List_item!B:B))</f>
        <v>Karkas Uk 1.3 Karkas Uk 1.3 Frozen Grade A</v>
      </c>
      <c r="I63" s="197">
        <v>27.6</v>
      </c>
      <c r="J63" s="198">
        <f t="shared" si="4"/>
        <v>1.5630220691920424E-3</v>
      </c>
      <c r="K63" s="197">
        <f t="shared" si="0"/>
        <v>966000</v>
      </c>
      <c r="L63" s="199">
        <f t="shared" si="16"/>
        <v>34653.112362819578</v>
      </c>
      <c r="M63" s="197">
        <f t="shared" si="2"/>
        <v>956425.90121382044</v>
      </c>
      <c r="N63" s="197">
        <f t="shared" si="3"/>
        <v>346.88763718042173</v>
      </c>
      <c r="O63" s="197">
        <f t="shared" si="5"/>
        <v>9574.0987861795584</v>
      </c>
      <c r="P63" s="197"/>
    </row>
    <row r="64" spans="1:16" s="196" customFormat="1" x14ac:dyDescent="0.35">
      <c r="A64" s="196" t="s">
        <v>3906</v>
      </c>
      <c r="B64" s="197">
        <f>_xlfn.IFNA(_xlfn.XLOOKUP(A64,'Price list'!A:A,'Price list'!E:E),0)</f>
        <v>35000</v>
      </c>
      <c r="C64" s="196" t="s">
        <v>9</v>
      </c>
      <c r="E64" s="197"/>
      <c r="F64" s="197"/>
      <c r="G64" s="197" t="s">
        <v>1160</v>
      </c>
      <c r="H64" s="197" t="str">
        <f>IF(G64=0,"",_xlfn.XLOOKUP(G64,List_item!A:A,List_item!B:B))</f>
        <v>Karkas Uk 1.4 Karkas Uk 1.4 Frozen Grade A</v>
      </c>
      <c r="I64" s="197">
        <v>10.199999999999999</v>
      </c>
      <c r="J64" s="198">
        <f t="shared" si="4"/>
        <v>5.7763859078836344E-4</v>
      </c>
      <c r="K64" s="197">
        <f t="shared" si="0"/>
        <v>357000</v>
      </c>
      <c r="L64" s="199">
        <f t="shared" si="16"/>
        <v>34653.112362819586</v>
      </c>
      <c r="M64" s="197">
        <f t="shared" si="2"/>
        <v>353461.74610075977</v>
      </c>
      <c r="N64" s="197">
        <f t="shared" si="3"/>
        <v>346.88763718041446</v>
      </c>
      <c r="O64" s="197">
        <f t="shared" si="5"/>
        <v>3538.253899240226</v>
      </c>
      <c r="P64" s="197"/>
    </row>
    <row r="65" spans="1:16" x14ac:dyDescent="0.35">
      <c r="A65" t="s">
        <v>3907</v>
      </c>
      <c r="B65" s="3">
        <f>_xlfn.IFNA(_xlfn.XLOOKUP(A65,'Price list'!A:A,'Price list'!E:E),0)</f>
        <v>35000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6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6" x14ac:dyDescent="0.35">
      <c r="A66" t="s">
        <v>3908</v>
      </c>
      <c r="B66" s="3">
        <f>_xlfn.IFNA(_xlfn.XLOOKUP(A66,'Price list'!A:A,'Price list'!E:E),0)</f>
        <v>35000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6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6" x14ac:dyDescent="0.35">
      <c r="A67" t="s">
        <v>3909</v>
      </c>
      <c r="B67" s="3">
        <f>_xlfn.IFNA(_xlfn.XLOOKUP(A67,'Price list'!A:A,'Price list'!E:E),0)</f>
        <v>35000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6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6" x14ac:dyDescent="0.35">
      <c r="A68" t="s">
        <v>3945</v>
      </c>
      <c r="B68" s="3">
        <f>_xlfn.IFNA(_xlfn.XLOOKUP(A68,'Price list'!A:A,'Price list'!E:E),0)</f>
        <v>35000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6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6" x14ac:dyDescent="0.35">
      <c r="A69" t="s">
        <v>3911</v>
      </c>
      <c r="B69" s="3">
        <f>_xlfn.IFNA(_xlfn.XLOOKUP(A69,'Price list'!A:A,'Price list'!E:E),0)</f>
        <v>35000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6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6" x14ac:dyDescent="0.35">
      <c r="A70" t="s">
        <v>3912</v>
      </c>
      <c r="B70" s="3">
        <f>_xlfn.IFNA(_xlfn.XLOOKUP(A70,'Price list'!A:A,'Price list'!E:E),0)</f>
        <v>35000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6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6" x14ac:dyDescent="0.35">
      <c r="A71" t="s">
        <v>3913</v>
      </c>
      <c r="B71" s="3">
        <f>_xlfn.IFNA(_xlfn.XLOOKUP(A71,'Price list'!A:A,'Price list'!E:E),0)</f>
        <v>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16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6" x14ac:dyDescent="0.35">
      <c r="A72" t="s">
        <v>3914</v>
      </c>
      <c r="B72" s="3">
        <f>_xlfn.IFNA(_xlfn.XLOOKUP(A72,'Price list'!A:A,'Price list'!E:E),0)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16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6" x14ac:dyDescent="0.35">
      <c r="A73" t="s">
        <v>3915</v>
      </c>
      <c r="B73" s="3">
        <f>_xlfn.IFNA(_xlfn.XLOOKUP(A73,'Price list'!A:A,'Price list'!E:E),0)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6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6" x14ac:dyDescent="0.35">
      <c r="A74" t="s">
        <v>3916</v>
      </c>
      <c r="B74" s="3">
        <f>_xlfn.IFNA(_xlfn.XLOOKUP(A74,'Price list'!A:A,'Price list'!E:E),0)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6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6" x14ac:dyDescent="0.35">
      <c r="A75" t="s">
        <v>3917</v>
      </c>
      <c r="B75" s="3">
        <f>_xlfn.IFNA(_xlfn.XLOOKUP(A75,'Price list'!A:A,'Price list'!E:E),0)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ref="L75:L82" si="17">IFERROR(((K75/SUM($K$11:$K$82))*$F$10)/(F75+I75),0)</f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6" x14ac:dyDescent="0.35">
      <c r="A76" t="s">
        <v>3918</v>
      </c>
      <c r="B76" s="3">
        <f>_xlfn.IFNA(_xlfn.XLOOKUP(A76,'Price list'!A:A,'Price list'!E:E),0)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si="0"/>
        <v>0</v>
      </c>
      <c r="L76" s="27">
        <f t="shared" si="17"/>
        <v>0</v>
      </c>
      <c r="M76" s="3">
        <f t="shared" si="2"/>
        <v>0</v>
      </c>
      <c r="N76" s="3">
        <f t="shared" si="3"/>
        <v>0</v>
      </c>
      <c r="O76" s="3">
        <f t="shared" si="5"/>
        <v>0</v>
      </c>
      <c r="P76" s="3"/>
    </row>
    <row r="77" spans="1:16" x14ac:dyDescent="0.35">
      <c r="A77" t="s">
        <v>3919</v>
      </c>
      <c r="B77" s="3">
        <f>_xlfn.IFNA(_xlfn.XLOOKUP(A77,'Price list'!A:A,'Price list'!E:E),0)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4"/>
        <v>0</v>
      </c>
      <c r="K77" s="3">
        <f t="shared" si="0"/>
        <v>0</v>
      </c>
      <c r="L77" s="27">
        <f t="shared" si="17"/>
        <v>0</v>
      </c>
      <c r="M77" s="3">
        <f t="shared" si="2"/>
        <v>0</v>
      </c>
      <c r="N77" s="3">
        <f t="shared" si="3"/>
        <v>0</v>
      </c>
      <c r="O77" s="3">
        <f t="shared" si="5"/>
        <v>0</v>
      </c>
      <c r="P77" s="3"/>
    </row>
    <row r="78" spans="1:16" x14ac:dyDescent="0.35">
      <c r="A78" t="s">
        <v>3920</v>
      </c>
      <c r="B78" s="3">
        <f>_xlfn.IFNA(_xlfn.XLOOKUP(A78,'Price list'!A:A,'Price list'!E:E),0)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4"/>
        <v>0</v>
      </c>
      <c r="K78" s="3">
        <f t="shared" ref="K78:K82" si="18">+B78*(F78+I78)</f>
        <v>0</v>
      </c>
      <c r="L78" s="27">
        <f t="shared" si="17"/>
        <v>0</v>
      </c>
      <c r="M78" s="3">
        <f t="shared" ref="M78:M82" si="19">+L78*(F78+I78)</f>
        <v>0</v>
      </c>
      <c r="N78" s="3">
        <f t="shared" ref="N78:N82" si="20">IF(L78=0,0,B78-L78)</f>
        <v>0</v>
      </c>
      <c r="O78" s="3">
        <f t="shared" si="5"/>
        <v>0</v>
      </c>
      <c r="P78" s="3"/>
    </row>
    <row r="79" spans="1:16" x14ac:dyDescent="0.35">
      <c r="A79" t="s">
        <v>3921</v>
      </c>
      <c r="B79" s="3">
        <f>_xlfn.IFNA(_xlfn.XLOOKUP(A79,'Price list'!A:A,'Price list'!E:E),0)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ref="J79:J82" si="21">IF(F79/J$5&gt;0,F79/J$5,I79/J$5)</f>
        <v>0</v>
      </c>
      <c r="K79" s="3">
        <f t="shared" si="18"/>
        <v>0</v>
      </c>
      <c r="L79" s="27">
        <f t="shared" si="17"/>
        <v>0</v>
      </c>
      <c r="M79" s="3">
        <f t="shared" si="19"/>
        <v>0</v>
      </c>
      <c r="N79" s="3">
        <f t="shared" si="20"/>
        <v>0</v>
      </c>
      <c r="O79" s="3">
        <f t="shared" ref="O79:O82" si="22">+K79-M79</f>
        <v>0</v>
      </c>
      <c r="P79" s="3"/>
    </row>
    <row r="80" spans="1:16" x14ac:dyDescent="0.35">
      <c r="A80" t="s">
        <v>3922</v>
      </c>
      <c r="B80" s="3">
        <f>_xlfn.IFNA(_xlfn.XLOOKUP(A80,'Price list'!A:A,'Price list'!E:E),0)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21"/>
        <v>0</v>
      </c>
      <c r="K80" s="3">
        <f t="shared" si="18"/>
        <v>0</v>
      </c>
      <c r="L80" s="27">
        <f t="shared" si="17"/>
        <v>0</v>
      </c>
      <c r="M80" s="3">
        <f t="shared" si="19"/>
        <v>0</v>
      </c>
      <c r="N80" s="3">
        <f t="shared" si="20"/>
        <v>0</v>
      </c>
      <c r="O80" s="3">
        <f t="shared" si="22"/>
        <v>0</v>
      </c>
      <c r="P80" s="3"/>
    </row>
    <row r="81" spans="1:18" x14ac:dyDescent="0.35">
      <c r="A81" t="s">
        <v>3923</v>
      </c>
      <c r="B81" s="3">
        <f>_xlfn.IFNA(_xlfn.XLOOKUP(A81,'Price list'!A:A,'Price list'!E:E),0)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21"/>
        <v>0</v>
      </c>
      <c r="K81" s="3">
        <f t="shared" si="18"/>
        <v>0</v>
      </c>
      <c r="L81" s="27">
        <f t="shared" si="17"/>
        <v>0</v>
      </c>
      <c r="M81" s="3">
        <f t="shared" si="19"/>
        <v>0</v>
      </c>
      <c r="N81" s="3">
        <f t="shared" si="20"/>
        <v>0</v>
      </c>
      <c r="O81" s="3">
        <f t="shared" si="22"/>
        <v>0</v>
      </c>
      <c r="P81" s="3"/>
    </row>
    <row r="82" spans="1:18" x14ac:dyDescent="0.35">
      <c r="A82" t="s">
        <v>3924</v>
      </c>
      <c r="B82" s="3">
        <f>_xlfn.IFNA(_xlfn.XLOOKUP(A82,'Price list'!A:A,'Price list'!E:E),0)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3">
        <v>0</v>
      </c>
      <c r="J82" s="26">
        <f t="shared" si="21"/>
        <v>0</v>
      </c>
      <c r="K82" s="3">
        <f t="shared" si="18"/>
        <v>0</v>
      </c>
      <c r="L82" s="27">
        <f t="shared" si="17"/>
        <v>0</v>
      </c>
      <c r="M82" s="3">
        <f t="shared" si="19"/>
        <v>0</v>
      </c>
      <c r="N82" s="3">
        <f t="shared" si="20"/>
        <v>0</v>
      </c>
      <c r="O82" s="3">
        <f t="shared" si="22"/>
        <v>0</v>
      </c>
      <c r="P82" s="3"/>
    </row>
    <row r="85" spans="1:18" s="2" customFormat="1" x14ac:dyDescent="0.35">
      <c r="A85" t="s">
        <v>3929</v>
      </c>
      <c r="B85"/>
      <c r="C85"/>
      <c r="D85"/>
      <c r="E85"/>
      <c r="F85" s="117"/>
      <c r="G85" t="s">
        <v>3930</v>
      </c>
      <c r="Q85"/>
      <c r="R85"/>
    </row>
    <row r="86" spans="1:18" s="2" customFormat="1" x14ac:dyDescent="0.35">
      <c r="A86"/>
      <c r="B86"/>
      <c r="C86"/>
      <c r="D86"/>
      <c r="E86"/>
      <c r="F86" s="117"/>
      <c r="G86"/>
      <c r="Q86"/>
      <c r="R86"/>
    </row>
    <row r="87" spans="1:18" s="2" customFormat="1" x14ac:dyDescent="0.35">
      <c r="A87"/>
      <c r="B87"/>
      <c r="C87"/>
      <c r="D87"/>
      <c r="E87"/>
      <c r="F87" s="117"/>
      <c r="G87"/>
      <c r="Q87"/>
      <c r="R87"/>
    </row>
    <row r="88" spans="1:18" s="2" customFormat="1" x14ac:dyDescent="0.35">
      <c r="A88"/>
      <c r="B88"/>
      <c r="C88"/>
      <c r="D88"/>
      <c r="E88"/>
      <c r="F88" s="117"/>
      <c r="G88"/>
      <c r="Q88"/>
      <c r="R88"/>
    </row>
    <row r="89" spans="1:18" s="2" customFormat="1" x14ac:dyDescent="0.35">
      <c r="A89"/>
      <c r="B89"/>
      <c r="C89"/>
      <c r="D89"/>
      <c r="E89"/>
      <c r="F89" s="117"/>
      <c r="G89"/>
      <c r="Q89"/>
      <c r="R89"/>
    </row>
    <row r="90" spans="1:18" s="2" customFormat="1" x14ac:dyDescent="0.35">
      <c r="A90"/>
      <c r="B90"/>
      <c r="C90"/>
      <c r="D90"/>
      <c r="E90"/>
      <c r="F90" s="117"/>
      <c r="G90"/>
      <c r="Q90"/>
      <c r="R90"/>
    </row>
    <row r="91" spans="1:18" s="2" customFormat="1" x14ac:dyDescent="0.35">
      <c r="A91" s="118"/>
      <c r="B91"/>
      <c r="C91"/>
      <c r="D91"/>
      <c r="E91"/>
      <c r="F91" s="117"/>
      <c r="G91" s="118"/>
      <c r="Q91"/>
      <c r="R91"/>
    </row>
    <row r="92" spans="1:18" s="2" customFormat="1" x14ac:dyDescent="0.35">
      <c r="A92"/>
      <c r="B92"/>
      <c r="C92"/>
      <c r="D92"/>
      <c r="E92"/>
      <c r="F92" s="117"/>
      <c r="G92"/>
      <c r="Q92"/>
      <c r="R92"/>
    </row>
  </sheetData>
  <autoFilter ref="A10:P82" xr:uid="{9E3D57EB-0D9F-40FE-B4FE-C94EEFF00F8F}"/>
  <conditionalFormatting sqref="O10">
    <cfRule type="cellIs" dxfId="6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8CC7-763C-4356-9BBB-3D5E19739AD8}">
  <sheetPr>
    <tabColor theme="3"/>
    <pageSetUpPr fitToPage="1"/>
  </sheetPr>
  <dimension ref="A1:R92"/>
  <sheetViews>
    <sheetView view="pageBreakPreview" zoomScale="60" zoomScaleNormal="80" workbookViewId="0">
      <pane xSplit="3" ySplit="9" topLeftCell="D31" activePane="bottomRight" state="frozen"/>
      <selection activeCell="A751" sqref="A751"/>
      <selection pane="topRight" activeCell="A751" sqref="A751"/>
      <selection pane="bottomLeft" activeCell="A751" sqref="A751"/>
      <selection pane="bottomRight" activeCell="P71" sqref="P71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2.269531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0.41794999999999988</v>
      </c>
    </row>
    <row r="2" spans="1:18" x14ac:dyDescent="0.35">
      <c r="A2" s="18" t="s">
        <v>3865</v>
      </c>
      <c r="F2" s="159">
        <v>46273</v>
      </c>
      <c r="G2" s="19" t="s">
        <v>3943</v>
      </c>
    </row>
    <row r="3" spans="1:18" x14ac:dyDescent="0.35">
      <c r="A3" s="101" t="s">
        <v>3866</v>
      </c>
      <c r="B3" s="2">
        <v>83000000</v>
      </c>
      <c r="C3" s="6">
        <f>B3*0.25%</f>
        <v>207500</v>
      </c>
      <c r="F3" s="157" t="s">
        <v>4100</v>
      </c>
      <c r="G3" s="156" t="s">
        <v>4025</v>
      </c>
      <c r="H3" s="2" t="s">
        <v>4102</v>
      </c>
      <c r="I3" s="101" t="s">
        <v>3870</v>
      </c>
      <c r="J3" s="2" t="s">
        <v>3950</v>
      </c>
      <c r="Q3" s="25"/>
      <c r="R3" s="2"/>
    </row>
    <row r="4" spans="1:18" x14ac:dyDescent="0.35">
      <c r="A4" s="101" t="s">
        <v>3867</v>
      </c>
      <c r="B4" s="2">
        <v>3000000</v>
      </c>
      <c r="F4" s="157" t="s">
        <v>4101</v>
      </c>
      <c r="H4" s="157" t="s">
        <v>3991</v>
      </c>
      <c r="I4" s="101" t="s">
        <v>3872</v>
      </c>
      <c r="J4" s="115">
        <v>46274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4653257</v>
      </c>
      <c r="C5" s="2">
        <v>5165120</v>
      </c>
      <c r="F5" s="157"/>
      <c r="G5" s="157" t="s">
        <v>4104</v>
      </c>
      <c r="H5" s="157" t="s">
        <v>3992</v>
      </c>
      <c r="I5" s="101" t="s">
        <v>3944</v>
      </c>
      <c r="J5" s="19">
        <v>3320</v>
      </c>
      <c r="K5" s="2">
        <v>3228.2</v>
      </c>
      <c r="L5" s="2">
        <f>J5-K5</f>
        <v>91.800000000000182</v>
      </c>
      <c r="M5" s="147">
        <f>L5/J5</f>
        <v>2.7650602409638608E-2</v>
      </c>
    </row>
    <row r="6" spans="1:18" x14ac:dyDescent="0.35">
      <c r="A6" s="102" t="s">
        <v>3869</v>
      </c>
      <c r="B6" s="19">
        <f>SUM(B3:B5)</f>
        <v>90653257</v>
      </c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I8" s="2">
        <f>I10+158</f>
        <v>2925.6499999999992</v>
      </c>
      <c r="K8" s="19" t="s">
        <v>3931</v>
      </c>
      <c r="L8" s="28">
        <f>SUM(K11:K68)/M10-1</f>
        <v>4.2837600418482058E-2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90653257</v>
      </c>
      <c r="G10" s="5"/>
      <c r="H10" s="5"/>
      <c r="I10" s="5">
        <f>SUM(I11:I82)</f>
        <v>2767.6499999999992</v>
      </c>
      <c r="J10" s="111">
        <f>SUM(J11:J82)</f>
        <v>0.83362951807228913</v>
      </c>
      <c r="K10" s="5">
        <f>+SUM(K11:K82)</f>
        <v>94536625</v>
      </c>
      <c r="L10" s="5"/>
      <c r="M10" s="5">
        <f>+SUM(M11:M82)</f>
        <v>90653257.00000003</v>
      </c>
      <c r="N10" s="5"/>
      <c r="O10" s="5">
        <f>+SUM(O11:O82)</f>
        <v>3883368</v>
      </c>
    </row>
    <row r="11" spans="1:18" x14ac:dyDescent="0.35">
      <c r="A11" t="s">
        <v>3873</v>
      </c>
      <c r="B11" s="3">
        <f>_xlfn.IFNA(_xlfn.XLOOKUP(A11,'Price list'!A:A,'Price list'!E:E),0)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77" si="0">+B11*(F11+I11)</f>
        <v>0</v>
      </c>
      <c r="L11" s="27">
        <f t="shared" ref="L11:L77" si="1">IFERROR(((K11/SUM($K$11:$K$82))*$F$10)/(F11+I11),0)</f>
        <v>0</v>
      </c>
      <c r="M11" s="3">
        <f t="shared" ref="M11:M77" si="2">+L11*(F11+I11)</f>
        <v>0</v>
      </c>
      <c r="N11" s="3">
        <f t="shared" ref="N11:N77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list'!A:A,'Price list'!E:E),0)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78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78" si="5">+K12-M12</f>
        <v>0</v>
      </c>
      <c r="P12" s="3"/>
      <c r="R12" s="3"/>
    </row>
    <row r="13" spans="1:18" x14ac:dyDescent="0.35">
      <c r="A13" t="s">
        <v>3875</v>
      </c>
      <c r="B13" s="3">
        <f>_xlfn.IFNA(_xlfn.XLOOKUP(A13,'Price list'!A:A,'Price list'!E:E),0)</f>
        <v>36500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si="4"/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si="5"/>
        <v>0</v>
      </c>
      <c r="P13" s="3"/>
    </row>
    <row r="14" spans="1:18" s="196" customFormat="1" x14ac:dyDescent="0.35">
      <c r="A14" s="196" t="s">
        <v>3876</v>
      </c>
      <c r="B14" s="197">
        <f>_xlfn.IFNA(_xlfn.XLOOKUP(A14,'Price list'!A:A,'Price list'!E:E),0)</f>
        <v>36500</v>
      </c>
      <c r="C14" s="196" t="s">
        <v>9</v>
      </c>
      <c r="E14" s="197"/>
      <c r="F14" s="197"/>
      <c r="G14" s="197" t="s">
        <v>2220</v>
      </c>
      <c r="H14" s="197" t="str">
        <f>IF(G14=0,"",_xlfn.XLOOKUP(G14,List_item!A:A,List_item!B:B))</f>
        <v>Karkas Uk 0.6 Karkas Uk 0.6 Frozen Premium</v>
      </c>
      <c r="I14" s="197">
        <v>2</v>
      </c>
      <c r="J14" s="198">
        <f t="shared" si="4"/>
        <v>6.0240963855421692E-4</v>
      </c>
      <c r="K14" s="197">
        <f t="shared" si="0"/>
        <v>73000</v>
      </c>
      <c r="L14" s="199">
        <f t="shared" si="1"/>
        <v>35000.655888656911</v>
      </c>
      <c r="M14" s="197">
        <f t="shared" si="2"/>
        <v>70001.311777313822</v>
      </c>
      <c r="N14" s="197">
        <f t="shared" si="3"/>
        <v>1499.344111343089</v>
      </c>
      <c r="O14" s="197">
        <f t="shared" si="5"/>
        <v>2998.6882226861781</v>
      </c>
      <c r="P14" s="197"/>
    </row>
    <row r="15" spans="1:18" s="196" customFormat="1" x14ac:dyDescent="0.35">
      <c r="A15" s="196" t="s">
        <v>3877</v>
      </c>
      <c r="B15" s="197">
        <f>_xlfn.IFNA(_xlfn.XLOOKUP(A15,'Price list'!A:A,'Price list'!E:E),0)</f>
        <v>36500</v>
      </c>
      <c r="C15" s="196" t="s">
        <v>9</v>
      </c>
      <c r="G15" s="197" t="s">
        <v>2221</v>
      </c>
      <c r="H15" s="197" t="str">
        <f>IF(G15=0,"",_xlfn.XLOOKUP(G15,List_item!A:A,List_item!B:B))</f>
        <v>Karkas Uk 0.7 Karkas Uk 0.7 Frozen Premium</v>
      </c>
      <c r="I15" s="197">
        <v>4.5</v>
      </c>
      <c r="J15" s="198">
        <f t="shared" si="4"/>
        <v>1.3554216867469879E-3</v>
      </c>
      <c r="K15" s="197">
        <f t="shared" si="0"/>
        <v>164250</v>
      </c>
      <c r="L15" s="199">
        <f t="shared" si="1"/>
        <v>35000.655888656911</v>
      </c>
      <c r="M15" s="197">
        <f t="shared" si="2"/>
        <v>157502.9514989561</v>
      </c>
      <c r="N15" s="197">
        <f t="shared" si="3"/>
        <v>1499.344111343089</v>
      </c>
      <c r="O15" s="197">
        <f t="shared" si="5"/>
        <v>6747.0485010439006</v>
      </c>
      <c r="P15" s="197"/>
    </row>
    <row r="16" spans="1:18" s="196" customFormat="1" x14ac:dyDescent="0.35">
      <c r="A16" s="196" t="s">
        <v>3878</v>
      </c>
      <c r="B16" s="197">
        <f>_xlfn.IFNA(_xlfn.XLOOKUP(A16,'Price list'!A:A,'Price list'!E:E),0)</f>
        <v>36500</v>
      </c>
      <c r="C16" s="196" t="s">
        <v>9</v>
      </c>
      <c r="E16" s="197"/>
      <c r="G16" s="197" t="s">
        <v>2222</v>
      </c>
      <c r="H16" s="197" t="str">
        <f>IF(G16=0,"",_xlfn.XLOOKUP(G16,List_item!A:A,List_item!B:B))</f>
        <v>Karkas Uk 0.8 Frozen Premium</v>
      </c>
      <c r="I16" s="197">
        <v>60.7</v>
      </c>
      <c r="J16" s="198">
        <f t="shared" si="4"/>
        <v>1.8283132530120483E-2</v>
      </c>
      <c r="K16" s="197">
        <f t="shared" si="0"/>
        <v>2215550</v>
      </c>
      <c r="L16" s="199">
        <f t="shared" si="1"/>
        <v>35000.655888656904</v>
      </c>
      <c r="M16" s="197">
        <f t="shared" si="2"/>
        <v>2124539.8124414743</v>
      </c>
      <c r="N16" s="197">
        <f t="shared" si="3"/>
        <v>1499.3441113430963</v>
      </c>
      <c r="O16" s="197">
        <f t="shared" si="5"/>
        <v>91010.187558525708</v>
      </c>
      <c r="P16" s="197"/>
    </row>
    <row r="17" spans="1:16" s="196" customFormat="1" x14ac:dyDescent="0.35">
      <c r="A17" s="196" t="s">
        <v>3879</v>
      </c>
      <c r="B17" s="197">
        <f>_xlfn.IFNA(_xlfn.XLOOKUP(A17,'Price list'!A:A,'Price list'!E:E),0)</f>
        <v>36500</v>
      </c>
      <c r="C17" s="196" t="s">
        <v>9</v>
      </c>
      <c r="E17" s="200"/>
      <c r="G17" s="197" t="s">
        <v>2223</v>
      </c>
      <c r="H17" s="197" t="str">
        <f>IF(G17=0,"",_xlfn.XLOOKUP(G17,List_item!A:A,List_item!B:B))</f>
        <v>Karkas Uk 0.9 Frozen Premium</v>
      </c>
      <c r="I17" s="197">
        <v>124.8</v>
      </c>
      <c r="J17" s="198">
        <f t="shared" si="4"/>
        <v>3.7590361445783128E-2</v>
      </c>
      <c r="K17" s="197">
        <f t="shared" si="0"/>
        <v>4555200</v>
      </c>
      <c r="L17" s="199">
        <f t="shared" si="1"/>
        <v>35000.655888656911</v>
      </c>
      <c r="M17" s="197">
        <f t="shared" si="2"/>
        <v>4368081.8549043825</v>
      </c>
      <c r="N17" s="197">
        <f t="shared" si="3"/>
        <v>1499.344111343089</v>
      </c>
      <c r="O17" s="197">
        <f t="shared" si="5"/>
        <v>187118.14509561751</v>
      </c>
      <c r="P17" s="197"/>
    </row>
    <row r="18" spans="1:16" s="196" customFormat="1" x14ac:dyDescent="0.35">
      <c r="A18" s="196" t="s">
        <v>3879</v>
      </c>
      <c r="B18" s="197">
        <f>_xlfn.IFNA(_xlfn.XLOOKUP(A18,'Price list'!A:A,'Price list'!E:E),0)</f>
        <v>36500</v>
      </c>
      <c r="C18" s="196" t="s">
        <v>9</v>
      </c>
      <c r="E18" s="200"/>
      <c r="G18" s="197" t="s">
        <v>826</v>
      </c>
      <c r="H18" s="197" t="str">
        <f>IF(G18=0,"",_xlfn.XLOOKUP(G18,List_item!A:A,List_item!B:B))</f>
        <v>Karkas Uk 0.9 Karkas Uk 0.9 Fresh Premium</v>
      </c>
      <c r="I18" s="197">
        <v>289.7</v>
      </c>
      <c r="J18" s="198">
        <f t="shared" ref="J18" si="6">IF(F18/J$5&gt;0,F18/J$5,I18/J$5)</f>
        <v>8.7259036144578306E-2</v>
      </c>
      <c r="K18" s="197">
        <f t="shared" ref="K18" si="7">+B18*(F18+I18)</f>
        <v>10574050</v>
      </c>
      <c r="L18" s="199">
        <f t="shared" ref="L18" si="8">IFERROR(((K18/SUM($K$11:$K$82))*$F$10)/(F18+I18),0)</f>
        <v>35000.655888656911</v>
      </c>
      <c r="M18" s="197">
        <f t="shared" ref="M18" si="9">+L18*(F18+I18)</f>
        <v>10139690.010943906</v>
      </c>
      <c r="N18" s="197">
        <f t="shared" ref="N18" si="10">IF(L18=0,0,B18-L18)</f>
        <v>1499.344111343089</v>
      </c>
      <c r="O18" s="197">
        <f t="shared" ref="O18" si="11">+K18-M18</f>
        <v>434359.98905609362</v>
      </c>
      <c r="P18" s="197"/>
    </row>
    <row r="19" spans="1:16" s="196" customFormat="1" x14ac:dyDescent="0.35">
      <c r="A19" s="196" t="s">
        <v>3880</v>
      </c>
      <c r="B19" s="197">
        <f>_xlfn.IFNA(_xlfn.XLOOKUP(A19,'Price list'!A:A,'Price list'!E:E),0)</f>
        <v>36500</v>
      </c>
      <c r="C19" s="196" t="s">
        <v>9</v>
      </c>
      <c r="E19" s="197"/>
      <c r="F19" s="197"/>
      <c r="G19" s="197" t="s">
        <v>923</v>
      </c>
      <c r="H19" s="197" t="str">
        <f>IF(G19=0,"",_xlfn.XLOOKUP(G19,List_item!A:A,List_item!B:B))</f>
        <v>Karkas Uk 1.0 Karkas Uk 1.0 Frozen Premium</v>
      </c>
      <c r="I19" s="197">
        <v>198.9</v>
      </c>
      <c r="J19" s="198">
        <f t="shared" si="4"/>
        <v>5.9909638554216868E-2</v>
      </c>
      <c r="K19" s="197">
        <f t="shared" si="0"/>
        <v>7259850</v>
      </c>
      <c r="L19" s="199">
        <f t="shared" si="1"/>
        <v>35000.655888656911</v>
      </c>
      <c r="M19" s="197">
        <f t="shared" si="2"/>
        <v>6961630.4562538601</v>
      </c>
      <c r="N19" s="197">
        <f t="shared" si="3"/>
        <v>1499.344111343089</v>
      </c>
      <c r="O19" s="197">
        <f t="shared" si="5"/>
        <v>298219.54374613985</v>
      </c>
      <c r="P19" s="197"/>
    </row>
    <row r="20" spans="1:16" s="196" customFormat="1" x14ac:dyDescent="0.35">
      <c r="A20" s="196" t="s">
        <v>3880</v>
      </c>
      <c r="B20" s="197">
        <f>_xlfn.IFNA(_xlfn.XLOOKUP(A20,'Price list'!A:A,'Price list'!E:E),0)</f>
        <v>36500</v>
      </c>
      <c r="C20" s="196" t="s">
        <v>9</v>
      </c>
      <c r="E20" s="197"/>
      <c r="F20" s="197"/>
      <c r="G20" s="197" t="s">
        <v>891</v>
      </c>
      <c r="H20" s="197" t="str">
        <f>IF(G20=0,"",_xlfn.XLOOKUP(G20,List_item!A:A,List_item!B:B))</f>
        <v>Karkas Uk 1.0 Karkas Uk 1.0 Fresh Premium</v>
      </c>
      <c r="I20" s="197">
        <v>158.4</v>
      </c>
      <c r="J20" s="198">
        <f t="shared" ref="J20" si="12">IF(F20/J$5&gt;0,F20/J$5,I20/J$5)</f>
        <v>4.7710843373493975E-2</v>
      </c>
      <c r="K20" s="197">
        <f t="shared" ref="K20" si="13">+B20*(F20+I20)</f>
        <v>5781600</v>
      </c>
      <c r="L20" s="199">
        <f t="shared" ref="L20" si="14">IFERROR(((K20/SUM($K$11:$K$82))*$F$10)/(F20+I20),0)</f>
        <v>35000.655888656904</v>
      </c>
      <c r="M20" s="197">
        <f t="shared" ref="M20" si="15">+L20*(F20+I20)</f>
        <v>5544103.8927632533</v>
      </c>
      <c r="N20" s="197">
        <f t="shared" ref="N20" si="16">IF(L20=0,0,B20-L20)</f>
        <v>1499.3441113430963</v>
      </c>
      <c r="O20" s="197">
        <f t="shared" ref="O20" si="17">+K20-M20</f>
        <v>237496.1072367467</v>
      </c>
      <c r="P20" s="197"/>
    </row>
    <row r="21" spans="1:16" s="196" customFormat="1" x14ac:dyDescent="0.35">
      <c r="A21" s="196" t="s">
        <v>3881</v>
      </c>
      <c r="B21" s="197">
        <f>_xlfn.IFNA(_xlfn.XLOOKUP(A21,'Price list'!A:A,'Price list'!E:E),0)</f>
        <v>36500</v>
      </c>
      <c r="C21" s="196" t="s">
        <v>9</v>
      </c>
      <c r="E21" s="197"/>
      <c r="F21" s="197"/>
      <c r="G21" s="197" t="s">
        <v>989</v>
      </c>
      <c r="H21" s="197" t="str">
        <f>IF(G21=0,"",_xlfn.XLOOKUP(G21,List_item!A:A,List_item!B:B))</f>
        <v>Karkas Uk 1.1 Karkas Uk 1.1 Frozen Premium</v>
      </c>
      <c r="I21" s="197">
        <v>201.6</v>
      </c>
      <c r="J21" s="198">
        <f t="shared" si="4"/>
        <v>6.0722891566265057E-2</v>
      </c>
      <c r="K21" s="197">
        <f t="shared" si="0"/>
        <v>7358400</v>
      </c>
      <c r="L21" s="199">
        <f t="shared" si="1"/>
        <v>35000.655888656911</v>
      </c>
      <c r="M21" s="197">
        <f t="shared" si="2"/>
        <v>7056132.2271532333</v>
      </c>
      <c r="N21" s="197">
        <f t="shared" si="3"/>
        <v>1499.344111343089</v>
      </c>
      <c r="O21" s="197">
        <f t="shared" si="5"/>
        <v>302267.77284676675</v>
      </c>
      <c r="P21" s="197"/>
    </row>
    <row r="22" spans="1:16" s="196" customFormat="1" x14ac:dyDescent="0.35">
      <c r="A22" s="196" t="s">
        <v>3881</v>
      </c>
      <c r="B22" s="197">
        <f>_xlfn.IFNA(_xlfn.XLOOKUP(A22,'Price list'!A:A,'Price list'!E:E),0)</f>
        <v>36500</v>
      </c>
      <c r="C22" s="196" t="s">
        <v>9</v>
      </c>
      <c r="E22" s="197"/>
      <c r="F22" s="197"/>
      <c r="G22" s="197" t="s">
        <v>957</v>
      </c>
      <c r="H22" s="197" t="str">
        <f>IF(G22=0,"",_xlfn.XLOOKUP(G22,List_item!A:A,List_item!B:B))</f>
        <v>Karkas Uk 1.1 Karkas Uk 1.1 Fresh Premium</v>
      </c>
      <c r="I22" s="197">
        <v>557.54999999999995</v>
      </c>
      <c r="J22" s="198">
        <f t="shared" ref="J22" si="18">IF(F22/J$5&gt;0,F22/J$5,I22/J$5)</f>
        <v>0.1679367469879518</v>
      </c>
      <c r="K22" s="197">
        <f t="shared" ref="K22" si="19">+B22*(F22+I22)</f>
        <v>20350575</v>
      </c>
      <c r="L22" s="199">
        <f t="shared" ref="L22" si="20">IFERROR(((K22/SUM($K$11:$K$82))*$F$10)/(F22+I22),0)</f>
        <v>35000.655888656911</v>
      </c>
      <c r="M22" s="197">
        <f t="shared" ref="M22" si="21">+L22*(F22+I22)</f>
        <v>19514615.690720659</v>
      </c>
      <c r="N22" s="197">
        <f t="shared" ref="N22" si="22">IF(L22=0,0,B22-L22)</f>
        <v>1499.344111343089</v>
      </c>
      <c r="O22" s="197">
        <f t="shared" ref="O22" si="23">+K22-M22</f>
        <v>835959.30927934125</v>
      </c>
      <c r="P22" s="197"/>
    </row>
    <row r="23" spans="1:16" s="196" customFormat="1" x14ac:dyDescent="0.35">
      <c r="A23" s="196" t="s">
        <v>3882</v>
      </c>
      <c r="B23" s="197">
        <f>_xlfn.IFNA(_xlfn.XLOOKUP(A23,'Price list'!A:A,'Price list'!E:E),0)</f>
        <v>36500</v>
      </c>
      <c r="C23" s="196" t="s">
        <v>9</v>
      </c>
      <c r="E23" s="197"/>
      <c r="F23" s="197"/>
      <c r="G23" s="197" t="s">
        <v>1055</v>
      </c>
      <c r="H23" s="197" t="str">
        <f>IF(G23=0,"",_xlfn.XLOOKUP(G23,List_item!A:A,List_item!B:B))</f>
        <v>Karkas Uk 1.2 Karkas Uk 1.2 Frozen Premium</v>
      </c>
      <c r="I23" s="197">
        <v>332.9</v>
      </c>
      <c r="J23" s="198">
        <f t="shared" si="4"/>
        <v>0.10027108433734939</v>
      </c>
      <c r="K23" s="197">
        <f t="shared" si="0"/>
        <v>12150850</v>
      </c>
      <c r="L23" s="199">
        <f t="shared" si="1"/>
        <v>35000.655888656911</v>
      </c>
      <c r="M23" s="197">
        <f t="shared" si="2"/>
        <v>11651718.345333885</v>
      </c>
      <c r="N23" s="197">
        <f t="shared" si="3"/>
        <v>1499.344111343089</v>
      </c>
      <c r="O23" s="197">
        <f t="shared" si="5"/>
        <v>499131.6546661146</v>
      </c>
      <c r="P23" s="197"/>
    </row>
    <row r="24" spans="1:16" s="196" customFormat="1" x14ac:dyDescent="0.35">
      <c r="A24" s="196" t="s">
        <v>3883</v>
      </c>
      <c r="B24" s="197">
        <f>_xlfn.IFNA(_xlfn.XLOOKUP(A24,'Price list'!A:A,'Price list'!E:E),0)</f>
        <v>36500</v>
      </c>
      <c r="C24" s="196" t="s">
        <v>9</v>
      </c>
      <c r="E24" s="197"/>
      <c r="F24" s="197"/>
      <c r="G24" s="197" t="s">
        <v>1121</v>
      </c>
      <c r="H24" s="197" t="str">
        <f>IF(G24=0,"",_xlfn.XLOOKUP(G24,List_item!A:A,List_item!B:B))</f>
        <v>Karkas Uk 1.3 Karkas Uk 1.3 Frozen Premium</v>
      </c>
      <c r="I24" s="197">
        <v>72.599999999999994</v>
      </c>
      <c r="J24" s="198">
        <f t="shared" si="4"/>
        <v>2.186746987951807E-2</v>
      </c>
      <c r="K24" s="197">
        <f t="shared" si="0"/>
        <v>2649900</v>
      </c>
      <c r="L24" s="199">
        <f t="shared" si="1"/>
        <v>35000.655888656911</v>
      </c>
      <c r="M24" s="197">
        <f t="shared" si="2"/>
        <v>2541047.6175164916</v>
      </c>
      <c r="N24" s="197">
        <f t="shared" si="3"/>
        <v>1499.344111343089</v>
      </c>
      <c r="O24" s="197">
        <f t="shared" si="5"/>
        <v>108852.38248350844</v>
      </c>
      <c r="P24" s="197"/>
    </row>
    <row r="25" spans="1:16" s="196" customFormat="1" x14ac:dyDescent="0.35">
      <c r="A25" s="196" t="s">
        <v>3884</v>
      </c>
      <c r="B25" s="197">
        <f>_xlfn.IFNA(_xlfn.XLOOKUP(A25,'Price list'!A:A,'Price list'!E:E),0)</f>
        <v>36500</v>
      </c>
      <c r="C25" s="196" t="s">
        <v>9</v>
      </c>
      <c r="E25" s="197"/>
      <c r="F25" s="197"/>
      <c r="G25" s="197" t="s">
        <v>1187</v>
      </c>
      <c r="H25" s="197" t="str">
        <f>IF(G25=0,"",_xlfn.XLOOKUP(G25,List_item!A:A,List_item!B:B))</f>
        <v>Karkas Uk 1.4 Karkas Uk 1.4 Frozen Premium</v>
      </c>
      <c r="I25" s="197">
        <v>11.6</v>
      </c>
      <c r="J25" s="198">
        <f t="shared" si="4"/>
        <v>3.4939759036144579E-3</v>
      </c>
      <c r="K25" s="197">
        <f t="shared" si="0"/>
        <v>423400</v>
      </c>
      <c r="L25" s="199">
        <f t="shared" si="1"/>
        <v>35000.655888656904</v>
      </c>
      <c r="M25" s="197">
        <f t="shared" si="2"/>
        <v>406007.60830842005</v>
      </c>
      <c r="N25" s="197">
        <f t="shared" si="3"/>
        <v>1499.3441113430963</v>
      </c>
      <c r="O25" s="197">
        <f t="shared" si="5"/>
        <v>17392.391691579949</v>
      </c>
      <c r="P25" s="197"/>
    </row>
    <row r="26" spans="1:16" x14ac:dyDescent="0.35">
      <c r="A26" t="s">
        <v>3849</v>
      </c>
      <c r="B26" s="3">
        <f>_xlfn.IFNA(_xlfn.XLOOKUP(A26,'Price list'!A:A,'Price list'!E:E),0)</f>
        <v>36500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3">
        <v>0</v>
      </c>
      <c r="J26" s="26">
        <f t="shared" si="4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6" x14ac:dyDescent="0.35">
      <c r="A27" t="s">
        <v>3885</v>
      </c>
      <c r="B27" s="3">
        <f>_xlfn.IFNA(_xlfn.XLOOKUP(A27,'Price list'!A:A,'Price list'!E:E),0)</f>
        <v>36500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6" x14ac:dyDescent="0.35">
      <c r="A28" t="s">
        <v>3886</v>
      </c>
      <c r="B28" s="3">
        <f>_xlfn.IFNA(_xlfn.XLOOKUP(A28,'Price list'!A:A,'Price list'!E:E),0)</f>
        <v>36500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6" x14ac:dyDescent="0.35">
      <c r="A29" t="s">
        <v>3887</v>
      </c>
      <c r="B29" s="3">
        <f>_xlfn.IFNA(_xlfn.XLOOKUP(A29,'Price list'!A:A,'Price list'!E:E),0)</f>
        <v>36500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3888</v>
      </c>
      <c r="B30" s="3">
        <f>_xlfn.IFNA(_xlfn.XLOOKUP(A30,'Price list'!A:A,'Price list'!E:E),0)</f>
        <v>36500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3889</v>
      </c>
      <c r="B31" s="3">
        <f>_xlfn.IFNA(_xlfn.XLOOKUP(A31,'Price list'!A:A,'Price list'!E:E),0)</f>
        <v>36500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3890</v>
      </c>
      <c r="B32" s="3">
        <f>_xlfn.IFNA(_xlfn.XLOOKUP(A32,'Price list'!A:A,'Price list'!E:E),0)</f>
        <v>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8</v>
      </c>
      <c r="B33" s="3">
        <f>_xlfn.IFNA(_xlfn.XLOOKUP(A33,'Price list'!A:A,'Price list'!E:E),0)</f>
        <v>50000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10</v>
      </c>
      <c r="B34" s="3">
        <f>_xlfn.IFNA(_xlfn.XLOOKUP(A34,'Price list'!A:A,'Price list'!E:E),0)</f>
        <v>48000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12</v>
      </c>
      <c r="B35" s="3">
        <f>_xlfn.IFNA(_xlfn.XLOOKUP(A35,'Price list'!A:A,'Price list'!E:E),0)</f>
        <v>49000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2159</v>
      </c>
      <c r="B36" s="3">
        <f>_xlfn.IFNA(_xlfn.XLOOKUP(A36,'Price list'!A:A,'Price list'!E:E),0)</f>
        <v>5500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3891</v>
      </c>
      <c r="B37" s="3">
        <f>_xlfn.IFNA(_xlfn.XLOOKUP(A37,'Price list'!A:A,'Price list'!E:E),0)</f>
        <v>20000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3892</v>
      </c>
      <c r="B38" s="3">
        <f>_xlfn.IFNA(_xlfn.XLOOKUP(A38,'Price list'!A:A,'Price list'!E:E),0)</f>
        <v>22000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x14ac:dyDescent="0.35">
      <c r="A39" t="s">
        <v>3852</v>
      </c>
      <c r="B39" s="3">
        <f>_xlfn.IFNA(_xlfn.XLOOKUP(A39,'Price list'!A:A,'Price list'!E:E),0)</f>
        <v>18000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si="1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6" x14ac:dyDescent="0.35">
      <c r="A40" t="s">
        <v>17</v>
      </c>
      <c r="B40" s="3">
        <f>_xlfn.IFNA(_xlfn.XLOOKUP(A40,'Price list'!A:A,'Price list'!E:E),0)</f>
        <v>3500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1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6" x14ac:dyDescent="0.35">
      <c r="A41" t="s">
        <v>2199</v>
      </c>
      <c r="B41" s="3">
        <f>_xlfn.IFNA(_xlfn.XLOOKUP(A41,'Price list'!A:A,'Price list'!E:E),0)</f>
        <v>38000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3">
        <v>0</v>
      </c>
      <c r="J41" s="26">
        <f t="shared" si="4"/>
        <v>0</v>
      </c>
      <c r="K41" s="3">
        <f t="shared" si="0"/>
        <v>0</v>
      </c>
      <c r="L41" s="27">
        <f t="shared" si="1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6" s="196" customFormat="1" x14ac:dyDescent="0.35">
      <c r="A42" s="196" t="s">
        <v>2161</v>
      </c>
      <c r="B42" s="197">
        <f>_xlfn.IFNA(_xlfn.XLOOKUP(A42,'Price list'!A:A,'Price list'!E:E),0)</f>
        <v>18000</v>
      </c>
      <c r="C42" s="196" t="s">
        <v>9</v>
      </c>
      <c r="E42" s="197"/>
      <c r="F42" s="197"/>
      <c r="G42" s="197" t="s">
        <v>19</v>
      </c>
      <c r="H42" s="197" t="str">
        <f>IF(G42=0,"",_xlfn.XLOOKUP(G42,List_item!A:A,List_item!B:B))</f>
        <v>Boneless BL Frozen Lemak</v>
      </c>
      <c r="I42" s="197">
        <v>15.8</v>
      </c>
      <c r="J42" s="198">
        <f t="shared" si="4"/>
        <v>4.7590361445783132E-3</v>
      </c>
      <c r="K42" s="197">
        <f t="shared" si="0"/>
        <v>284400</v>
      </c>
      <c r="L42" s="199">
        <f t="shared" si="1"/>
        <v>17260.597424543132</v>
      </c>
      <c r="M42" s="197">
        <f t="shared" si="2"/>
        <v>272717.43930778152</v>
      </c>
      <c r="N42" s="197">
        <f t="shared" si="3"/>
        <v>739.40257545686836</v>
      </c>
      <c r="O42" s="197">
        <f t="shared" si="5"/>
        <v>11682.560692218482</v>
      </c>
      <c r="P42" s="197"/>
    </row>
    <row r="43" spans="1:16" s="196" customFormat="1" x14ac:dyDescent="0.35">
      <c r="A43" s="196" t="s">
        <v>2162</v>
      </c>
      <c r="B43" s="197">
        <f>_xlfn.IFNA(_xlfn.XLOOKUP(A43,'Price list'!A:A,'Price list'!E:E),0)</f>
        <v>8000</v>
      </c>
      <c r="C43" s="196" t="s">
        <v>9</v>
      </c>
      <c r="E43" s="197"/>
      <c r="F43" s="197"/>
      <c r="G43" s="197" t="s">
        <v>310</v>
      </c>
      <c r="H43" s="197" t="str">
        <f>IF(G43=0,"",_xlfn.XLOOKUP(G43,List_item!A:A,List_item!B:B))</f>
        <v>Boneless BL Frozen Kepala</v>
      </c>
      <c r="I43" s="197">
        <v>165.2</v>
      </c>
      <c r="J43" s="198">
        <f t="shared" si="4"/>
        <v>4.9759036144578307E-2</v>
      </c>
      <c r="K43" s="197">
        <f t="shared" si="0"/>
        <v>1321600</v>
      </c>
      <c r="L43" s="199">
        <f t="shared" si="1"/>
        <v>7671.3766331302813</v>
      </c>
      <c r="M43" s="197">
        <f t="shared" si="2"/>
        <v>1267311.4197931224</v>
      </c>
      <c r="N43" s="197">
        <f t="shared" si="3"/>
        <v>328.62336686971867</v>
      </c>
      <c r="O43" s="197">
        <f t="shared" si="5"/>
        <v>54288.580206877552</v>
      </c>
      <c r="P43" s="197"/>
    </row>
    <row r="44" spans="1:16" s="196" customFormat="1" x14ac:dyDescent="0.35">
      <c r="A44" s="196" t="s">
        <v>0</v>
      </c>
      <c r="B44" s="197">
        <f>_xlfn.IFNA(_xlfn.XLOOKUP(A44,'Price list'!A:A,'Price list'!E:E),0)</f>
        <v>10000</v>
      </c>
      <c r="C44" s="196" t="s">
        <v>9</v>
      </c>
      <c r="E44" s="197"/>
      <c r="F44" s="197"/>
      <c r="G44" s="197" t="s">
        <v>22</v>
      </c>
      <c r="H44" s="197" t="str">
        <f>IF(G44=0,"",_xlfn.XLOOKUP(G44,List_item!A:A,List_item!B:B))</f>
        <v>Boneless BL Frozen Ceker</v>
      </c>
      <c r="I44" s="197">
        <v>106.2</v>
      </c>
      <c r="J44" s="198">
        <f t="shared" si="4"/>
        <v>3.1987951807228916E-2</v>
      </c>
      <c r="K44" s="197">
        <f t="shared" si="0"/>
        <v>1062000</v>
      </c>
      <c r="L44" s="199">
        <f t="shared" si="1"/>
        <v>9589.2207914128521</v>
      </c>
      <c r="M44" s="197">
        <f t="shared" si="2"/>
        <v>1018375.248048045</v>
      </c>
      <c r="N44" s="197">
        <f t="shared" si="3"/>
        <v>410.77920858714788</v>
      </c>
      <c r="O44" s="197">
        <f t="shared" si="5"/>
        <v>43624.751951955026</v>
      </c>
      <c r="P44" s="197"/>
    </row>
    <row r="45" spans="1:16" x14ac:dyDescent="0.35">
      <c r="A45" t="s">
        <v>24</v>
      </c>
      <c r="B45" s="3">
        <f>_xlfn.IFNA(_xlfn.XLOOKUP(A45,'Price list'!A:A,'Price list'!E:E),0)</f>
        <v>4000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27">
        <f t="shared" si="1"/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/>
    </row>
    <row r="46" spans="1:16" x14ac:dyDescent="0.35">
      <c r="A46" t="s">
        <v>3893</v>
      </c>
      <c r="B46" s="3">
        <f>_xlfn.IFNA(_xlfn.XLOOKUP(A46,'Price list'!A:A,'Price list'!E:E),0)</f>
        <v>5000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1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 t="s">
        <v>3947</v>
      </c>
    </row>
    <row r="47" spans="1:16" x14ac:dyDescent="0.35">
      <c r="A47" t="s">
        <v>2167</v>
      </c>
      <c r="B47" s="3">
        <f>_xlfn.IFNA(_xlfn.XLOOKUP(A47,'Price list'!A:A,'Price list'!E:E),0)</f>
        <v>16000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1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6" x14ac:dyDescent="0.35">
      <c r="A48" t="s">
        <v>2168</v>
      </c>
      <c r="B48" s="3">
        <f>_xlfn.IFNA(_xlfn.XLOOKUP(A48,'Price list'!A:A,'Price list'!E:E),0)</f>
        <v>10000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2169</v>
      </c>
      <c r="B49" s="3">
        <f>_xlfn.IFNA(_xlfn.XLOOKUP(A49,'Price list'!A:A,'Price list'!E:E),0)</f>
        <v>5000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3894</v>
      </c>
      <c r="B50" s="3">
        <f>_xlfn.IFNA(_xlfn.XLOOKUP(A50,'Price list'!A:A,'Price list'!E:E),0)</f>
        <v>5000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s="32" customFormat="1" x14ac:dyDescent="0.35">
      <c r="A51" s="32" t="s">
        <v>2170</v>
      </c>
      <c r="B51" s="30">
        <f>_xlfn.IFNA(_xlfn.XLOOKUP(A51,'Price list'!A:A,'Price list'!E:E),0)</f>
        <v>45000</v>
      </c>
      <c r="C51" s="32" t="s">
        <v>9</v>
      </c>
      <c r="E51" s="30"/>
      <c r="F51" s="30"/>
      <c r="G51" s="30" t="s">
        <v>286</v>
      </c>
      <c r="H51" s="30" t="str">
        <f>IF(G51=0,"",_xlfn.XLOOKUP(G51,List_item!A:A,List_item!B:B))</f>
        <v>Boneless BL Frozen HJA</v>
      </c>
      <c r="I51" s="30">
        <v>203</v>
      </c>
      <c r="J51" s="33">
        <f t="shared" si="4"/>
        <v>6.1144578313253012E-2</v>
      </c>
      <c r="K51" s="30">
        <f t="shared" si="0"/>
        <v>9135000</v>
      </c>
      <c r="L51" s="35">
        <f t="shared" si="1"/>
        <v>43151.493561357835</v>
      </c>
      <c r="M51" s="30">
        <f t="shared" si="2"/>
        <v>8759753.1929556411</v>
      </c>
      <c r="N51" s="30">
        <f t="shared" si="3"/>
        <v>1848.5064386421654</v>
      </c>
      <c r="O51" s="30">
        <f t="shared" si="5"/>
        <v>375246.80704435892</v>
      </c>
      <c r="P51" s="30"/>
    </row>
    <row r="52" spans="1:16" x14ac:dyDescent="0.35">
      <c r="A52" t="s">
        <v>2171</v>
      </c>
      <c r="B52" s="3">
        <f>_xlfn.IFNA(_xlfn.XLOOKUP(A52,'Price list'!A:A,'Price list'!E:E),0)</f>
        <v>44000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3895</v>
      </c>
      <c r="B53" s="3">
        <f>_xlfn.IFNA(_xlfn.XLOOKUP(A53,'Price list'!A:A,'Price list'!E:E),0)</f>
        <v>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1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x14ac:dyDescent="0.35">
      <c r="A54" t="s">
        <v>3896</v>
      </c>
      <c r="B54" s="3">
        <f>_xlfn.IFNA(_xlfn.XLOOKUP(A54,'Price list'!A:A,'Price list'!E:E),0)</f>
        <v>35000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0"/>
        <v>0</v>
      </c>
      <c r="L54" s="27">
        <f t="shared" si="1"/>
        <v>0</v>
      </c>
      <c r="M54" s="3">
        <f t="shared" si="2"/>
        <v>0</v>
      </c>
      <c r="N54" s="3">
        <f t="shared" si="3"/>
        <v>0</v>
      </c>
      <c r="O54" s="3">
        <f t="shared" si="5"/>
        <v>0</v>
      </c>
      <c r="P54" s="3"/>
    </row>
    <row r="55" spans="1:16" x14ac:dyDescent="0.35">
      <c r="A55" t="s">
        <v>3897</v>
      </c>
      <c r="B55" s="3">
        <f>_xlfn.IFNA(_xlfn.XLOOKUP(A55,'Price list'!A:A,'Price list'!E:E),0)</f>
        <v>35000</v>
      </c>
      <c r="C55" t="s">
        <v>9</v>
      </c>
      <c r="E55" s="3"/>
      <c r="F55" s="3"/>
      <c r="G55" s="3"/>
      <c r="H55" s="3" t="str">
        <f>IF(G55=0,"",_xlfn.XLOOKUP(G55,List_item!A:A,List_item!B:B))</f>
        <v/>
      </c>
      <c r="I55" s="3">
        <v>0</v>
      </c>
      <c r="J55" s="26">
        <f t="shared" si="4"/>
        <v>0</v>
      </c>
      <c r="K55" s="3">
        <f t="shared" si="0"/>
        <v>0</v>
      </c>
      <c r="L55" s="27">
        <f t="shared" si="1"/>
        <v>0</v>
      </c>
      <c r="M55" s="3">
        <f t="shared" si="2"/>
        <v>0</v>
      </c>
      <c r="N55" s="3">
        <f t="shared" si="3"/>
        <v>0</v>
      </c>
      <c r="O55" s="3">
        <f t="shared" si="5"/>
        <v>0</v>
      </c>
      <c r="P55" s="3"/>
    </row>
    <row r="56" spans="1:16" x14ac:dyDescent="0.35">
      <c r="A56" t="s">
        <v>3898</v>
      </c>
      <c r="B56" s="3">
        <f>_xlfn.IFNA(_xlfn.XLOOKUP(A56,'Price list'!A:A,'Price list'!E:E),0)</f>
        <v>35000</v>
      </c>
      <c r="C56" t="s">
        <v>9</v>
      </c>
      <c r="E56" s="3"/>
      <c r="F56" s="3"/>
      <c r="G56" s="3"/>
      <c r="H56" s="3" t="str">
        <f>IF(G56=0,"",_xlfn.XLOOKUP(G56,List_item!A:A,List_item!B:B))</f>
        <v/>
      </c>
      <c r="I56" s="3">
        <v>0</v>
      </c>
      <c r="J56" s="26">
        <f t="shared" si="4"/>
        <v>0</v>
      </c>
      <c r="K56" s="3">
        <f t="shared" si="0"/>
        <v>0</v>
      </c>
      <c r="L56" s="27">
        <f t="shared" si="1"/>
        <v>0</v>
      </c>
      <c r="M56" s="3">
        <f t="shared" si="2"/>
        <v>0</v>
      </c>
      <c r="N56" s="3">
        <f t="shared" si="3"/>
        <v>0</v>
      </c>
      <c r="O56" s="3">
        <f t="shared" si="5"/>
        <v>0</v>
      </c>
      <c r="P56" s="3"/>
    </row>
    <row r="57" spans="1:16" s="196" customFormat="1" x14ac:dyDescent="0.35">
      <c r="A57" s="196" t="s">
        <v>3899</v>
      </c>
      <c r="B57" s="197">
        <f>_xlfn.IFNA(_xlfn.XLOOKUP(A57,'Price list'!A:A,'Price list'!E:E),0)</f>
        <v>35000</v>
      </c>
      <c r="C57" s="196" t="s">
        <v>9</v>
      </c>
      <c r="E57" s="197"/>
      <c r="F57" s="197"/>
      <c r="G57" s="197" t="s">
        <v>701</v>
      </c>
      <c r="H57" s="197" t="str">
        <f>IF(G57=0,"",_xlfn.XLOOKUP(G57,List_item!A:A,List_item!B:B))</f>
        <v>Karkas Uk 0.7 Karkas Uk 0.7 Frozen Grade A</v>
      </c>
      <c r="I57" s="197">
        <v>1.5</v>
      </c>
      <c r="J57" s="198">
        <f t="shared" si="4"/>
        <v>4.5180722891566266E-4</v>
      </c>
      <c r="K57" s="197">
        <f t="shared" si="0"/>
        <v>52500</v>
      </c>
      <c r="L57" s="199">
        <f t="shared" si="1"/>
        <v>33562.272769944982</v>
      </c>
      <c r="M57" s="197">
        <f t="shared" si="2"/>
        <v>50343.409154917477</v>
      </c>
      <c r="N57" s="197">
        <f t="shared" si="3"/>
        <v>1437.7272300550176</v>
      </c>
      <c r="O57" s="197">
        <f t="shared" si="5"/>
        <v>2156.5908450825227</v>
      </c>
      <c r="P57" s="197"/>
    </row>
    <row r="58" spans="1:16" s="196" customFormat="1" x14ac:dyDescent="0.35">
      <c r="A58" s="196" t="s">
        <v>3900</v>
      </c>
      <c r="B58" s="197">
        <f>_xlfn.IFNA(_xlfn.XLOOKUP(A58,'Price list'!A:A,'Price list'!E:E),0)</f>
        <v>35000</v>
      </c>
      <c r="C58" s="196" t="s">
        <v>9</v>
      </c>
      <c r="E58" s="197"/>
      <c r="F58" s="197"/>
      <c r="G58" s="197" t="s">
        <v>766</v>
      </c>
      <c r="H58" s="197" t="str">
        <f>IF(G58=0,"",_xlfn.XLOOKUP(G58,List_item!A:A,List_item!B:B))</f>
        <v>Karkas Uk 0.8 Karkas Uk 0.8 Frozen Grade A</v>
      </c>
      <c r="I58" s="197">
        <v>13.1</v>
      </c>
      <c r="J58" s="198">
        <f t="shared" si="4"/>
        <v>3.9457831325301201E-3</v>
      </c>
      <c r="K58" s="197">
        <f t="shared" si="0"/>
        <v>458500</v>
      </c>
      <c r="L58" s="199">
        <f t="shared" si="1"/>
        <v>33562.272769944982</v>
      </c>
      <c r="M58" s="197">
        <f t="shared" si="2"/>
        <v>439665.77328627923</v>
      </c>
      <c r="N58" s="197">
        <f t="shared" si="3"/>
        <v>1437.7272300550176</v>
      </c>
      <c r="O58" s="197">
        <f t="shared" si="5"/>
        <v>18834.226713720767</v>
      </c>
      <c r="P58" s="197"/>
    </row>
    <row r="59" spans="1:16" s="196" customFormat="1" x14ac:dyDescent="0.35">
      <c r="A59" s="196" t="s">
        <v>3901</v>
      </c>
      <c r="B59" s="197">
        <f>_xlfn.IFNA(_xlfn.XLOOKUP(A59,'Price list'!A:A,'Price list'!E:E),0)</f>
        <v>35000</v>
      </c>
      <c r="C59" s="196" t="s">
        <v>9</v>
      </c>
      <c r="E59" s="197"/>
      <c r="F59" s="197"/>
      <c r="G59" s="197" t="s">
        <v>831</v>
      </c>
      <c r="H59" s="197" t="str">
        <f>IF(G59=0,"",_xlfn.XLOOKUP(G59,List_item!A:A,List_item!B:B))</f>
        <v>Karkas Uk 0.9 Karkas Uk 0.9 Frozen Grade A</v>
      </c>
      <c r="I59" s="197">
        <v>47.7</v>
      </c>
      <c r="J59" s="198">
        <f t="shared" si="4"/>
        <v>1.4367469879518074E-2</v>
      </c>
      <c r="K59" s="197">
        <f t="shared" si="0"/>
        <v>1669500</v>
      </c>
      <c r="L59" s="199">
        <f t="shared" si="1"/>
        <v>33562.272769944982</v>
      </c>
      <c r="M59" s="197">
        <f t="shared" si="2"/>
        <v>1600920.4111263757</v>
      </c>
      <c r="N59" s="197">
        <f t="shared" si="3"/>
        <v>1437.7272300550176</v>
      </c>
      <c r="O59" s="197">
        <f t="shared" si="5"/>
        <v>68579.588873624336</v>
      </c>
      <c r="P59" s="197"/>
    </row>
    <row r="60" spans="1:16" s="196" customFormat="1" x14ac:dyDescent="0.35">
      <c r="A60" s="196" t="s">
        <v>3902</v>
      </c>
      <c r="B60" s="197">
        <f>_xlfn.IFNA(_xlfn.XLOOKUP(A60,'Price list'!A:A,'Price list'!E:E),0)</f>
        <v>35000</v>
      </c>
      <c r="C60" s="196" t="s">
        <v>9</v>
      </c>
      <c r="E60" s="197"/>
      <c r="F60" s="197"/>
      <c r="G60" s="197" t="s">
        <v>896</v>
      </c>
      <c r="H60" s="197" t="str">
        <f>IF(G60=0,"",_xlfn.XLOOKUP(G60,List_item!A:A,List_item!B:B))</f>
        <v>Karkas Uk 1.0 Karkas Uk 1.0 Frozen Grade A</v>
      </c>
      <c r="I60" s="197">
        <v>98.1</v>
      </c>
      <c r="J60" s="198">
        <f t="shared" si="4"/>
        <v>2.9548192771084336E-2</v>
      </c>
      <c r="K60" s="197">
        <f t="shared" si="0"/>
        <v>3433500</v>
      </c>
      <c r="L60" s="199">
        <f t="shared" si="1"/>
        <v>33562.272769944982</v>
      </c>
      <c r="M60" s="197">
        <f t="shared" si="2"/>
        <v>3292458.9587316024</v>
      </c>
      <c r="N60" s="197">
        <f t="shared" si="3"/>
        <v>1437.7272300550176</v>
      </c>
      <c r="O60" s="197">
        <f t="shared" si="5"/>
        <v>141041.04126839759</v>
      </c>
      <c r="P60" s="197"/>
    </row>
    <row r="61" spans="1:16" s="196" customFormat="1" x14ac:dyDescent="0.35">
      <c r="A61" s="196" t="s">
        <v>3903</v>
      </c>
      <c r="B61" s="197">
        <f>_xlfn.IFNA(_xlfn.XLOOKUP(A61,'Price list'!A:A,'Price list'!E:E),0)</f>
        <v>35000</v>
      </c>
      <c r="C61" s="196" t="s">
        <v>9</v>
      </c>
      <c r="E61" s="197"/>
      <c r="F61" s="197"/>
      <c r="G61" s="197" t="s">
        <v>962</v>
      </c>
      <c r="H61" s="197" t="str">
        <f>IF(G61=0,"",_xlfn.XLOOKUP(G61,List_item!A:A,List_item!B:B))</f>
        <v>Karkas Uk 1.1 Karkas Uk 1.1 Frozen Grade A</v>
      </c>
      <c r="I61" s="197">
        <v>67.8</v>
      </c>
      <c r="J61" s="198">
        <f t="shared" si="4"/>
        <v>2.0421686746987952E-2</v>
      </c>
      <c r="K61" s="197">
        <f t="shared" si="0"/>
        <v>2373000</v>
      </c>
      <c r="L61" s="199">
        <f t="shared" si="1"/>
        <v>33562.27276994499</v>
      </c>
      <c r="M61" s="197">
        <f t="shared" si="2"/>
        <v>2275522.09380227</v>
      </c>
      <c r="N61" s="197">
        <f t="shared" si="3"/>
        <v>1437.7272300550103</v>
      </c>
      <c r="O61" s="197">
        <f t="shared" si="5"/>
        <v>97477.906197729986</v>
      </c>
      <c r="P61" s="197"/>
    </row>
    <row r="62" spans="1:16" s="196" customFormat="1" x14ac:dyDescent="0.35">
      <c r="A62" s="196" t="s">
        <v>3904</v>
      </c>
      <c r="B62" s="197">
        <f>_xlfn.IFNA(_xlfn.XLOOKUP(A62,'Price list'!A:A,'Price list'!E:E),0)</f>
        <v>35000</v>
      </c>
      <c r="C62" s="196" t="s">
        <v>9</v>
      </c>
      <c r="E62" s="197"/>
      <c r="F62" s="197"/>
      <c r="G62" s="197" t="s">
        <v>1028</v>
      </c>
      <c r="H62" s="197" t="str">
        <f>IF(G62=0,"",_xlfn.XLOOKUP(G62,List_item!A:A,List_item!B:B))</f>
        <v>Karkas Uk 1.2 Karkas Uk 1.2 Frozen Grade A</v>
      </c>
      <c r="I62" s="197">
        <v>27</v>
      </c>
      <c r="J62" s="198">
        <f t="shared" si="4"/>
        <v>8.1325301204819272E-3</v>
      </c>
      <c r="K62" s="197">
        <f t="shared" si="0"/>
        <v>945000</v>
      </c>
      <c r="L62" s="199">
        <f t="shared" si="1"/>
        <v>33562.272769944982</v>
      </c>
      <c r="M62" s="197">
        <f t="shared" si="2"/>
        <v>906181.36478851456</v>
      </c>
      <c r="N62" s="197">
        <f t="shared" si="3"/>
        <v>1437.7272300550176</v>
      </c>
      <c r="O62" s="197">
        <f t="shared" si="5"/>
        <v>38818.635211485438</v>
      </c>
      <c r="P62" s="197"/>
    </row>
    <row r="63" spans="1:16" s="196" customFormat="1" x14ac:dyDescent="0.35">
      <c r="A63" s="196" t="s">
        <v>3905</v>
      </c>
      <c r="B63" s="197">
        <f>_xlfn.IFNA(_xlfn.XLOOKUP(A63,'Price list'!A:A,'Price list'!E:E),0)</f>
        <v>35000</v>
      </c>
      <c r="C63" s="196" t="s">
        <v>9</v>
      </c>
      <c r="E63" s="197"/>
      <c r="F63" s="197"/>
      <c r="G63" s="197" t="s">
        <v>1094</v>
      </c>
      <c r="H63" s="197" t="str">
        <f>IF(G63=0,"",_xlfn.XLOOKUP(G63,List_item!A:A,List_item!B:B))</f>
        <v>Karkas Uk 1.3 Karkas Uk 1.3 Frozen Grade A</v>
      </c>
      <c r="I63" s="197">
        <v>7</v>
      </c>
      <c r="J63" s="198">
        <f t="shared" si="4"/>
        <v>2.1084337349397591E-3</v>
      </c>
      <c r="K63" s="197">
        <f t="shared" si="0"/>
        <v>245000</v>
      </c>
      <c r="L63" s="199">
        <f t="shared" si="1"/>
        <v>33562.272769944982</v>
      </c>
      <c r="M63" s="197">
        <f t="shared" si="2"/>
        <v>234935.90938961488</v>
      </c>
      <c r="N63" s="197">
        <f t="shared" si="3"/>
        <v>1437.7272300550176</v>
      </c>
      <c r="O63" s="197">
        <f t="shared" si="5"/>
        <v>10064.090610385116</v>
      </c>
      <c r="P63" s="197"/>
    </row>
    <row r="64" spans="1:16" x14ac:dyDescent="0.35">
      <c r="A64" t="s">
        <v>3906</v>
      </c>
      <c r="B64" s="3">
        <f>_xlfn.IFNA(_xlfn.XLOOKUP(A64,'Price list'!A:A,'Price list'!E:E),0)</f>
        <v>35000</v>
      </c>
      <c r="C64" t="s">
        <v>9</v>
      </c>
      <c r="E64" s="3"/>
      <c r="F64" s="3"/>
      <c r="G64" s="3"/>
      <c r="H64" s="3" t="str">
        <f>IF(G64=0,"",_xlfn.XLOOKUP(G64,List_item!A:A,List_item!B:B))</f>
        <v/>
      </c>
      <c r="I64" s="3">
        <v>0</v>
      </c>
      <c r="J64" s="26">
        <f t="shared" si="4"/>
        <v>0</v>
      </c>
      <c r="K64" s="3">
        <f t="shared" si="0"/>
        <v>0</v>
      </c>
      <c r="L64" s="27">
        <f t="shared" si="1"/>
        <v>0</v>
      </c>
      <c r="M64" s="3">
        <f t="shared" si="2"/>
        <v>0</v>
      </c>
      <c r="N64" s="3">
        <f t="shared" si="3"/>
        <v>0</v>
      </c>
      <c r="O64" s="3">
        <f t="shared" si="5"/>
        <v>0</v>
      </c>
      <c r="P64" s="3"/>
    </row>
    <row r="65" spans="1:16" x14ac:dyDescent="0.35">
      <c r="A65" t="s">
        <v>3907</v>
      </c>
      <c r="B65" s="3">
        <f>_xlfn.IFNA(_xlfn.XLOOKUP(A65,'Price list'!A:A,'Price list'!E:E),0)</f>
        <v>35000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6" x14ac:dyDescent="0.35">
      <c r="A66" t="s">
        <v>3908</v>
      </c>
      <c r="B66" s="3">
        <f>_xlfn.IFNA(_xlfn.XLOOKUP(A66,'Price list'!A:A,'Price list'!E:E),0)</f>
        <v>35000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6" x14ac:dyDescent="0.35">
      <c r="A67" t="s">
        <v>3909</v>
      </c>
      <c r="B67" s="3">
        <f>_xlfn.IFNA(_xlfn.XLOOKUP(A67,'Price list'!A:A,'Price list'!E:E),0)</f>
        <v>35000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6" x14ac:dyDescent="0.35">
      <c r="A68" t="s">
        <v>3945</v>
      </c>
      <c r="B68" s="3">
        <f>_xlfn.IFNA(_xlfn.XLOOKUP(A68,'Price list'!A:A,'Price list'!E:E),0)</f>
        <v>35000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6" x14ac:dyDescent="0.35">
      <c r="A69" t="s">
        <v>3911</v>
      </c>
      <c r="B69" s="3">
        <f>_xlfn.IFNA(_xlfn.XLOOKUP(A69,'Price list'!A:A,'Price list'!E:E),0)</f>
        <v>35000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6" x14ac:dyDescent="0.35">
      <c r="A70" t="s">
        <v>3912</v>
      </c>
      <c r="B70" s="3">
        <f>_xlfn.IFNA(_xlfn.XLOOKUP(A70,'Price list'!A:A,'Price list'!E:E),0)</f>
        <v>35000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6" x14ac:dyDescent="0.35">
      <c r="A71" t="s">
        <v>3913</v>
      </c>
      <c r="B71" s="3">
        <f>_xlfn.IFNA(_xlfn.XLOOKUP(A71,'Price list'!A:A,'Price list'!E:E),0)</f>
        <v>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1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6" x14ac:dyDescent="0.35">
      <c r="A72" t="s">
        <v>3914</v>
      </c>
      <c r="B72" s="3">
        <f>_xlfn.IFNA(_xlfn.XLOOKUP(A72,'Price list'!A:A,'Price list'!E:E),0)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1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6" x14ac:dyDescent="0.35">
      <c r="A73" t="s">
        <v>3915</v>
      </c>
      <c r="B73" s="3">
        <f>_xlfn.IFNA(_xlfn.XLOOKUP(A73,'Price list'!A:A,'Price list'!E:E),0)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6" x14ac:dyDescent="0.35">
      <c r="A74" t="s">
        <v>3916</v>
      </c>
      <c r="B74" s="3">
        <f>_xlfn.IFNA(_xlfn.XLOOKUP(A74,'Price list'!A:A,'Price list'!E:E),0)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6" x14ac:dyDescent="0.35">
      <c r="A75" t="s">
        <v>3917</v>
      </c>
      <c r="B75" s="3">
        <f>_xlfn.IFNA(_xlfn.XLOOKUP(A75,'Price list'!A:A,'Price list'!E:E),0)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si="1"/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6" x14ac:dyDescent="0.35">
      <c r="A76" t="s">
        <v>3918</v>
      </c>
      <c r="B76" s="3">
        <f>_xlfn.IFNA(_xlfn.XLOOKUP(A76,'Price list'!A:A,'Price list'!E:E),0)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si="0"/>
        <v>0</v>
      </c>
      <c r="L76" s="27">
        <f t="shared" si="1"/>
        <v>0</v>
      </c>
      <c r="M76" s="3">
        <f t="shared" si="2"/>
        <v>0</v>
      </c>
      <c r="N76" s="3">
        <f t="shared" si="3"/>
        <v>0</v>
      </c>
      <c r="O76" s="3">
        <f t="shared" si="5"/>
        <v>0</v>
      </c>
      <c r="P76" s="3"/>
    </row>
    <row r="77" spans="1:16" x14ac:dyDescent="0.35">
      <c r="A77" t="s">
        <v>3919</v>
      </c>
      <c r="B77" s="3">
        <f>_xlfn.IFNA(_xlfn.XLOOKUP(A77,'Price list'!A:A,'Price list'!E:E),0)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4"/>
        <v>0</v>
      </c>
      <c r="K77" s="3">
        <f t="shared" si="0"/>
        <v>0</v>
      </c>
      <c r="L77" s="27">
        <f t="shared" si="1"/>
        <v>0</v>
      </c>
      <c r="M77" s="3">
        <f t="shared" si="2"/>
        <v>0</v>
      </c>
      <c r="N77" s="3">
        <f t="shared" si="3"/>
        <v>0</v>
      </c>
      <c r="O77" s="3">
        <f t="shared" si="5"/>
        <v>0</v>
      </c>
      <c r="P77" s="3"/>
    </row>
    <row r="78" spans="1:16" x14ac:dyDescent="0.35">
      <c r="A78" t="s">
        <v>3920</v>
      </c>
      <c r="B78" s="3">
        <f>_xlfn.IFNA(_xlfn.XLOOKUP(A78,'Price list'!A:A,'Price list'!E:E),0)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4"/>
        <v>0</v>
      </c>
      <c r="K78" s="3">
        <f t="shared" ref="K78:K82" si="24">+B78*(F78+I78)</f>
        <v>0</v>
      </c>
      <c r="L78" s="27">
        <f t="shared" ref="L78:L82" si="25">IFERROR(((K78/SUM($K$11:$K$82))*$F$10)/(F78+I78),0)</f>
        <v>0</v>
      </c>
      <c r="M78" s="3">
        <f t="shared" ref="M78:M82" si="26">+L78*(F78+I78)</f>
        <v>0</v>
      </c>
      <c r="N78" s="3">
        <f t="shared" ref="N78:N82" si="27">IF(L78=0,0,B78-L78)</f>
        <v>0</v>
      </c>
      <c r="O78" s="3">
        <f t="shared" si="5"/>
        <v>0</v>
      </c>
      <c r="P78" s="3"/>
    </row>
    <row r="79" spans="1:16" x14ac:dyDescent="0.35">
      <c r="A79" t="s">
        <v>3921</v>
      </c>
      <c r="B79" s="3">
        <f>_xlfn.IFNA(_xlfn.XLOOKUP(A79,'Price list'!A:A,'Price list'!E:E),0)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ref="J79:J82" si="28">IF(F79/J$5&gt;0,F79/J$5,I79/J$5)</f>
        <v>0</v>
      </c>
      <c r="K79" s="3">
        <f t="shared" si="24"/>
        <v>0</v>
      </c>
      <c r="L79" s="27">
        <f t="shared" si="25"/>
        <v>0</v>
      </c>
      <c r="M79" s="3">
        <f t="shared" si="26"/>
        <v>0</v>
      </c>
      <c r="N79" s="3">
        <f t="shared" si="27"/>
        <v>0</v>
      </c>
      <c r="O79" s="3">
        <f t="shared" ref="O79:O82" si="29">+K79-M79</f>
        <v>0</v>
      </c>
      <c r="P79" s="3"/>
    </row>
    <row r="80" spans="1:16" x14ac:dyDescent="0.35">
      <c r="A80" t="s">
        <v>3922</v>
      </c>
      <c r="B80" s="3">
        <f>_xlfn.IFNA(_xlfn.XLOOKUP(A80,'Price list'!A:A,'Price list'!E:E),0)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28"/>
        <v>0</v>
      </c>
      <c r="K80" s="3">
        <f t="shared" si="24"/>
        <v>0</v>
      </c>
      <c r="L80" s="27">
        <f t="shared" si="25"/>
        <v>0</v>
      </c>
      <c r="M80" s="3">
        <f t="shared" si="26"/>
        <v>0</v>
      </c>
      <c r="N80" s="3">
        <f t="shared" si="27"/>
        <v>0</v>
      </c>
      <c r="O80" s="3">
        <f t="shared" si="29"/>
        <v>0</v>
      </c>
      <c r="P80" s="3"/>
    </row>
    <row r="81" spans="1:16" x14ac:dyDescent="0.35">
      <c r="A81" t="s">
        <v>3923</v>
      </c>
      <c r="B81" s="3">
        <f>_xlfn.IFNA(_xlfn.XLOOKUP(A81,'Price list'!A:A,'Price list'!E:E),0)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28"/>
        <v>0</v>
      </c>
      <c r="K81" s="3">
        <f t="shared" si="24"/>
        <v>0</v>
      </c>
      <c r="L81" s="27">
        <f t="shared" si="25"/>
        <v>0</v>
      </c>
      <c r="M81" s="3">
        <f t="shared" si="26"/>
        <v>0</v>
      </c>
      <c r="N81" s="3">
        <f t="shared" si="27"/>
        <v>0</v>
      </c>
      <c r="O81" s="3">
        <f t="shared" si="29"/>
        <v>0</v>
      </c>
      <c r="P81" s="3"/>
    </row>
    <row r="82" spans="1:16" x14ac:dyDescent="0.35">
      <c r="A82" t="s">
        <v>3924</v>
      </c>
      <c r="B82" s="3">
        <f>_xlfn.IFNA(_xlfn.XLOOKUP(A82,'Price list'!A:A,'Price list'!E:E),0)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3">
        <v>0</v>
      </c>
      <c r="J82" s="26">
        <f t="shared" si="28"/>
        <v>0</v>
      </c>
      <c r="K82" s="3">
        <f t="shared" si="24"/>
        <v>0</v>
      </c>
      <c r="L82" s="27">
        <f t="shared" si="25"/>
        <v>0</v>
      </c>
      <c r="M82" s="3">
        <f t="shared" si="26"/>
        <v>0</v>
      </c>
      <c r="N82" s="3">
        <f t="shared" si="27"/>
        <v>0</v>
      </c>
      <c r="O82" s="3">
        <f t="shared" si="29"/>
        <v>0</v>
      </c>
      <c r="P82" s="3"/>
    </row>
    <row r="85" spans="1:16" x14ac:dyDescent="0.35">
      <c r="A85" t="s">
        <v>3929</v>
      </c>
      <c r="B85"/>
      <c r="E85"/>
      <c r="F85" s="117"/>
      <c r="G85" t="s">
        <v>3930</v>
      </c>
    </row>
    <row r="86" spans="1:16" x14ac:dyDescent="0.35">
      <c r="B86"/>
      <c r="E86"/>
      <c r="F86" s="117"/>
      <c r="G86"/>
    </row>
    <row r="87" spans="1:16" x14ac:dyDescent="0.35">
      <c r="B87"/>
      <c r="E87"/>
      <c r="F87" s="117"/>
      <c r="G87"/>
    </row>
    <row r="88" spans="1:16" x14ac:dyDescent="0.35">
      <c r="B88"/>
      <c r="E88"/>
      <c r="F88" s="117"/>
      <c r="G88"/>
    </row>
    <row r="89" spans="1:16" x14ac:dyDescent="0.35">
      <c r="B89"/>
      <c r="E89"/>
      <c r="F89" s="117"/>
      <c r="G89"/>
    </row>
    <row r="90" spans="1:16" x14ac:dyDescent="0.35">
      <c r="B90"/>
      <c r="E90"/>
      <c r="F90" s="117"/>
      <c r="G90"/>
    </row>
    <row r="91" spans="1:16" x14ac:dyDescent="0.35">
      <c r="A91" s="118"/>
      <c r="B91"/>
      <c r="E91"/>
      <c r="F91" s="117"/>
      <c r="G91" s="118"/>
    </row>
    <row r="92" spans="1:16" x14ac:dyDescent="0.35">
      <c r="B92"/>
      <c r="E92"/>
      <c r="F92" s="117"/>
      <c r="G92"/>
    </row>
  </sheetData>
  <autoFilter ref="A10:P82" xr:uid="{9E3D57EB-0D9F-40FE-B4FE-C94EEFF00F8F}"/>
  <conditionalFormatting sqref="O10">
    <cfRule type="cellIs" dxfId="5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57EB-0D9F-40FE-B4FE-C94EEFF00F8F}">
  <sheetPr>
    <tabColor theme="3"/>
    <pageSetUpPr fitToPage="1"/>
  </sheetPr>
  <dimension ref="A1:R92"/>
  <sheetViews>
    <sheetView zoomScale="80" zoomScaleNormal="80" workbookViewId="0">
      <pane xSplit="3" ySplit="9" topLeftCell="D51" activePane="bottomRight" state="frozen"/>
      <selection activeCell="A751" sqref="A751"/>
      <selection pane="topRight" activeCell="A751" sqref="A751"/>
      <selection pane="bottomLeft" activeCell="A751" sqref="A751"/>
      <selection pane="bottomRight" activeCell="H66" sqref="A66:XFD66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5.36328125" style="2" bestFit="1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2.269531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s="18" t="s">
        <v>3865</v>
      </c>
      <c r="F2" s="159">
        <v>46272</v>
      </c>
      <c r="G2" s="19" t="s">
        <v>3943</v>
      </c>
    </row>
    <row r="3" spans="1:18" x14ac:dyDescent="0.35">
      <c r="A3" s="101" t="s">
        <v>3866</v>
      </c>
      <c r="B3" s="2">
        <v>377509140</v>
      </c>
      <c r="C3" s="6">
        <f>B3*0.25%</f>
        <v>943772.85</v>
      </c>
      <c r="E3" s="2">
        <v>377244640</v>
      </c>
      <c r="F3" s="157" t="s">
        <v>4097</v>
      </c>
      <c r="G3" s="156" t="s">
        <v>4024</v>
      </c>
      <c r="H3" s="2" t="s">
        <v>4099</v>
      </c>
      <c r="I3" s="101" t="s">
        <v>3870</v>
      </c>
      <c r="J3" s="2" t="s">
        <v>3946</v>
      </c>
      <c r="Q3" s="25"/>
      <c r="R3" s="2"/>
    </row>
    <row r="4" spans="1:18" x14ac:dyDescent="0.35">
      <c r="A4" s="101" t="s">
        <v>3867</v>
      </c>
      <c r="B4" s="2">
        <v>15000000</v>
      </c>
      <c r="C4">
        <f>B4/$J$5</f>
        <v>977.4597775301545</v>
      </c>
      <c r="F4" s="157" t="s">
        <v>4098</v>
      </c>
      <c r="G4" s="157" t="s">
        <v>3948</v>
      </c>
      <c r="I4" s="101" t="s">
        <v>3872</v>
      </c>
      <c r="J4" s="115">
        <v>46272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20659151</v>
      </c>
      <c r="C5" s="2">
        <v>22931680</v>
      </c>
      <c r="F5" s="157"/>
      <c r="G5" s="157" t="s">
        <v>3949</v>
      </c>
      <c r="I5" s="101" t="s">
        <v>3944</v>
      </c>
      <c r="J5" s="19">
        <f>3828.3+3503.9+4013.2+4000.5</f>
        <v>15345.900000000001</v>
      </c>
      <c r="K5" s="2">
        <v>14332.3</v>
      </c>
      <c r="L5" s="2">
        <f>J5-K5</f>
        <v>1013.6000000000022</v>
      </c>
      <c r="M5" s="147">
        <f>L5/J5</f>
        <v>6.6050215366971116E-2</v>
      </c>
      <c r="N5" s="2">
        <f>21+124+2</f>
        <v>147</v>
      </c>
      <c r="O5" s="2">
        <f>28.4+186.7+2.6</f>
        <v>217.7</v>
      </c>
    </row>
    <row r="6" spans="1:18" x14ac:dyDescent="0.35">
      <c r="A6" s="102" t="s">
        <v>3869</v>
      </c>
      <c r="B6" s="19">
        <f>SUM(B3:B5)</f>
        <v>413168291</v>
      </c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SUM(K11:K68)/M10-1</f>
        <v>-3.0235405940190918E-2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413168291</v>
      </c>
      <c r="G10" s="5"/>
      <c r="H10" s="5"/>
      <c r="I10" s="5">
        <f>SUM(I11:I82)</f>
        <v>12656.82</v>
      </c>
      <c r="J10" s="111">
        <f>SUM(J11:J82)</f>
        <v>0.82476883076261398</v>
      </c>
      <c r="K10" s="5">
        <f>+SUM(K11:K82)</f>
        <v>400675980</v>
      </c>
      <c r="L10" s="5"/>
      <c r="M10" s="5">
        <f>+SUM(M11:M82)</f>
        <v>413168290.99999994</v>
      </c>
      <c r="N10" s="5"/>
      <c r="O10" s="5">
        <f>+SUM(O11:O82)</f>
        <v>-12492311.000000006</v>
      </c>
    </row>
    <row r="11" spans="1:18" x14ac:dyDescent="0.35">
      <c r="A11" t="s">
        <v>3873</v>
      </c>
      <c r="B11" s="3">
        <f>_xlfn.IFNA(_xlfn.XLOOKUP(A11,'Price list'!A:A,'Price list'!E:E),0)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45" si="0">+B11*(F11+I11)</f>
        <v>0</v>
      </c>
      <c r="L11" s="27">
        <f t="shared" ref="L11:L45" si="1">IFERROR(((K11/SUM($K$11:$K$82))*$F$10)/(F11+I11),0)</f>
        <v>0</v>
      </c>
      <c r="M11" s="3">
        <f t="shared" ref="M11:M45" si="2">+L11*(F11+I11)</f>
        <v>0</v>
      </c>
      <c r="N11" s="3">
        <f t="shared" ref="N11:N45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list'!A:A,'Price list'!E:E),0)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78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78" si="5">+K12-M12</f>
        <v>0</v>
      </c>
      <c r="P12" s="3"/>
      <c r="R12" s="3"/>
    </row>
    <row r="13" spans="1:18" s="196" customFormat="1" x14ac:dyDescent="0.35">
      <c r="A13" s="196" t="s">
        <v>3875</v>
      </c>
      <c r="B13" s="197">
        <f>_xlfn.IFNA(_xlfn.XLOOKUP(A13,'Price list'!A:A,'Price list'!E:E),0)</f>
        <v>36500</v>
      </c>
      <c r="C13" s="196" t="s">
        <v>9</v>
      </c>
      <c r="E13" s="197"/>
      <c r="F13" s="197"/>
      <c r="G13" s="197" t="s">
        <v>2219</v>
      </c>
      <c r="H13" s="197" t="str">
        <f>IF(G13=0,"",_xlfn.XLOOKUP(G13,List_item!A:A,List_item!B:B))</f>
        <v>Karkas Uk 0.5 Karkas Uk 0.5 Frozen Premium</v>
      </c>
      <c r="I13" s="197">
        <v>7.6</v>
      </c>
      <c r="J13" s="198">
        <f t="shared" si="4"/>
        <v>4.9524628728194495E-4</v>
      </c>
      <c r="K13" s="197">
        <f t="shared" si="0"/>
        <v>277400</v>
      </c>
      <c r="L13" s="199">
        <f t="shared" si="1"/>
        <v>37638.000215286178</v>
      </c>
      <c r="M13" s="197">
        <f t="shared" si="2"/>
        <v>286048.80163617496</v>
      </c>
      <c r="N13" s="197">
        <f t="shared" si="3"/>
        <v>-1138.000215286178</v>
      </c>
      <c r="O13" s="197">
        <f t="shared" si="5"/>
        <v>-8648.8016361749615</v>
      </c>
      <c r="P13" s="197"/>
    </row>
    <row r="14" spans="1:18" s="196" customFormat="1" x14ac:dyDescent="0.35">
      <c r="A14" s="196" t="s">
        <v>3876</v>
      </c>
      <c r="B14" s="197">
        <f>_xlfn.IFNA(_xlfn.XLOOKUP(A14,'Price list'!A:A,'Price list'!E:E),0)</f>
        <v>36500</v>
      </c>
      <c r="C14" s="196" t="s">
        <v>9</v>
      </c>
      <c r="E14" s="197"/>
      <c r="F14" s="197"/>
      <c r="G14" s="197" t="s">
        <v>2220</v>
      </c>
      <c r="H14" s="197" t="str">
        <f>IF(G14=0,"",_xlfn.XLOOKUP(G14,List_item!A:A,List_item!B:B))</f>
        <v>Karkas Uk 0.6 Karkas Uk 0.6 Frozen Premium</v>
      </c>
      <c r="I14" s="197">
        <v>39.6</v>
      </c>
      <c r="J14" s="198">
        <f t="shared" si="4"/>
        <v>2.5804938126796082E-3</v>
      </c>
      <c r="K14" s="197">
        <f t="shared" si="0"/>
        <v>1445400</v>
      </c>
      <c r="L14" s="199">
        <f t="shared" si="1"/>
        <v>37638.000215286178</v>
      </c>
      <c r="M14" s="197">
        <f t="shared" si="2"/>
        <v>1490464.8085253327</v>
      </c>
      <c r="N14" s="197">
        <f t="shared" si="3"/>
        <v>-1138.000215286178</v>
      </c>
      <c r="O14" s="197">
        <f t="shared" si="5"/>
        <v>-45064.808525332715</v>
      </c>
      <c r="P14" s="197"/>
    </row>
    <row r="15" spans="1:18" s="196" customFormat="1" x14ac:dyDescent="0.35">
      <c r="A15" s="196" t="s">
        <v>3877</v>
      </c>
      <c r="B15" s="197">
        <f>_xlfn.IFNA(_xlfn.XLOOKUP(A15,'Price list'!A:A,'Price list'!E:E),0)</f>
        <v>36500</v>
      </c>
      <c r="C15" s="196" t="s">
        <v>9</v>
      </c>
      <c r="G15" s="197" t="s">
        <v>2221</v>
      </c>
      <c r="H15" s="197" t="str">
        <f>IF(G15=0,"",_xlfn.XLOOKUP(G15,List_item!A:A,List_item!B:B))</f>
        <v>Karkas Uk 0.7 Karkas Uk 0.7 Frozen Premium</v>
      </c>
      <c r="I15" s="197">
        <v>222.22</v>
      </c>
      <c r="J15" s="198">
        <f t="shared" si="4"/>
        <v>1.4480740784183396E-2</v>
      </c>
      <c r="K15" s="197">
        <f t="shared" si="0"/>
        <v>8111030</v>
      </c>
      <c r="L15" s="199">
        <f t="shared" si="1"/>
        <v>37638.000215286171</v>
      </c>
      <c r="M15" s="197">
        <f t="shared" si="2"/>
        <v>8363916.4078408927</v>
      </c>
      <c r="N15" s="197">
        <f t="shared" si="3"/>
        <v>-1138.0002152861707</v>
      </c>
      <c r="O15" s="197">
        <f t="shared" si="5"/>
        <v>-252886.40784089267</v>
      </c>
      <c r="P15" s="197"/>
    </row>
    <row r="16" spans="1:18" s="196" customFormat="1" x14ac:dyDescent="0.35">
      <c r="A16" s="196" t="s">
        <v>3878</v>
      </c>
      <c r="B16" s="197">
        <f>_xlfn.IFNA(_xlfn.XLOOKUP(A16,'Price list'!A:A,'Price list'!E:E),0)</f>
        <v>36500</v>
      </c>
      <c r="C16" s="196" t="s">
        <v>9</v>
      </c>
      <c r="E16" s="197"/>
      <c r="G16" s="197" t="s">
        <v>2222</v>
      </c>
      <c r="H16" s="197" t="str">
        <f>IF(G16=0,"",_xlfn.XLOOKUP(G16,List_item!A:A,List_item!B:B))</f>
        <v>Karkas Uk 0.8 Frozen Premium</v>
      </c>
      <c r="I16" s="197">
        <v>448.6</v>
      </c>
      <c r="J16" s="198">
        <f t="shared" si="4"/>
        <v>2.9232563746668491E-2</v>
      </c>
      <c r="K16" s="197">
        <f t="shared" si="0"/>
        <v>16373900</v>
      </c>
      <c r="L16" s="199">
        <f t="shared" si="1"/>
        <v>37638.000215286178</v>
      </c>
      <c r="M16" s="197">
        <f t="shared" si="2"/>
        <v>16884406.896577381</v>
      </c>
      <c r="N16" s="197">
        <f t="shared" si="3"/>
        <v>-1138.000215286178</v>
      </c>
      <c r="O16" s="197">
        <f t="shared" si="5"/>
        <v>-510506.8965773806</v>
      </c>
      <c r="P16" s="197"/>
    </row>
    <row r="17" spans="1:16" s="196" customFormat="1" x14ac:dyDescent="0.35">
      <c r="A17" s="196" t="s">
        <v>3879</v>
      </c>
      <c r="B17" s="197">
        <f>_xlfn.IFNA(_xlfn.XLOOKUP(A17,'Price list'!A:A,'Price list'!E:E),0)</f>
        <v>36500</v>
      </c>
      <c r="C17" s="196" t="s">
        <v>9</v>
      </c>
      <c r="E17" s="200"/>
      <c r="G17" s="197" t="s">
        <v>826</v>
      </c>
      <c r="H17" s="197" t="str">
        <f>IF(G17=0,"",_xlfn.XLOOKUP(G17,List_item!A:A,List_item!B:B))</f>
        <v>Karkas Uk 0.9 Karkas Uk 0.9 Fresh Premium</v>
      </c>
      <c r="I17" s="197">
        <v>950</v>
      </c>
      <c r="J17" s="198">
        <f t="shared" ref="J17" si="6">IF(F17/J$5&gt;0,F17/J$5,I17/J$5)</f>
        <v>6.1905785910243122E-2</v>
      </c>
      <c r="K17" s="197">
        <f t="shared" ref="K17" si="7">+B17*(F17+I17)</f>
        <v>34675000</v>
      </c>
      <c r="L17" s="199">
        <f t="shared" ref="L17" si="8">IFERROR(((K17/SUM($K$11:$K$82))*$F$10)/(F17+I17),0)</f>
        <v>37638.000215286171</v>
      </c>
      <c r="M17" s="197">
        <f t="shared" ref="M17" si="9">+L17*(F17+I17)</f>
        <v>35756100.204521865</v>
      </c>
      <c r="N17" s="197">
        <f t="shared" ref="N17" si="10">IF(L17=0,0,B17-L17)</f>
        <v>-1138.0002152861707</v>
      </c>
      <c r="O17" s="197">
        <f t="shared" ref="O17" si="11">+K17-M17</f>
        <v>-1081100.2045218647</v>
      </c>
      <c r="P17" s="197"/>
    </row>
    <row r="18" spans="1:16" s="196" customFormat="1" x14ac:dyDescent="0.35">
      <c r="A18" s="196" t="s">
        <v>3879</v>
      </c>
      <c r="B18" s="197">
        <f>_xlfn.IFNA(_xlfn.XLOOKUP(A18,'Price list'!A:A,'Price list'!E:E),0)</f>
        <v>36500</v>
      </c>
      <c r="C18" s="196" t="s">
        <v>9</v>
      </c>
      <c r="E18" s="200"/>
      <c r="G18" s="197" t="s">
        <v>2223</v>
      </c>
      <c r="H18" s="197" t="str">
        <f>IF(G18=0,"",_xlfn.XLOOKUP(G18,List_item!A:A,List_item!B:B))</f>
        <v>Karkas Uk 0.9 Frozen Premium</v>
      </c>
      <c r="I18" s="197">
        <v>267.5</v>
      </c>
      <c r="J18" s="198">
        <f t="shared" si="4"/>
        <v>1.743136603262109E-2</v>
      </c>
      <c r="K18" s="197">
        <f t="shared" si="0"/>
        <v>9763750</v>
      </c>
      <c r="L18" s="199">
        <f t="shared" si="1"/>
        <v>37638.000215286178</v>
      </c>
      <c r="M18" s="197">
        <f t="shared" si="2"/>
        <v>10068165.057589052</v>
      </c>
      <c r="N18" s="197">
        <f t="shared" si="3"/>
        <v>-1138.000215286178</v>
      </c>
      <c r="O18" s="197">
        <f t="shared" si="5"/>
        <v>-304415.05758905225</v>
      </c>
      <c r="P18" s="197"/>
    </row>
    <row r="19" spans="1:16" s="196" customFormat="1" x14ac:dyDescent="0.35">
      <c r="A19" s="196" t="s">
        <v>3880</v>
      </c>
      <c r="B19" s="197">
        <f>_xlfn.IFNA(_xlfn.XLOOKUP(A19,'Price list'!A:A,'Price list'!E:E),0)</f>
        <v>36500</v>
      </c>
      <c r="C19" s="196" t="s">
        <v>9</v>
      </c>
      <c r="E19" s="197"/>
      <c r="F19" s="197"/>
      <c r="G19" s="197" t="s">
        <v>891</v>
      </c>
      <c r="H19" s="197" t="str">
        <f>IF(G19=0,"",_xlfn.XLOOKUP(G19,List_item!A:A,List_item!B:B))</f>
        <v>Karkas Uk 1.0 Karkas Uk 1.0 Fresh Premium</v>
      </c>
      <c r="I19" s="197">
        <v>1057.5999999999999</v>
      </c>
      <c r="J19" s="198">
        <f t="shared" ref="J19" si="12">IF(F19/J$5&gt;0,F19/J$5,I19/J$5)</f>
        <v>6.8917430714392755E-2</v>
      </c>
      <c r="K19" s="197">
        <f t="shared" ref="K19" si="13">+B19*(F19+I19)</f>
        <v>38602400</v>
      </c>
      <c r="L19" s="199">
        <f t="shared" ref="L19" si="14">IFERROR(((K19/SUM($K$11:$K$82))*$F$10)/(F19+I19),0)</f>
        <v>37638.000215286178</v>
      </c>
      <c r="M19" s="197">
        <f t="shared" ref="M19" si="15">+L19*(F19+I19)</f>
        <v>39805949.027686656</v>
      </c>
      <c r="N19" s="197">
        <f t="shared" ref="N19" si="16">IF(L19=0,0,B19-L19)</f>
        <v>-1138.000215286178</v>
      </c>
      <c r="O19" s="197">
        <f t="shared" ref="O19" si="17">+K19-M19</f>
        <v>-1203549.0276866555</v>
      </c>
      <c r="P19" s="197"/>
    </row>
    <row r="20" spans="1:16" s="196" customFormat="1" x14ac:dyDescent="0.35">
      <c r="A20" s="196" t="s">
        <v>3880</v>
      </c>
      <c r="B20" s="197">
        <f>_xlfn.IFNA(_xlfn.XLOOKUP(A20,'Price list'!A:A,'Price list'!E:E),0)</f>
        <v>36500</v>
      </c>
      <c r="C20" s="196" t="s">
        <v>9</v>
      </c>
      <c r="E20" s="197"/>
      <c r="F20" s="197"/>
      <c r="G20" s="197" t="s">
        <v>923</v>
      </c>
      <c r="H20" s="197" t="str">
        <f>IF(G20=0,"",_xlfn.XLOOKUP(G20,List_item!A:A,List_item!B:B))</f>
        <v>Karkas Uk 1.0 Karkas Uk 1.0 Frozen Premium</v>
      </c>
      <c r="I20" s="197">
        <v>261.2</v>
      </c>
      <c r="J20" s="198">
        <f t="shared" si="4"/>
        <v>1.7020832926058424E-2</v>
      </c>
      <c r="K20" s="197">
        <f t="shared" si="0"/>
        <v>9533800</v>
      </c>
      <c r="L20" s="199">
        <f t="shared" si="1"/>
        <v>37638.000215286171</v>
      </c>
      <c r="M20" s="197">
        <f t="shared" si="2"/>
        <v>9831045.6562327482</v>
      </c>
      <c r="N20" s="197">
        <f t="shared" si="3"/>
        <v>-1138.0002152861707</v>
      </c>
      <c r="O20" s="197">
        <f t="shared" si="5"/>
        <v>-297245.65623274818</v>
      </c>
      <c r="P20" s="197"/>
    </row>
    <row r="21" spans="1:16" s="196" customFormat="1" x14ac:dyDescent="0.35">
      <c r="A21" s="196" t="s">
        <v>3881</v>
      </c>
      <c r="B21" s="197">
        <f>_xlfn.IFNA(_xlfn.XLOOKUP(A21,'Price list'!A:A,'Price list'!E:E),0)</f>
        <v>36500</v>
      </c>
      <c r="C21" s="196" t="s">
        <v>9</v>
      </c>
      <c r="E21" s="197"/>
      <c r="F21" s="197"/>
      <c r="G21" s="197" t="s">
        <v>957</v>
      </c>
      <c r="H21" s="197" t="str">
        <f>IF(G21=0,"",_xlfn.XLOOKUP(G21,List_item!A:A,List_item!B:B))</f>
        <v>Karkas Uk 1.1 Karkas Uk 1.1 Fresh Premium</v>
      </c>
      <c r="I21" s="197">
        <v>2220</v>
      </c>
      <c r="J21" s="198">
        <f t="shared" ref="J21" si="18">IF(F21/J$5&gt;0,F21/J$5,I21/J$5)</f>
        <v>0.14466404707446287</v>
      </c>
      <c r="K21" s="197">
        <f t="shared" ref="K21" si="19">+B21*(F21+I21)</f>
        <v>81030000</v>
      </c>
      <c r="L21" s="199">
        <f t="shared" ref="L21" si="20">IFERROR(((K21/SUM($K$11:$K$82))*$F$10)/(F21+I21),0)</f>
        <v>37638.000215286178</v>
      </c>
      <c r="M21" s="197">
        <f t="shared" ref="M21" si="21">+L21*(F21+I21)</f>
        <v>83556360.477935314</v>
      </c>
      <c r="N21" s="197">
        <f t="shared" ref="N21" si="22">IF(L21=0,0,B21-L21)</f>
        <v>-1138.000215286178</v>
      </c>
      <c r="O21" s="197">
        <f t="shared" ref="O21" si="23">+K21-M21</f>
        <v>-2526360.4779353142</v>
      </c>
      <c r="P21" s="197"/>
    </row>
    <row r="22" spans="1:16" s="196" customFormat="1" x14ac:dyDescent="0.35">
      <c r="A22" s="196" t="s">
        <v>3881</v>
      </c>
      <c r="B22" s="197">
        <f>_xlfn.IFNA(_xlfn.XLOOKUP(A22,'Price list'!A:A,'Price list'!E:E),0)</f>
        <v>36500</v>
      </c>
      <c r="C22" s="196" t="s">
        <v>9</v>
      </c>
      <c r="E22" s="197"/>
      <c r="F22" s="197"/>
      <c r="G22" s="197" t="s">
        <v>989</v>
      </c>
      <c r="H22" s="197" t="str">
        <f>IF(G22=0,"",_xlfn.XLOOKUP(G22,List_item!A:A,List_item!B:B))</f>
        <v>Karkas Uk 1.1 Karkas Uk 1.1 Frozen Premium</v>
      </c>
      <c r="I22" s="197">
        <v>713</v>
      </c>
      <c r="J22" s="198">
        <f t="shared" si="4"/>
        <v>4.6461921425266679E-2</v>
      </c>
      <c r="K22" s="197">
        <f t="shared" si="0"/>
        <v>26024500</v>
      </c>
      <c r="L22" s="199">
        <f t="shared" si="1"/>
        <v>37638.000215286178</v>
      </c>
      <c r="M22" s="197">
        <f t="shared" si="2"/>
        <v>26835894.153499044</v>
      </c>
      <c r="N22" s="197">
        <f t="shared" si="3"/>
        <v>-1138.000215286178</v>
      </c>
      <c r="O22" s="197">
        <f t="shared" si="5"/>
        <v>-811394.15349904448</v>
      </c>
      <c r="P22" s="197"/>
    </row>
    <row r="23" spans="1:16" s="196" customFormat="1" x14ac:dyDescent="0.35">
      <c r="A23" s="196" t="s">
        <v>3882</v>
      </c>
      <c r="B23" s="197">
        <f>_xlfn.IFNA(_xlfn.XLOOKUP(A23,'Price list'!A:A,'Price list'!E:E),0)</f>
        <v>36500</v>
      </c>
      <c r="C23" s="196" t="s">
        <v>9</v>
      </c>
      <c r="E23" s="197"/>
      <c r="F23" s="197"/>
      <c r="G23" s="197" t="s">
        <v>1055</v>
      </c>
      <c r="H23" s="197" t="str">
        <f>IF(G23=0,"",_xlfn.XLOOKUP(G23,List_item!A:A,List_item!B:B))</f>
        <v>Karkas Uk 1.2 Karkas Uk 1.2 Frozen Premium</v>
      </c>
      <c r="I23" s="197">
        <v>1936.3</v>
      </c>
      <c r="J23" s="198">
        <f t="shared" si="4"/>
        <v>0.12617702448210921</v>
      </c>
      <c r="K23" s="197">
        <f t="shared" si="0"/>
        <v>70674950</v>
      </c>
      <c r="L23" s="199">
        <f t="shared" si="1"/>
        <v>37638.000215286185</v>
      </c>
      <c r="M23" s="197">
        <f t="shared" si="2"/>
        <v>72878459.816858634</v>
      </c>
      <c r="N23" s="197">
        <f t="shared" si="3"/>
        <v>-1138.0002152861853</v>
      </c>
      <c r="O23" s="197">
        <f t="shared" si="5"/>
        <v>-2203509.8168586344</v>
      </c>
      <c r="P23" s="197"/>
    </row>
    <row r="24" spans="1:16" s="196" customFormat="1" x14ac:dyDescent="0.35">
      <c r="A24" s="196" t="s">
        <v>3883</v>
      </c>
      <c r="B24" s="197">
        <f>_xlfn.IFNA(_xlfn.XLOOKUP(A24,'Price list'!A:A,'Price list'!E:E),0)</f>
        <v>36500</v>
      </c>
      <c r="C24" s="196" t="s">
        <v>9</v>
      </c>
      <c r="E24" s="197"/>
      <c r="F24" s="197"/>
      <c r="G24" s="197" t="s">
        <v>1089</v>
      </c>
      <c r="H24" s="197" t="str">
        <f>IF(G24=0,"",_xlfn.XLOOKUP(G24,List_item!A:A,List_item!B:B))</f>
        <v>Karkas Uk 1.3 Karkas Uk 1.3 Fresh Premium</v>
      </c>
      <c r="I24" s="197">
        <v>932.2</v>
      </c>
      <c r="J24" s="198">
        <f t="shared" si="4"/>
        <v>6.0745866974240677E-2</v>
      </c>
      <c r="K24" s="197">
        <f t="shared" si="0"/>
        <v>34025300</v>
      </c>
      <c r="L24" s="199">
        <f t="shared" si="1"/>
        <v>37638.000215286178</v>
      </c>
      <c r="M24" s="197">
        <f t="shared" si="2"/>
        <v>35086143.800689779</v>
      </c>
      <c r="N24" s="197">
        <f t="shared" si="3"/>
        <v>-1138.000215286178</v>
      </c>
      <c r="O24" s="197">
        <f t="shared" si="5"/>
        <v>-1060843.8006897792</v>
      </c>
      <c r="P24" s="197"/>
    </row>
    <row r="25" spans="1:16" s="196" customFormat="1" x14ac:dyDescent="0.35">
      <c r="A25" s="196" t="s">
        <v>3884</v>
      </c>
      <c r="B25" s="197">
        <f>_xlfn.IFNA(_xlfn.XLOOKUP(A25,'Price list'!A:A,'Price list'!E:E),0)</f>
        <v>36500</v>
      </c>
      <c r="C25" s="196" t="s">
        <v>9</v>
      </c>
      <c r="E25" s="197"/>
      <c r="F25" s="197"/>
      <c r="G25" s="197" t="s">
        <v>1155</v>
      </c>
      <c r="H25" s="197" t="str">
        <f>IF(G25=0,"",_xlfn.XLOOKUP(G25,List_item!A:A,List_item!B:B))</f>
        <v>Karkas Uk 1.4 Karkas Uk 1.4 Fresh Premium</v>
      </c>
      <c r="I25" s="197">
        <v>335.5</v>
      </c>
      <c r="J25" s="198">
        <f t="shared" si="4"/>
        <v>2.1862517024091123E-2</v>
      </c>
      <c r="K25" s="197">
        <f t="shared" si="0"/>
        <v>12245750</v>
      </c>
      <c r="L25" s="199">
        <f t="shared" si="1"/>
        <v>37638.000215286178</v>
      </c>
      <c r="M25" s="197">
        <f t="shared" si="2"/>
        <v>12627549.072228512</v>
      </c>
      <c r="N25" s="197">
        <f t="shared" si="3"/>
        <v>-1138.000215286178</v>
      </c>
      <c r="O25" s="197">
        <f t="shared" si="5"/>
        <v>-381799.0722285118</v>
      </c>
      <c r="P25" s="197"/>
    </row>
    <row r="26" spans="1:16" s="196" customFormat="1" x14ac:dyDescent="0.35">
      <c r="A26" s="196" t="s">
        <v>3849</v>
      </c>
      <c r="B26" s="197">
        <f>_xlfn.IFNA(_xlfn.XLOOKUP(A26,'Price list'!A:A,'Price list'!E:E),0)</f>
        <v>36500</v>
      </c>
      <c r="C26" s="196" t="s">
        <v>9</v>
      </c>
      <c r="E26" s="197"/>
      <c r="F26" s="197"/>
      <c r="G26" s="197" t="s">
        <v>30</v>
      </c>
      <c r="H26" s="197" t="str">
        <f>IF(G26=0,"",_xlfn.XLOOKUP(G26,List_item!A:A,List_item!B:B))</f>
        <v>Karkas Uk 1.5 Karkas Uk 1.5 Fresh Premium</v>
      </c>
      <c r="I26" s="197">
        <v>79.2</v>
      </c>
      <c r="J26" s="198">
        <f t="shared" si="4"/>
        <v>5.1609876253592164E-3</v>
      </c>
      <c r="K26" s="197">
        <f t="shared" si="0"/>
        <v>2890800</v>
      </c>
      <c r="L26" s="199">
        <f t="shared" si="1"/>
        <v>37638.000215286178</v>
      </c>
      <c r="M26" s="197">
        <f t="shared" si="2"/>
        <v>2980929.6170506654</v>
      </c>
      <c r="N26" s="197">
        <f t="shared" si="3"/>
        <v>-1138.000215286178</v>
      </c>
      <c r="O26" s="197">
        <f t="shared" si="5"/>
        <v>-90129.617050665431</v>
      </c>
      <c r="P26" s="197"/>
    </row>
    <row r="27" spans="1:16" x14ac:dyDescent="0.35">
      <c r="A27" t="s">
        <v>3885</v>
      </c>
      <c r="B27" s="3">
        <f>_xlfn.IFNA(_xlfn.XLOOKUP(A27,'Price list'!A:A,'Price list'!E:E),0)</f>
        <v>36500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6" x14ac:dyDescent="0.35">
      <c r="A28" t="s">
        <v>3886</v>
      </c>
      <c r="B28" s="3">
        <f>_xlfn.IFNA(_xlfn.XLOOKUP(A28,'Price list'!A:A,'Price list'!E:E),0)</f>
        <v>36500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6" x14ac:dyDescent="0.35">
      <c r="A29" t="s">
        <v>3887</v>
      </c>
      <c r="B29" s="3">
        <f>_xlfn.IFNA(_xlfn.XLOOKUP(A29,'Price list'!A:A,'Price list'!E:E),0)</f>
        <v>36500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3888</v>
      </c>
      <c r="B30" s="3">
        <f>_xlfn.IFNA(_xlfn.XLOOKUP(A30,'Price list'!A:A,'Price list'!E:E),0)</f>
        <v>36500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3889</v>
      </c>
      <c r="B31" s="3">
        <f>_xlfn.IFNA(_xlfn.XLOOKUP(A31,'Price list'!A:A,'Price list'!E:E),0)</f>
        <v>36500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3890</v>
      </c>
      <c r="B32" s="3">
        <f>_xlfn.IFNA(_xlfn.XLOOKUP(A32,'Price list'!A:A,'Price list'!E:E),0)</f>
        <v>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8</v>
      </c>
      <c r="B33" s="3">
        <f>_xlfn.IFNA(_xlfn.XLOOKUP(A33,'Price list'!A:A,'Price list'!E:E),0)</f>
        <v>50000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10</v>
      </c>
      <c r="B34" s="3">
        <f>_xlfn.IFNA(_xlfn.XLOOKUP(A34,'Price list'!A:A,'Price list'!E:E),0)</f>
        <v>48000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12</v>
      </c>
      <c r="B35" s="3">
        <f>_xlfn.IFNA(_xlfn.XLOOKUP(A35,'Price list'!A:A,'Price list'!E:E),0)</f>
        <v>49000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2159</v>
      </c>
      <c r="B36" s="3">
        <f>_xlfn.IFNA(_xlfn.XLOOKUP(A36,'Price list'!A:A,'Price list'!E:E),0)</f>
        <v>5500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3891</v>
      </c>
      <c r="B37" s="3">
        <f>_xlfn.IFNA(_xlfn.XLOOKUP(A37,'Price list'!A:A,'Price list'!E:E),0)</f>
        <v>20000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3892</v>
      </c>
      <c r="B38" s="3">
        <f>_xlfn.IFNA(_xlfn.XLOOKUP(A38,'Price list'!A:A,'Price list'!E:E),0)</f>
        <v>22000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x14ac:dyDescent="0.35">
      <c r="A39" t="s">
        <v>3852</v>
      </c>
      <c r="B39" s="3">
        <f>_xlfn.IFNA(_xlfn.XLOOKUP(A39,'Price list'!A:A,'Price list'!E:E),0)</f>
        <v>18000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si="1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6" x14ac:dyDescent="0.35">
      <c r="A40" t="s">
        <v>17</v>
      </c>
      <c r="B40" s="3">
        <f>_xlfn.IFNA(_xlfn.XLOOKUP(A40,'Price list'!A:A,'Price list'!E:E),0)</f>
        <v>3500</v>
      </c>
      <c r="C40" t="s">
        <v>9</v>
      </c>
      <c r="E40" s="3"/>
      <c r="F40" s="3"/>
      <c r="G40" s="3"/>
      <c r="H40" s="3" t="str">
        <f>IF(G40=0,"",_xlfn.XLOOKUP(G40,List_item!A:A,List_item!B:B))</f>
        <v/>
      </c>
      <c r="I40" s="3">
        <v>0</v>
      </c>
      <c r="J40" s="26">
        <f t="shared" si="4"/>
        <v>0</v>
      </c>
      <c r="K40" s="3">
        <f t="shared" si="0"/>
        <v>0</v>
      </c>
      <c r="L40" s="27">
        <f t="shared" si="1"/>
        <v>0</v>
      </c>
      <c r="M40" s="3">
        <f t="shared" si="2"/>
        <v>0</v>
      </c>
      <c r="N40" s="3">
        <f t="shared" si="3"/>
        <v>0</v>
      </c>
      <c r="O40" s="3">
        <f t="shared" si="5"/>
        <v>0</v>
      </c>
      <c r="P40" s="3"/>
    </row>
    <row r="41" spans="1:16" x14ac:dyDescent="0.35">
      <c r="A41" t="s">
        <v>2199</v>
      </c>
      <c r="B41" s="3">
        <f>_xlfn.IFNA(_xlfn.XLOOKUP(A41,'Price list'!A:A,'Price list'!E:E),0)</f>
        <v>38000</v>
      </c>
      <c r="C41" t="s">
        <v>9</v>
      </c>
      <c r="E41" s="3"/>
      <c r="F41" s="3"/>
      <c r="G41" s="3"/>
      <c r="H41" s="3" t="str">
        <f>IF(G41=0,"",_xlfn.XLOOKUP(G41,List_item!A:A,List_item!B:B))</f>
        <v/>
      </c>
      <c r="I41" s="3">
        <v>0</v>
      </c>
      <c r="J41" s="26">
        <f t="shared" si="4"/>
        <v>0</v>
      </c>
      <c r="K41" s="3">
        <f t="shared" si="0"/>
        <v>0</v>
      </c>
      <c r="L41" s="27">
        <f t="shared" si="1"/>
        <v>0</v>
      </c>
      <c r="M41" s="3">
        <f t="shared" si="2"/>
        <v>0</v>
      </c>
      <c r="N41" s="3">
        <f t="shared" si="3"/>
        <v>0</v>
      </c>
      <c r="O41" s="3">
        <f t="shared" si="5"/>
        <v>0</v>
      </c>
      <c r="P41" s="3"/>
    </row>
    <row r="42" spans="1:16" s="196" customFormat="1" x14ac:dyDescent="0.35">
      <c r="A42" s="196" t="s">
        <v>2161</v>
      </c>
      <c r="B42" s="197">
        <f>_xlfn.IFNA(_xlfn.XLOOKUP(A42,'Price list'!A:A,'Price list'!E:E),0)</f>
        <v>18000</v>
      </c>
      <c r="C42" s="196" t="s">
        <v>9</v>
      </c>
      <c r="E42" s="197"/>
      <c r="F42" s="197"/>
      <c r="G42" s="197" t="s">
        <v>19</v>
      </c>
      <c r="H42" s="197" t="str">
        <f>IF(G42=0,"",_xlfn.XLOOKUP(G42,List_item!A:A,List_item!B:B))</f>
        <v>Boneless BL Frozen Lemak</v>
      </c>
      <c r="I42" s="197">
        <v>51.9</v>
      </c>
      <c r="J42" s="198">
        <f t="shared" si="4"/>
        <v>3.3820108302543344E-3</v>
      </c>
      <c r="K42" s="197">
        <f t="shared" si="0"/>
        <v>934200</v>
      </c>
      <c r="L42" s="199">
        <f t="shared" si="1"/>
        <v>18561.205585620584</v>
      </c>
      <c r="M42" s="197">
        <f t="shared" si="2"/>
        <v>963326.56989370834</v>
      </c>
      <c r="N42" s="197">
        <f t="shared" si="3"/>
        <v>-561.20558562058432</v>
      </c>
      <c r="O42" s="197">
        <f t="shared" si="5"/>
        <v>-29126.569893708336</v>
      </c>
      <c r="P42" s="197"/>
    </row>
    <row r="43" spans="1:16" s="196" customFormat="1" x14ac:dyDescent="0.35">
      <c r="A43" s="196" t="s">
        <v>2162</v>
      </c>
      <c r="B43" s="197">
        <f>_xlfn.IFNA(_xlfn.XLOOKUP(A43,'Price list'!A:A,'Price list'!E:E),0)</f>
        <v>8000</v>
      </c>
      <c r="C43" s="196" t="s">
        <v>9</v>
      </c>
      <c r="E43" s="197"/>
      <c r="F43" s="197"/>
      <c r="G43" s="197" t="s">
        <v>310</v>
      </c>
      <c r="H43" s="197" t="str">
        <f>IF(G43=0,"",_xlfn.XLOOKUP(G43,List_item!A:A,List_item!B:B))</f>
        <v>Boneless BL Frozen Kepala</v>
      </c>
      <c r="I43" s="197">
        <v>636.1</v>
      </c>
      <c r="J43" s="198">
        <f t="shared" si="4"/>
        <v>4.145081096579542E-2</v>
      </c>
      <c r="K43" s="197">
        <f t="shared" si="0"/>
        <v>5088800</v>
      </c>
      <c r="L43" s="199">
        <f t="shared" si="1"/>
        <v>8249.4247047202571</v>
      </c>
      <c r="M43" s="197">
        <f t="shared" si="2"/>
        <v>5247459.054672556</v>
      </c>
      <c r="N43" s="197">
        <f t="shared" si="3"/>
        <v>-249.42470472025707</v>
      </c>
      <c r="O43" s="197">
        <f t="shared" si="5"/>
        <v>-158659.054672556</v>
      </c>
      <c r="P43" s="197"/>
    </row>
    <row r="44" spans="1:16" s="196" customFormat="1" x14ac:dyDescent="0.35">
      <c r="A44" s="196" t="s">
        <v>0</v>
      </c>
      <c r="B44" s="197">
        <f>_xlfn.IFNA(_xlfn.XLOOKUP(A44,'Price list'!A:A,'Price list'!E:E),0)</f>
        <v>10000</v>
      </c>
      <c r="C44" s="196" t="s">
        <v>9</v>
      </c>
      <c r="E44" s="197"/>
      <c r="F44" s="197"/>
      <c r="G44" s="197" t="s">
        <v>22</v>
      </c>
      <c r="H44" s="197" t="str">
        <f>IF(G44=0,"",_xlfn.XLOOKUP(G44,List_item!A:A,List_item!B:B))</f>
        <v>Boneless BL Frozen Ceker</v>
      </c>
      <c r="I44" s="197">
        <v>462.3</v>
      </c>
      <c r="J44" s="198">
        <f t="shared" si="4"/>
        <v>3.0125310343479365E-2</v>
      </c>
      <c r="K44" s="197">
        <f t="shared" si="0"/>
        <v>4623000</v>
      </c>
      <c r="L44" s="199">
        <f t="shared" si="1"/>
        <v>10311.780880900322</v>
      </c>
      <c r="M44" s="197">
        <f t="shared" si="2"/>
        <v>4767136.3012402188</v>
      </c>
      <c r="N44" s="197">
        <f t="shared" si="3"/>
        <v>-311.78088090032179</v>
      </c>
      <c r="O44" s="197">
        <f t="shared" si="5"/>
        <v>-144136.3012402188</v>
      </c>
      <c r="P44" s="197"/>
    </row>
    <row r="45" spans="1:16" x14ac:dyDescent="0.35">
      <c r="A45" t="s">
        <v>24</v>
      </c>
      <c r="B45" s="3">
        <f>_xlfn.IFNA(_xlfn.XLOOKUP(A45,'Price list'!A:A,'Price list'!E:E),0)</f>
        <v>4000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27">
        <f t="shared" si="1"/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/>
    </row>
    <row r="46" spans="1:16" x14ac:dyDescent="0.35">
      <c r="A46" t="s">
        <v>3893</v>
      </c>
      <c r="B46" s="3">
        <f>_xlfn.IFNA(_xlfn.XLOOKUP(A46,'Price list'!A:A,'Price list'!E:E),0)</f>
        <v>5000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ref="K46:K82" si="24">+B46*(F46+I46)</f>
        <v>0</v>
      </c>
      <c r="L46" s="27">
        <f t="shared" ref="L46:L77" si="25">IFERROR(((K46/SUM($K$11:$K$82))*$F$10)/(F46+I46),0)</f>
        <v>0</v>
      </c>
      <c r="M46" s="3">
        <f t="shared" ref="M46:M77" si="26">+L46*(F46+I46)</f>
        <v>0</v>
      </c>
      <c r="N46" s="3">
        <f t="shared" ref="N46:N82" si="27">IF(L46=0,0,B46-L46)</f>
        <v>0</v>
      </c>
      <c r="O46" s="3">
        <f t="shared" si="5"/>
        <v>0</v>
      </c>
      <c r="P46" s="3" t="s">
        <v>3947</v>
      </c>
    </row>
    <row r="47" spans="1:16" x14ac:dyDescent="0.35">
      <c r="A47" t="s">
        <v>2167</v>
      </c>
      <c r="B47" s="3">
        <f>_xlfn.IFNA(_xlfn.XLOOKUP(A47,'Price list'!A:A,'Price list'!E:E),0)</f>
        <v>16000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24"/>
        <v>0</v>
      </c>
      <c r="L47" s="27">
        <f t="shared" si="25"/>
        <v>0</v>
      </c>
      <c r="M47" s="3">
        <f t="shared" si="26"/>
        <v>0</v>
      </c>
      <c r="N47" s="3">
        <f t="shared" si="27"/>
        <v>0</v>
      </c>
      <c r="O47" s="3">
        <f t="shared" si="5"/>
        <v>0</v>
      </c>
      <c r="P47" s="3"/>
    </row>
    <row r="48" spans="1:16" x14ac:dyDescent="0.35">
      <c r="A48" t="s">
        <v>2168</v>
      </c>
      <c r="B48" s="3">
        <f>_xlfn.IFNA(_xlfn.XLOOKUP(A48,'Price list'!A:A,'Price list'!E:E),0)</f>
        <v>10000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24"/>
        <v>0</v>
      </c>
      <c r="L48" s="27">
        <f t="shared" si="25"/>
        <v>0</v>
      </c>
      <c r="M48" s="3">
        <f t="shared" si="26"/>
        <v>0</v>
      </c>
      <c r="N48" s="3">
        <f t="shared" si="27"/>
        <v>0</v>
      </c>
      <c r="O48" s="3">
        <f t="shared" si="5"/>
        <v>0</v>
      </c>
      <c r="P48" s="3"/>
    </row>
    <row r="49" spans="1:16" x14ac:dyDescent="0.35">
      <c r="A49" t="s">
        <v>2169</v>
      </c>
      <c r="B49" s="3">
        <f>_xlfn.IFNA(_xlfn.XLOOKUP(A49,'Price list'!A:A,'Price list'!E:E),0)</f>
        <v>5000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24"/>
        <v>0</v>
      </c>
      <c r="L49" s="27">
        <f t="shared" si="25"/>
        <v>0</v>
      </c>
      <c r="M49" s="3">
        <f t="shared" si="26"/>
        <v>0</v>
      </c>
      <c r="N49" s="3">
        <f t="shared" si="27"/>
        <v>0</v>
      </c>
      <c r="O49" s="3">
        <f t="shared" si="5"/>
        <v>0</v>
      </c>
      <c r="P49" s="3"/>
    </row>
    <row r="50" spans="1:16" s="196" customFormat="1" x14ac:dyDescent="0.35">
      <c r="A50" s="196" t="s">
        <v>3894</v>
      </c>
      <c r="B50" s="197">
        <f>_xlfn.IFNA(_xlfn.XLOOKUP(A50,'Price list'!A:A,'Price list'!E:E),0)</f>
        <v>5000</v>
      </c>
      <c r="C50" s="196" t="s">
        <v>9</v>
      </c>
      <c r="E50" s="197"/>
      <c r="F50" s="197"/>
      <c r="G50" s="197" t="s">
        <v>286</v>
      </c>
      <c r="H50" s="197" t="str">
        <f>IF(G50=0,"",_xlfn.XLOOKUP(G50,List_item!A:A,List_item!B:B))</f>
        <v>Boneless BL Frozen HJA</v>
      </c>
      <c r="I50" s="197">
        <v>896.8</v>
      </c>
      <c r="J50" s="198">
        <f t="shared" si="4"/>
        <v>5.8439061899269507E-2</v>
      </c>
      <c r="K50" s="197">
        <f t="shared" si="24"/>
        <v>4484000</v>
      </c>
      <c r="L50" s="199">
        <f t="shared" si="25"/>
        <v>5155.8904404501618</v>
      </c>
      <c r="M50" s="197">
        <f t="shared" si="26"/>
        <v>4623802.546995705</v>
      </c>
      <c r="N50" s="197">
        <f t="shared" si="27"/>
        <v>-155.8904404501618</v>
      </c>
      <c r="O50" s="197">
        <f t="shared" si="5"/>
        <v>-139802.54699570499</v>
      </c>
      <c r="P50" s="197"/>
    </row>
    <row r="51" spans="1:16" x14ac:dyDescent="0.35">
      <c r="A51" t="s">
        <v>2170</v>
      </c>
      <c r="B51" s="3">
        <f>_xlfn.IFNA(_xlfn.XLOOKUP(A51,'Price list'!A:A,'Price list'!E:E),0)</f>
        <v>45000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24"/>
        <v>0</v>
      </c>
      <c r="L51" s="27">
        <f t="shared" si="25"/>
        <v>0</v>
      </c>
      <c r="M51" s="3">
        <f t="shared" si="26"/>
        <v>0</v>
      </c>
      <c r="N51" s="3">
        <f t="shared" si="27"/>
        <v>0</v>
      </c>
      <c r="O51" s="3">
        <f t="shared" si="5"/>
        <v>0</v>
      </c>
      <c r="P51" s="3"/>
    </row>
    <row r="52" spans="1:16" x14ac:dyDescent="0.35">
      <c r="A52" t="s">
        <v>2171</v>
      </c>
      <c r="B52" s="3">
        <f>_xlfn.IFNA(_xlfn.XLOOKUP(A52,'Price list'!A:A,'Price list'!E:E),0)</f>
        <v>44000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24"/>
        <v>0</v>
      </c>
      <c r="L52" s="27">
        <f t="shared" si="25"/>
        <v>0</v>
      </c>
      <c r="M52" s="3">
        <f t="shared" si="26"/>
        <v>0</v>
      </c>
      <c r="N52" s="3">
        <f t="shared" si="27"/>
        <v>0</v>
      </c>
      <c r="O52" s="3">
        <f t="shared" si="5"/>
        <v>0</v>
      </c>
      <c r="P52" s="3"/>
    </row>
    <row r="53" spans="1:16" x14ac:dyDescent="0.35">
      <c r="A53" t="s">
        <v>3895</v>
      </c>
      <c r="B53" s="3">
        <f>_xlfn.IFNA(_xlfn.XLOOKUP(A53,'Price list'!A:A,'Price list'!E:E),0)</f>
        <v>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24"/>
        <v>0</v>
      </c>
      <c r="L53" s="27">
        <f t="shared" si="25"/>
        <v>0</v>
      </c>
      <c r="M53" s="3">
        <f t="shared" si="26"/>
        <v>0</v>
      </c>
      <c r="N53" s="3">
        <f t="shared" si="27"/>
        <v>0</v>
      </c>
      <c r="O53" s="3">
        <f t="shared" si="5"/>
        <v>0</v>
      </c>
      <c r="P53" s="3"/>
    </row>
    <row r="54" spans="1:16" x14ac:dyDescent="0.35">
      <c r="A54" t="s">
        <v>3896</v>
      </c>
      <c r="B54" s="3">
        <f>_xlfn.IFNA(_xlfn.XLOOKUP(A54,'Price list'!A:A,'Price list'!E:E),0)</f>
        <v>35000</v>
      </c>
      <c r="C54" t="s">
        <v>9</v>
      </c>
      <c r="E54" s="3"/>
      <c r="F54" s="3"/>
      <c r="G54" s="3"/>
      <c r="H54" s="3" t="str">
        <f>IF(G54=0,"",_xlfn.XLOOKUP(G54,List_item!A:A,List_item!B:B))</f>
        <v/>
      </c>
      <c r="I54" s="3">
        <v>0</v>
      </c>
      <c r="J54" s="26">
        <f t="shared" si="4"/>
        <v>0</v>
      </c>
      <c r="K54" s="3">
        <f t="shared" si="24"/>
        <v>0</v>
      </c>
      <c r="L54" s="27">
        <f t="shared" si="25"/>
        <v>0</v>
      </c>
      <c r="M54" s="3">
        <f t="shared" si="26"/>
        <v>0</v>
      </c>
      <c r="N54" s="3">
        <f t="shared" si="27"/>
        <v>0</v>
      </c>
      <c r="O54" s="3">
        <f t="shared" si="5"/>
        <v>0</v>
      </c>
      <c r="P54" s="3"/>
    </row>
    <row r="55" spans="1:16" x14ac:dyDescent="0.35">
      <c r="A55" t="s">
        <v>3897</v>
      </c>
      <c r="B55" s="3">
        <f>_xlfn.IFNA(_xlfn.XLOOKUP(A55,'Price list'!A:A,'Price list'!E:E),0)</f>
        <v>35000</v>
      </c>
      <c r="C55" t="s">
        <v>9</v>
      </c>
      <c r="E55" s="3"/>
      <c r="F55" s="3"/>
      <c r="G55" s="3"/>
      <c r="H55" s="3" t="str">
        <f>IF(G55=0,"",_xlfn.XLOOKUP(G55,List_item!A:A,List_item!B:B))</f>
        <v/>
      </c>
      <c r="I55" s="3">
        <v>0</v>
      </c>
      <c r="J55" s="26">
        <f t="shared" si="4"/>
        <v>0</v>
      </c>
      <c r="K55" s="3">
        <f t="shared" si="24"/>
        <v>0</v>
      </c>
      <c r="L55" s="27">
        <f t="shared" si="25"/>
        <v>0</v>
      </c>
      <c r="M55" s="3">
        <f t="shared" si="26"/>
        <v>0</v>
      </c>
      <c r="N55" s="3">
        <f t="shared" si="27"/>
        <v>0</v>
      </c>
      <c r="O55" s="3">
        <f t="shared" si="5"/>
        <v>0</v>
      </c>
      <c r="P55" s="3"/>
    </row>
    <row r="56" spans="1:16" s="196" customFormat="1" x14ac:dyDescent="0.35">
      <c r="A56" s="196" t="s">
        <v>3898</v>
      </c>
      <c r="B56" s="197">
        <f>_xlfn.IFNA(_xlfn.XLOOKUP(A56,'Price list'!A:A,'Price list'!E:E),0)</f>
        <v>35000</v>
      </c>
      <c r="C56" s="196" t="s">
        <v>9</v>
      </c>
      <c r="E56" s="197"/>
      <c r="F56" s="197"/>
      <c r="G56" s="197" t="s">
        <v>636</v>
      </c>
      <c r="H56" s="197" t="str">
        <f>IF(G56=0,"",_xlfn.XLOOKUP(G56,List_item!A:A,List_item!B:B))</f>
        <v>Karkas Uk 0.6 Karkas Uk 0.6 Frozen Grade A</v>
      </c>
      <c r="I56" s="197">
        <v>10.4</v>
      </c>
      <c r="J56" s="198">
        <f t="shared" si="4"/>
        <v>6.777054457542405E-4</v>
      </c>
      <c r="K56" s="197">
        <f t="shared" si="24"/>
        <v>364000</v>
      </c>
      <c r="L56" s="199">
        <f t="shared" si="25"/>
        <v>36091.233083151121</v>
      </c>
      <c r="M56" s="197">
        <f t="shared" si="26"/>
        <v>375348.82406477164</v>
      </c>
      <c r="N56" s="197">
        <f t="shared" si="27"/>
        <v>-1091.2330831511208</v>
      </c>
      <c r="O56" s="197">
        <f t="shared" si="5"/>
        <v>-11348.824064771645</v>
      </c>
      <c r="P56" s="197"/>
    </row>
    <row r="57" spans="1:16" s="196" customFormat="1" x14ac:dyDescent="0.35">
      <c r="A57" s="196" t="s">
        <v>3899</v>
      </c>
      <c r="B57" s="197">
        <f>_xlfn.IFNA(_xlfn.XLOOKUP(A57,'Price list'!A:A,'Price list'!E:E),0)</f>
        <v>35000</v>
      </c>
      <c r="C57" s="196" t="s">
        <v>9</v>
      </c>
      <c r="E57" s="197"/>
      <c r="F57" s="197"/>
      <c r="G57" s="197" t="s">
        <v>701</v>
      </c>
      <c r="H57" s="197" t="str">
        <f>IF(G57=0,"",_xlfn.XLOOKUP(G57,List_item!A:A,List_item!B:B))</f>
        <v>Karkas Uk 0.7 Karkas Uk 0.7 Frozen Grade A</v>
      </c>
      <c r="I57" s="197">
        <v>33.200000000000003</v>
      </c>
      <c r="J57" s="198">
        <f t="shared" si="4"/>
        <v>2.1634443076000757E-3</v>
      </c>
      <c r="K57" s="197">
        <f t="shared" si="24"/>
        <v>1162000</v>
      </c>
      <c r="L57" s="199">
        <f t="shared" si="25"/>
        <v>36091.233083151128</v>
      </c>
      <c r="M57" s="197">
        <f t="shared" si="26"/>
        <v>1198228.9383606175</v>
      </c>
      <c r="N57" s="197">
        <f t="shared" si="27"/>
        <v>-1091.2330831511281</v>
      </c>
      <c r="O57" s="197">
        <f t="shared" si="5"/>
        <v>-36228.938360617496</v>
      </c>
      <c r="P57" s="197"/>
    </row>
    <row r="58" spans="1:16" s="196" customFormat="1" x14ac:dyDescent="0.35">
      <c r="A58" s="196" t="s">
        <v>3900</v>
      </c>
      <c r="B58" s="197">
        <f>_xlfn.IFNA(_xlfn.XLOOKUP(A58,'Price list'!A:A,'Price list'!E:E),0)</f>
        <v>35000</v>
      </c>
      <c r="C58" s="196" t="s">
        <v>9</v>
      </c>
      <c r="E58" s="197"/>
      <c r="F58" s="197"/>
      <c r="G58" s="197" t="s">
        <v>766</v>
      </c>
      <c r="H58" s="197" t="str">
        <f>IF(G58=0,"",_xlfn.XLOOKUP(G58,List_item!A:A,List_item!B:B))</f>
        <v>Karkas Uk 0.8 Karkas Uk 0.8 Frozen Grade A</v>
      </c>
      <c r="I58" s="197">
        <v>67</v>
      </c>
      <c r="J58" s="198">
        <f t="shared" si="4"/>
        <v>4.365987006301357E-3</v>
      </c>
      <c r="K58" s="197">
        <f t="shared" si="24"/>
        <v>2345000</v>
      </c>
      <c r="L58" s="199">
        <f t="shared" si="25"/>
        <v>36091.233083151128</v>
      </c>
      <c r="M58" s="197">
        <f t="shared" si="26"/>
        <v>2418112.6165711256</v>
      </c>
      <c r="N58" s="197">
        <f t="shared" si="27"/>
        <v>-1091.2330831511281</v>
      </c>
      <c r="O58" s="197">
        <f t="shared" si="5"/>
        <v>-73112.616571125574</v>
      </c>
      <c r="P58" s="197"/>
    </row>
    <row r="59" spans="1:16" s="196" customFormat="1" x14ac:dyDescent="0.35">
      <c r="A59" s="196" t="s">
        <v>3901</v>
      </c>
      <c r="B59" s="197">
        <f>_xlfn.IFNA(_xlfn.XLOOKUP(A59,'Price list'!A:A,'Price list'!E:E),0)</f>
        <v>35000</v>
      </c>
      <c r="C59" s="196" t="s">
        <v>9</v>
      </c>
      <c r="E59" s="197"/>
      <c r="F59" s="197"/>
      <c r="G59" s="197" t="s">
        <v>831</v>
      </c>
      <c r="H59" s="197" t="str">
        <f>IF(G59=0,"",_xlfn.XLOOKUP(G59,List_item!A:A,List_item!B:B))</f>
        <v>Karkas Uk 0.9 Karkas Uk 0.9 Frozen Grade A</v>
      </c>
      <c r="I59" s="197">
        <v>128.19999999999999</v>
      </c>
      <c r="J59" s="198">
        <f t="shared" si="4"/>
        <v>8.3540228986243876E-3</v>
      </c>
      <c r="K59" s="197">
        <f t="shared" si="24"/>
        <v>4487000</v>
      </c>
      <c r="L59" s="199">
        <f t="shared" si="25"/>
        <v>36091.233083151135</v>
      </c>
      <c r="M59" s="197">
        <f t="shared" si="26"/>
        <v>4626896.0812599752</v>
      </c>
      <c r="N59" s="197">
        <f t="shared" si="27"/>
        <v>-1091.2330831511354</v>
      </c>
      <c r="O59" s="197">
        <f t="shared" si="5"/>
        <v>-139896.08125997521</v>
      </c>
      <c r="P59" s="197"/>
    </row>
    <row r="60" spans="1:16" s="196" customFormat="1" x14ac:dyDescent="0.35">
      <c r="A60" s="196" t="s">
        <v>3902</v>
      </c>
      <c r="B60" s="197">
        <f>_xlfn.IFNA(_xlfn.XLOOKUP(A60,'Price list'!A:A,'Price list'!E:E),0)</f>
        <v>35000</v>
      </c>
      <c r="C60" s="196" t="s">
        <v>9</v>
      </c>
      <c r="E60" s="197"/>
      <c r="F60" s="197"/>
      <c r="G60" s="197" t="s">
        <v>896</v>
      </c>
      <c r="H60" s="197" t="str">
        <f>IF(G60=0,"",_xlfn.XLOOKUP(G60,List_item!A:A,List_item!B:B))</f>
        <v>Karkas Uk 1.0 Karkas Uk 1.0 Frozen Grade A</v>
      </c>
      <c r="I60" s="197">
        <v>163</v>
      </c>
      <c r="J60" s="198">
        <f t="shared" si="4"/>
        <v>1.0621729582494346E-2</v>
      </c>
      <c r="K60" s="197">
        <f t="shared" si="24"/>
        <v>5705000</v>
      </c>
      <c r="L60" s="199">
        <f t="shared" si="25"/>
        <v>36091.233083151128</v>
      </c>
      <c r="M60" s="197">
        <f t="shared" si="26"/>
        <v>5882870.9925536336</v>
      </c>
      <c r="N60" s="197">
        <f t="shared" si="27"/>
        <v>-1091.2330831511281</v>
      </c>
      <c r="O60" s="197">
        <f t="shared" si="5"/>
        <v>-177870.99255363364</v>
      </c>
      <c r="P60" s="197"/>
    </row>
    <row r="61" spans="1:16" s="196" customFormat="1" x14ac:dyDescent="0.35">
      <c r="A61" s="196" t="s">
        <v>3903</v>
      </c>
      <c r="B61" s="197">
        <f>_xlfn.IFNA(_xlfn.XLOOKUP(A61,'Price list'!A:A,'Price list'!E:E),0)</f>
        <v>35000</v>
      </c>
      <c r="C61" s="196" t="s">
        <v>9</v>
      </c>
      <c r="E61" s="197"/>
      <c r="F61" s="197"/>
      <c r="G61" s="197" t="s">
        <v>962</v>
      </c>
      <c r="H61" s="197" t="str">
        <f>IF(G61=0,"",_xlfn.XLOOKUP(G61,List_item!A:A,List_item!B:B))</f>
        <v>Karkas Uk 1.1 Karkas Uk 1.1 Frozen Grade A</v>
      </c>
      <c r="I61" s="197">
        <v>222</v>
      </c>
      <c r="J61" s="198">
        <f t="shared" si="4"/>
        <v>1.4466404707446288E-2</v>
      </c>
      <c r="K61" s="197">
        <f t="shared" si="24"/>
        <v>7770000</v>
      </c>
      <c r="L61" s="199">
        <f t="shared" si="25"/>
        <v>36091.233083151128</v>
      </c>
      <c r="M61" s="197">
        <f t="shared" si="26"/>
        <v>8012253.7444595508</v>
      </c>
      <c r="N61" s="197">
        <f t="shared" si="27"/>
        <v>-1091.2330831511281</v>
      </c>
      <c r="O61" s="197">
        <f t="shared" si="5"/>
        <v>-242253.74445955083</v>
      </c>
      <c r="P61" s="197"/>
    </row>
    <row r="62" spans="1:16" s="196" customFormat="1" x14ac:dyDescent="0.35">
      <c r="A62" s="196" t="s">
        <v>3904</v>
      </c>
      <c r="B62" s="197">
        <f>_xlfn.IFNA(_xlfn.XLOOKUP(A62,'Price list'!A:A,'Price list'!E:E),0)</f>
        <v>35000</v>
      </c>
      <c r="C62" s="196" t="s">
        <v>9</v>
      </c>
      <c r="E62" s="197"/>
      <c r="F62" s="197"/>
      <c r="G62" s="197" t="s">
        <v>1028</v>
      </c>
      <c r="H62" s="197" t="str">
        <f>IF(G62=0,"",_xlfn.XLOOKUP(G62,List_item!A:A,List_item!B:B))</f>
        <v>Karkas Uk 1.2 Karkas Uk 1.2 Frozen Grade A</v>
      </c>
      <c r="I62" s="197">
        <v>262.10000000000002</v>
      </c>
      <c r="J62" s="198">
        <f t="shared" si="4"/>
        <v>1.7079480512710236E-2</v>
      </c>
      <c r="K62" s="197">
        <f t="shared" si="24"/>
        <v>9173500</v>
      </c>
      <c r="L62" s="199">
        <f t="shared" si="25"/>
        <v>36091.233083151121</v>
      </c>
      <c r="M62" s="197">
        <f t="shared" si="26"/>
        <v>9459512.1910939105</v>
      </c>
      <c r="N62" s="197">
        <f t="shared" si="27"/>
        <v>-1091.2330831511208</v>
      </c>
      <c r="O62" s="197">
        <f t="shared" si="5"/>
        <v>-286012.19109391049</v>
      </c>
      <c r="P62" s="197"/>
    </row>
    <row r="63" spans="1:16" s="196" customFormat="1" x14ac:dyDescent="0.35">
      <c r="A63" s="196" t="s">
        <v>3905</v>
      </c>
      <c r="B63" s="197">
        <f>_xlfn.IFNA(_xlfn.XLOOKUP(A63,'Price list'!A:A,'Price list'!E:E),0)</f>
        <v>35000</v>
      </c>
      <c r="C63" s="196" t="s">
        <v>9</v>
      </c>
      <c r="E63" s="197"/>
      <c r="F63" s="197"/>
      <c r="G63" s="197" t="s">
        <v>1094</v>
      </c>
      <c r="H63" s="197" t="str">
        <f>IF(G63=0,"",_xlfn.XLOOKUP(G63,List_item!A:A,List_item!B:B))</f>
        <v>Karkas Uk 1.3 Karkas Uk 1.3 Frozen Grade A</v>
      </c>
      <c r="I63" s="197">
        <v>154</v>
      </c>
      <c r="J63" s="198">
        <f t="shared" si="4"/>
        <v>1.0035253715976253E-2</v>
      </c>
      <c r="K63" s="197">
        <f t="shared" si="24"/>
        <v>5390000</v>
      </c>
      <c r="L63" s="199">
        <f t="shared" si="25"/>
        <v>36091.233083151128</v>
      </c>
      <c r="M63" s="197">
        <f t="shared" si="26"/>
        <v>5558049.894805274</v>
      </c>
      <c r="N63" s="197">
        <f t="shared" si="27"/>
        <v>-1091.2330831511281</v>
      </c>
      <c r="O63" s="197">
        <f t="shared" si="5"/>
        <v>-168049.89480527397</v>
      </c>
      <c r="P63" s="197"/>
    </row>
    <row r="64" spans="1:16" s="196" customFormat="1" x14ac:dyDescent="0.35">
      <c r="A64" s="196" t="s">
        <v>3906</v>
      </c>
      <c r="B64" s="197">
        <f>_xlfn.IFNA(_xlfn.XLOOKUP(A64,'Price list'!A:A,'Price list'!E:E),0)</f>
        <v>35000</v>
      </c>
      <c r="C64" s="196" t="s">
        <v>9</v>
      </c>
      <c r="E64" s="197"/>
      <c r="F64" s="197"/>
      <c r="G64" s="197" t="s">
        <v>1160</v>
      </c>
      <c r="H64" s="197" t="str">
        <f>IF(G64=0,"",_xlfn.XLOOKUP(G64,List_item!A:A,List_item!B:B))</f>
        <v>Karkas Uk 1.4 Karkas Uk 1.4 Frozen Grade A</v>
      </c>
      <c r="I64" s="197">
        <v>82.3</v>
      </c>
      <c r="J64" s="198">
        <f t="shared" si="4"/>
        <v>5.3629959793821142E-3</v>
      </c>
      <c r="K64" s="197">
        <f t="shared" si="24"/>
        <v>2880500</v>
      </c>
      <c r="L64" s="199">
        <f t="shared" si="25"/>
        <v>36091.233083151128</v>
      </c>
      <c r="M64" s="197">
        <f t="shared" si="26"/>
        <v>2970308.4827433378</v>
      </c>
      <c r="N64" s="197">
        <f t="shared" si="27"/>
        <v>-1091.2330831511281</v>
      </c>
      <c r="O64" s="197">
        <f t="shared" si="5"/>
        <v>-89808.48274333775</v>
      </c>
      <c r="P64" s="197"/>
    </row>
    <row r="65" spans="1:16" x14ac:dyDescent="0.35">
      <c r="A65" t="s">
        <v>3907</v>
      </c>
      <c r="B65" s="3">
        <f>_xlfn.IFNA(_xlfn.XLOOKUP(A65,'Price list'!A:A,'Price list'!E:E),0)</f>
        <v>35000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24"/>
        <v>0</v>
      </c>
      <c r="L65" s="27">
        <f t="shared" si="25"/>
        <v>0</v>
      </c>
      <c r="M65" s="3">
        <f t="shared" si="26"/>
        <v>0</v>
      </c>
      <c r="N65" s="3">
        <f t="shared" si="27"/>
        <v>0</v>
      </c>
      <c r="O65" s="3">
        <f t="shared" si="5"/>
        <v>0</v>
      </c>
      <c r="P65" s="3"/>
    </row>
    <row r="66" spans="1:16" s="196" customFormat="1" x14ac:dyDescent="0.35">
      <c r="A66" s="196" t="s">
        <v>3908</v>
      </c>
      <c r="B66" s="197">
        <f>_xlfn.IFNA(_xlfn.XLOOKUP(A66,'Price list'!A:A,'Price list'!E:E),0)</f>
        <v>35000</v>
      </c>
      <c r="C66" s="196" t="s">
        <v>9</v>
      </c>
      <c r="E66" s="197"/>
      <c r="F66" s="197"/>
      <c r="G66" s="197" t="s">
        <v>1291</v>
      </c>
      <c r="H66" s="197" t="str">
        <f>IF(G66=0,"",_xlfn.XLOOKUP(G66,List_item!A:A,List_item!B:B))</f>
        <v>Karkas Uk 1.6 Karkas Uk 1.6 Frozen Grade A</v>
      </c>
      <c r="I66" s="197">
        <v>17</v>
      </c>
      <c r="J66" s="198">
        <f t="shared" si="4"/>
        <v>1.1077877478675084E-3</v>
      </c>
      <c r="K66" s="197">
        <f>+B66*(F66+I66)</f>
        <v>595000</v>
      </c>
      <c r="L66" s="199">
        <f t="shared" si="25"/>
        <v>36091.233083151121</v>
      </c>
      <c r="M66" s="197">
        <f t="shared" si="26"/>
        <v>613550.9624135691</v>
      </c>
      <c r="N66" s="197">
        <f t="shared" si="27"/>
        <v>-1091.2330831511208</v>
      </c>
      <c r="O66" s="197">
        <f t="shared" si="5"/>
        <v>-18550.962413569097</v>
      </c>
      <c r="P66" s="197"/>
    </row>
    <row r="67" spans="1:16" x14ac:dyDescent="0.35">
      <c r="A67" t="s">
        <v>3909</v>
      </c>
      <c r="B67" s="3">
        <f>_xlfn.IFNA(_xlfn.XLOOKUP(A67,'Price list'!A:A,'Price list'!E:E),0)</f>
        <v>35000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24"/>
        <v>0</v>
      </c>
      <c r="L67" s="27">
        <f t="shared" si="25"/>
        <v>0</v>
      </c>
      <c r="M67" s="3">
        <f t="shared" si="26"/>
        <v>0</v>
      </c>
      <c r="N67" s="3">
        <f t="shared" si="27"/>
        <v>0</v>
      </c>
      <c r="O67" s="3">
        <f t="shared" si="5"/>
        <v>0</v>
      </c>
      <c r="P67" s="3"/>
    </row>
    <row r="68" spans="1:16" x14ac:dyDescent="0.35">
      <c r="A68" t="s">
        <v>3945</v>
      </c>
      <c r="B68" s="3">
        <f>_xlfn.IFNA(_xlfn.XLOOKUP(A68,'Price list'!A:A,'Price list'!E:E),0)</f>
        <v>35000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24"/>
        <v>0</v>
      </c>
      <c r="L68" s="27">
        <f t="shared" si="25"/>
        <v>0</v>
      </c>
      <c r="M68" s="3">
        <f t="shared" si="26"/>
        <v>0</v>
      </c>
      <c r="N68" s="3">
        <f t="shared" si="27"/>
        <v>0</v>
      </c>
      <c r="O68" s="3">
        <f t="shared" si="5"/>
        <v>0</v>
      </c>
      <c r="P68" s="3"/>
    </row>
    <row r="69" spans="1:16" x14ac:dyDescent="0.35">
      <c r="A69" t="s">
        <v>3911</v>
      </c>
      <c r="B69" s="3">
        <f>_xlfn.IFNA(_xlfn.XLOOKUP(A69,'Price list'!A:A,'Price list'!E:E),0)</f>
        <v>35000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24"/>
        <v>0</v>
      </c>
      <c r="L69" s="27">
        <f t="shared" si="25"/>
        <v>0</v>
      </c>
      <c r="M69" s="3">
        <f t="shared" si="26"/>
        <v>0</v>
      </c>
      <c r="N69" s="3">
        <f t="shared" si="27"/>
        <v>0</v>
      </c>
      <c r="O69" s="3">
        <f t="shared" si="5"/>
        <v>0</v>
      </c>
      <c r="P69" s="3"/>
    </row>
    <row r="70" spans="1:16" x14ac:dyDescent="0.35">
      <c r="A70" t="s">
        <v>3912</v>
      </c>
      <c r="B70" s="3">
        <f>_xlfn.IFNA(_xlfn.XLOOKUP(A70,'Price list'!A:A,'Price list'!E:E),0)</f>
        <v>35000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24"/>
        <v>0</v>
      </c>
      <c r="L70" s="27">
        <f t="shared" si="25"/>
        <v>0</v>
      </c>
      <c r="M70" s="3">
        <f t="shared" si="26"/>
        <v>0</v>
      </c>
      <c r="N70" s="3">
        <f t="shared" si="27"/>
        <v>0</v>
      </c>
      <c r="O70" s="3">
        <f t="shared" si="5"/>
        <v>0</v>
      </c>
      <c r="P70" s="3"/>
    </row>
    <row r="71" spans="1:16" x14ac:dyDescent="0.35">
      <c r="A71" t="s">
        <v>3913</v>
      </c>
      <c r="B71" s="3">
        <f>_xlfn.IFNA(_xlfn.XLOOKUP(A71,'Price list'!A:A,'Price list'!E:E),0)</f>
        <v>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24"/>
        <v>0</v>
      </c>
      <c r="L71" s="27">
        <f t="shared" si="25"/>
        <v>0</v>
      </c>
      <c r="M71" s="3">
        <f t="shared" si="26"/>
        <v>0</v>
      </c>
      <c r="N71" s="3">
        <f t="shared" si="27"/>
        <v>0</v>
      </c>
      <c r="O71" s="3">
        <f t="shared" si="5"/>
        <v>0</v>
      </c>
      <c r="P71" s="3"/>
    </row>
    <row r="72" spans="1:16" x14ac:dyDescent="0.35">
      <c r="A72" t="s">
        <v>3914</v>
      </c>
      <c r="B72" s="3">
        <f>_xlfn.IFNA(_xlfn.XLOOKUP(A72,'Price list'!A:A,'Price list'!E:E),0)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24"/>
        <v>0</v>
      </c>
      <c r="L72" s="27">
        <f t="shared" si="25"/>
        <v>0</v>
      </c>
      <c r="M72" s="3">
        <f t="shared" si="26"/>
        <v>0</v>
      </c>
      <c r="N72" s="3">
        <f t="shared" si="27"/>
        <v>0</v>
      </c>
      <c r="O72" s="3">
        <f t="shared" si="5"/>
        <v>0</v>
      </c>
      <c r="P72" s="3"/>
    </row>
    <row r="73" spans="1:16" x14ac:dyDescent="0.35">
      <c r="A73" t="s">
        <v>3915</v>
      </c>
      <c r="B73" s="3">
        <f>_xlfn.IFNA(_xlfn.XLOOKUP(A73,'Price list'!A:A,'Price list'!E:E),0)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24"/>
        <v>0</v>
      </c>
      <c r="L73" s="27">
        <f t="shared" si="25"/>
        <v>0</v>
      </c>
      <c r="M73" s="3">
        <f t="shared" si="26"/>
        <v>0</v>
      </c>
      <c r="N73" s="3">
        <f t="shared" si="27"/>
        <v>0</v>
      </c>
      <c r="O73" s="3">
        <f t="shared" si="5"/>
        <v>0</v>
      </c>
      <c r="P73" s="3"/>
    </row>
    <row r="74" spans="1:16" x14ac:dyDescent="0.35">
      <c r="A74" t="s">
        <v>3916</v>
      </c>
      <c r="B74" s="3">
        <f>_xlfn.IFNA(_xlfn.XLOOKUP(A74,'Price list'!A:A,'Price list'!E:E),0)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24"/>
        <v>0</v>
      </c>
      <c r="L74" s="27">
        <f t="shared" si="25"/>
        <v>0</v>
      </c>
      <c r="M74" s="3">
        <f t="shared" si="26"/>
        <v>0</v>
      </c>
      <c r="N74" s="3">
        <f t="shared" si="27"/>
        <v>0</v>
      </c>
      <c r="O74" s="3">
        <f t="shared" si="5"/>
        <v>0</v>
      </c>
      <c r="P74" s="3"/>
    </row>
    <row r="75" spans="1:16" x14ac:dyDescent="0.35">
      <c r="A75" t="s">
        <v>3917</v>
      </c>
      <c r="B75" s="3">
        <f>_xlfn.IFNA(_xlfn.XLOOKUP(A75,'Price list'!A:A,'Price list'!E:E),0)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24"/>
        <v>0</v>
      </c>
      <c r="L75" s="27">
        <f t="shared" si="25"/>
        <v>0</v>
      </c>
      <c r="M75" s="3">
        <f t="shared" si="26"/>
        <v>0</v>
      </c>
      <c r="N75" s="3">
        <f t="shared" si="27"/>
        <v>0</v>
      </c>
      <c r="O75" s="3">
        <f t="shared" si="5"/>
        <v>0</v>
      </c>
      <c r="P75" s="3"/>
    </row>
    <row r="76" spans="1:16" x14ac:dyDescent="0.35">
      <c r="A76" t="s">
        <v>3918</v>
      </c>
      <c r="B76" s="3">
        <f>_xlfn.IFNA(_xlfn.XLOOKUP(A76,'Price list'!A:A,'Price list'!E:E),0)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si="24"/>
        <v>0</v>
      </c>
      <c r="L76" s="27">
        <f t="shared" si="25"/>
        <v>0</v>
      </c>
      <c r="M76" s="3">
        <f t="shared" si="26"/>
        <v>0</v>
      </c>
      <c r="N76" s="3">
        <f t="shared" si="27"/>
        <v>0</v>
      </c>
      <c r="O76" s="3">
        <f t="shared" si="5"/>
        <v>0</v>
      </c>
      <c r="P76" s="3"/>
    </row>
    <row r="77" spans="1:16" x14ac:dyDescent="0.35">
      <c r="A77" t="s">
        <v>3919</v>
      </c>
      <c r="B77" s="3">
        <f>_xlfn.IFNA(_xlfn.XLOOKUP(A77,'Price list'!A:A,'Price list'!E:E),0)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4"/>
        <v>0</v>
      </c>
      <c r="K77" s="3">
        <f t="shared" si="24"/>
        <v>0</v>
      </c>
      <c r="L77" s="27">
        <f t="shared" si="25"/>
        <v>0</v>
      </c>
      <c r="M77" s="3">
        <f t="shared" si="26"/>
        <v>0</v>
      </c>
      <c r="N77" s="3">
        <f t="shared" si="27"/>
        <v>0</v>
      </c>
      <c r="O77" s="3">
        <f t="shared" si="5"/>
        <v>0</v>
      </c>
      <c r="P77" s="3"/>
    </row>
    <row r="78" spans="1:16" x14ac:dyDescent="0.35">
      <c r="A78" t="s">
        <v>3920</v>
      </c>
      <c r="B78" s="3">
        <f>_xlfn.IFNA(_xlfn.XLOOKUP(A78,'Price list'!A:A,'Price list'!E:E),0)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4"/>
        <v>0</v>
      </c>
      <c r="K78" s="3">
        <f t="shared" si="24"/>
        <v>0</v>
      </c>
      <c r="L78" s="27">
        <f t="shared" ref="L78:L82" si="28">IFERROR(((K78/SUM($K$11:$K$82))*$F$10)/(F78+I78),0)</f>
        <v>0</v>
      </c>
      <c r="M78" s="3">
        <f t="shared" ref="M78:M82" si="29">+L78*(F78+I78)</f>
        <v>0</v>
      </c>
      <c r="N78" s="3">
        <f t="shared" si="27"/>
        <v>0</v>
      </c>
      <c r="O78" s="3">
        <f t="shared" si="5"/>
        <v>0</v>
      </c>
      <c r="P78" s="3"/>
    </row>
    <row r="79" spans="1:16" x14ac:dyDescent="0.35">
      <c r="A79" t="s">
        <v>3921</v>
      </c>
      <c r="B79" s="3">
        <f>_xlfn.IFNA(_xlfn.XLOOKUP(A79,'Price list'!A:A,'Price list'!E:E),0)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ref="J79:J82" si="30">IF(F79/J$5&gt;0,F79/J$5,I79/J$5)</f>
        <v>0</v>
      </c>
      <c r="K79" s="3">
        <f t="shared" si="24"/>
        <v>0</v>
      </c>
      <c r="L79" s="27">
        <f t="shared" si="28"/>
        <v>0</v>
      </c>
      <c r="M79" s="3">
        <f t="shared" si="29"/>
        <v>0</v>
      </c>
      <c r="N79" s="3">
        <f t="shared" si="27"/>
        <v>0</v>
      </c>
      <c r="O79" s="3">
        <f t="shared" ref="O79:O82" si="31">+K79-M79</f>
        <v>0</v>
      </c>
      <c r="P79" s="3"/>
    </row>
    <row r="80" spans="1:16" x14ac:dyDescent="0.35">
      <c r="A80" t="s">
        <v>3922</v>
      </c>
      <c r="B80" s="3">
        <f>_xlfn.IFNA(_xlfn.XLOOKUP(A80,'Price list'!A:A,'Price list'!E:E),0)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30"/>
        <v>0</v>
      </c>
      <c r="K80" s="3">
        <f t="shared" si="24"/>
        <v>0</v>
      </c>
      <c r="L80" s="27">
        <f t="shared" si="28"/>
        <v>0</v>
      </c>
      <c r="M80" s="3">
        <f t="shared" si="29"/>
        <v>0</v>
      </c>
      <c r="N80" s="3">
        <f t="shared" si="27"/>
        <v>0</v>
      </c>
      <c r="O80" s="3">
        <f t="shared" si="31"/>
        <v>0</v>
      </c>
      <c r="P80" s="3"/>
    </row>
    <row r="81" spans="1:16" x14ac:dyDescent="0.35">
      <c r="A81" t="s">
        <v>3923</v>
      </c>
      <c r="B81" s="3">
        <f>_xlfn.IFNA(_xlfn.XLOOKUP(A81,'Price list'!A:A,'Price list'!E:E),0)</f>
        <v>0</v>
      </c>
      <c r="C81" t="s">
        <v>9</v>
      </c>
      <c r="E81" s="3"/>
      <c r="F81" s="3"/>
      <c r="G81" s="3"/>
      <c r="H81" s="3" t="str">
        <f>IF(G81=0,"",_xlfn.XLOOKUP(G81,List_item!A:A,List_item!B:B))</f>
        <v/>
      </c>
      <c r="I81" s="3">
        <v>0</v>
      </c>
      <c r="J81" s="26">
        <f t="shared" si="30"/>
        <v>0</v>
      </c>
      <c r="K81" s="3">
        <f t="shared" si="24"/>
        <v>0</v>
      </c>
      <c r="L81" s="27">
        <f t="shared" si="28"/>
        <v>0</v>
      </c>
      <c r="M81" s="3">
        <f t="shared" si="29"/>
        <v>0</v>
      </c>
      <c r="N81" s="3">
        <f t="shared" si="27"/>
        <v>0</v>
      </c>
      <c r="O81" s="3">
        <f t="shared" si="31"/>
        <v>0</v>
      </c>
      <c r="P81" s="3"/>
    </row>
    <row r="82" spans="1:16" x14ac:dyDescent="0.35">
      <c r="A82" t="s">
        <v>3924</v>
      </c>
      <c r="B82" s="3">
        <f>_xlfn.IFNA(_xlfn.XLOOKUP(A82,'Price list'!A:A,'Price list'!E:E),0)</f>
        <v>0</v>
      </c>
      <c r="C82" t="s">
        <v>9</v>
      </c>
      <c r="E82" s="3"/>
      <c r="F82" s="3"/>
      <c r="G82" s="3"/>
      <c r="H82" s="3" t="str">
        <f>IF(G82=0,"",_xlfn.XLOOKUP(G82,List_item!A:A,List_item!B:B))</f>
        <v/>
      </c>
      <c r="I82" s="3">
        <v>0</v>
      </c>
      <c r="J82" s="26">
        <f t="shared" si="30"/>
        <v>0</v>
      </c>
      <c r="K82" s="3">
        <f t="shared" si="24"/>
        <v>0</v>
      </c>
      <c r="L82" s="27">
        <f t="shared" si="28"/>
        <v>0</v>
      </c>
      <c r="M82" s="3">
        <f t="shared" si="29"/>
        <v>0</v>
      </c>
      <c r="N82" s="3">
        <f t="shared" si="27"/>
        <v>0</v>
      </c>
      <c r="O82" s="3">
        <f t="shared" si="31"/>
        <v>0</v>
      </c>
      <c r="P82" s="3"/>
    </row>
    <row r="85" spans="1:16" x14ac:dyDescent="0.35">
      <c r="A85" t="s">
        <v>3929</v>
      </c>
      <c r="B85"/>
      <c r="E85"/>
      <c r="F85" s="117"/>
      <c r="G85" t="s">
        <v>3930</v>
      </c>
    </row>
    <row r="86" spans="1:16" x14ac:dyDescent="0.35">
      <c r="B86"/>
      <c r="E86"/>
      <c r="F86" s="117"/>
      <c r="G86"/>
    </row>
    <row r="87" spans="1:16" x14ac:dyDescent="0.35">
      <c r="B87"/>
      <c r="E87"/>
      <c r="F87" s="117"/>
      <c r="G87"/>
    </row>
    <row r="88" spans="1:16" x14ac:dyDescent="0.35">
      <c r="B88"/>
      <c r="E88"/>
      <c r="F88" s="117"/>
      <c r="G88"/>
    </row>
    <row r="89" spans="1:16" x14ac:dyDescent="0.35">
      <c r="B89"/>
      <c r="E89"/>
      <c r="F89" s="117"/>
      <c r="G89"/>
    </row>
    <row r="90" spans="1:16" x14ac:dyDescent="0.35">
      <c r="B90"/>
      <c r="E90"/>
      <c r="F90" s="117"/>
      <c r="G90"/>
    </row>
    <row r="91" spans="1:16" x14ac:dyDescent="0.35">
      <c r="A91" s="118"/>
      <c r="B91"/>
      <c r="E91"/>
      <c r="F91" s="117"/>
      <c r="G91" s="118"/>
    </row>
    <row r="92" spans="1:16" x14ac:dyDescent="0.35">
      <c r="B92"/>
      <c r="E92"/>
      <c r="F92" s="117"/>
      <c r="G92"/>
    </row>
  </sheetData>
  <autoFilter ref="A10:P82" xr:uid="{9E3D57EB-0D9F-40FE-B4FE-C94EEFF00F8F}"/>
  <conditionalFormatting sqref="O10">
    <cfRule type="cellIs" dxfId="4" priority="1" operator="lessThan">
      <formula>0</formula>
    </cfRule>
  </conditionalFormatting>
  <pageMargins left="0.7" right="0.7" top="0.75" bottom="0.75" header="0.3" footer="0.3"/>
  <pageSetup paperSize="9" scale="53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6DD0-64A6-4710-82F7-0913665570C9}">
  <dimension ref="A2:S128"/>
  <sheetViews>
    <sheetView topLeftCell="A93" workbookViewId="0">
      <selection activeCell="A36" sqref="A36:I36"/>
    </sheetView>
  </sheetViews>
  <sheetFormatPr defaultRowHeight="14.5" x14ac:dyDescent="0.35"/>
  <cols>
    <col min="1" max="1" width="21.453125" customWidth="1"/>
    <col min="2" max="2" width="11.453125" customWidth="1"/>
    <col min="3" max="3" width="9.54296875" bestFit="1" customWidth="1"/>
    <col min="4" max="4" width="2.26953125" customWidth="1"/>
    <col min="5" max="5" width="30" bestFit="1" customWidth="1"/>
    <col min="6" max="6" width="26.26953125" bestFit="1" customWidth="1"/>
    <col min="7" max="7" width="25.81640625" bestFit="1" customWidth="1"/>
    <col min="8" max="9" width="29.7265625" customWidth="1"/>
    <col min="11" max="12" width="14.26953125" bestFit="1" customWidth="1"/>
    <col min="13" max="13" width="15.26953125" style="2" bestFit="1" customWidth="1"/>
    <col min="14" max="14" width="2.1796875" customWidth="1"/>
    <col min="15" max="15" width="15.26953125" bestFit="1" customWidth="1"/>
    <col min="16" max="16" width="14.26953125" bestFit="1" customWidth="1"/>
    <col min="17" max="17" width="12.453125" bestFit="1" customWidth="1"/>
    <col min="18" max="19" width="14.26953125" bestFit="1" customWidth="1"/>
  </cols>
  <sheetData>
    <row r="2" spans="1:9" x14ac:dyDescent="0.35">
      <c r="A2" s="8">
        <v>46197</v>
      </c>
    </row>
    <row r="3" spans="1:9" x14ac:dyDescent="0.35">
      <c r="A3" s="64" t="s">
        <v>3834</v>
      </c>
      <c r="B3" s="64" t="s">
        <v>3835</v>
      </c>
      <c r="C3" s="64" t="s">
        <v>9</v>
      </c>
      <c r="G3" t="s">
        <v>3855</v>
      </c>
      <c r="H3" t="s">
        <v>3861</v>
      </c>
      <c r="I3" t="s">
        <v>3858</v>
      </c>
    </row>
    <row r="4" spans="1:9" x14ac:dyDescent="0.35">
      <c r="A4" s="87" t="s">
        <v>2194</v>
      </c>
      <c r="B4" s="87">
        <v>842</v>
      </c>
      <c r="C4" s="90">
        <v>1495.9</v>
      </c>
      <c r="D4" s="32"/>
      <c r="E4" s="32" t="s">
        <v>3862</v>
      </c>
      <c r="F4" s="32" t="s">
        <v>3838</v>
      </c>
      <c r="G4" s="32"/>
      <c r="H4" s="32"/>
      <c r="I4" s="32" t="s">
        <v>3860</v>
      </c>
    </row>
    <row r="5" spans="1:9" x14ac:dyDescent="0.35">
      <c r="A5" s="91" t="s">
        <v>2196</v>
      </c>
      <c r="B5" s="91">
        <v>150</v>
      </c>
      <c r="C5" s="95">
        <v>294.5</v>
      </c>
      <c r="D5" s="92"/>
      <c r="E5" s="92" t="s">
        <v>1516</v>
      </c>
      <c r="F5" s="92" t="s">
        <v>3838</v>
      </c>
      <c r="G5" s="92"/>
      <c r="H5" s="92"/>
      <c r="I5" s="92"/>
    </row>
    <row r="6" spans="1:9" x14ac:dyDescent="0.35">
      <c r="C6" s="66">
        <f>SUM(C4:C5)</f>
        <v>1790.4</v>
      </c>
      <c r="I6" t="s">
        <v>3863</v>
      </c>
    </row>
    <row r="7" spans="1:9" x14ac:dyDescent="0.35">
      <c r="A7" s="18" t="s">
        <v>3836</v>
      </c>
      <c r="H7" s="65">
        <f>SUM(H10:H29)</f>
        <v>1641.4000000000003</v>
      </c>
      <c r="I7" s="65"/>
    </row>
    <row r="8" spans="1:9" x14ac:dyDescent="0.35">
      <c r="A8" s="61" t="s">
        <v>27</v>
      </c>
      <c r="B8" s="60" t="s">
        <v>2163</v>
      </c>
      <c r="C8" s="61" t="s">
        <v>4</v>
      </c>
      <c r="D8" s="1"/>
      <c r="E8" s="62" t="s">
        <v>28</v>
      </c>
      <c r="F8" s="60" t="s">
        <v>6</v>
      </c>
      <c r="G8" s="60" t="s">
        <v>29</v>
      </c>
      <c r="H8" s="60" t="s">
        <v>5</v>
      </c>
      <c r="I8" s="5"/>
    </row>
    <row r="9" spans="1:9" ht="3" customHeight="1" x14ac:dyDescent="0.35">
      <c r="A9" s="4"/>
      <c r="B9" s="24"/>
      <c r="C9" s="4"/>
      <c r="D9" s="1"/>
      <c r="E9" s="5"/>
      <c r="F9" s="5"/>
      <c r="G9" s="5"/>
      <c r="H9" s="5"/>
      <c r="I9" s="5"/>
    </row>
    <row r="10" spans="1:9" x14ac:dyDescent="0.35">
      <c r="A10" t="s">
        <v>8</v>
      </c>
      <c r="B10" s="2"/>
      <c r="C10" t="s">
        <v>9</v>
      </c>
      <c r="E10" s="2"/>
      <c r="F10" s="2"/>
      <c r="G10" s="2" t="s">
        <v>7</v>
      </c>
      <c r="H10" s="2">
        <v>494.2</v>
      </c>
      <c r="I10" s="2"/>
    </row>
    <row r="11" spans="1:9" x14ac:dyDescent="0.35">
      <c r="A11" t="s">
        <v>10</v>
      </c>
      <c r="B11" s="2"/>
      <c r="C11" t="s">
        <v>9</v>
      </c>
      <c r="E11" s="2"/>
      <c r="F11" s="2"/>
      <c r="G11" s="2"/>
      <c r="H11" s="2">
        <v>0</v>
      </c>
      <c r="I11" s="2"/>
    </row>
    <row r="12" spans="1:9" x14ac:dyDescent="0.35">
      <c r="A12" t="s">
        <v>12</v>
      </c>
      <c r="B12" s="2"/>
      <c r="C12" t="s">
        <v>9</v>
      </c>
      <c r="E12" s="2"/>
      <c r="F12" s="2"/>
      <c r="G12" s="2" t="s">
        <v>11</v>
      </c>
      <c r="H12" s="2">
        <v>199.6</v>
      </c>
      <c r="I12" s="2"/>
    </row>
    <row r="13" spans="1:9" x14ac:dyDescent="0.35">
      <c r="A13" t="s">
        <v>2159</v>
      </c>
      <c r="B13" s="2"/>
      <c r="C13" t="s">
        <v>9</v>
      </c>
      <c r="E13" s="2"/>
      <c r="F13" s="2"/>
      <c r="G13" s="2" t="s">
        <v>13</v>
      </c>
      <c r="H13" s="2">
        <v>407.1</v>
      </c>
      <c r="I13" s="2"/>
    </row>
    <row r="14" spans="1:9" x14ac:dyDescent="0.35">
      <c r="A14" t="s">
        <v>2178</v>
      </c>
      <c r="B14" s="2"/>
      <c r="C14" t="s">
        <v>9</v>
      </c>
      <c r="E14" s="2"/>
      <c r="F14" s="2"/>
      <c r="G14" s="2" t="s">
        <v>14</v>
      </c>
      <c r="H14" s="2">
        <v>85.9</v>
      </c>
      <c r="I14" s="2"/>
    </row>
    <row r="15" spans="1:9" x14ac:dyDescent="0.35">
      <c r="A15" t="s">
        <v>2179</v>
      </c>
      <c r="B15" s="2"/>
      <c r="C15" t="s">
        <v>9</v>
      </c>
      <c r="E15" s="2"/>
      <c r="F15" s="2"/>
      <c r="G15" s="2" t="s">
        <v>15</v>
      </c>
      <c r="H15" s="2">
        <v>170.1</v>
      </c>
      <c r="I15" s="2"/>
    </row>
    <row r="16" spans="1:9" x14ac:dyDescent="0.35">
      <c r="A16" t="s">
        <v>2160</v>
      </c>
      <c r="B16" s="2"/>
      <c r="C16" t="s">
        <v>9</v>
      </c>
      <c r="E16" s="2"/>
      <c r="F16" s="2"/>
      <c r="G16" s="2" t="s">
        <v>16</v>
      </c>
      <c r="H16" s="2">
        <v>11.9</v>
      </c>
      <c r="I16" s="2"/>
    </row>
    <row r="17" spans="1:9" x14ac:dyDescent="0.35">
      <c r="A17" t="s">
        <v>17</v>
      </c>
      <c r="B17" s="2"/>
      <c r="C17" t="s">
        <v>9</v>
      </c>
      <c r="E17" s="2"/>
      <c r="F17" s="2"/>
      <c r="G17" s="2" t="s">
        <v>18</v>
      </c>
      <c r="H17" s="2">
        <v>55.4</v>
      </c>
      <c r="I17" s="2"/>
    </row>
    <row r="18" spans="1:9" x14ac:dyDescent="0.35">
      <c r="A18" t="s">
        <v>2199</v>
      </c>
      <c r="B18" s="2"/>
      <c r="C18" t="s">
        <v>9</v>
      </c>
      <c r="E18" s="2"/>
      <c r="F18" s="2"/>
      <c r="G18" s="2" t="s">
        <v>2139</v>
      </c>
      <c r="H18" s="2">
        <v>217.2</v>
      </c>
      <c r="I18" s="2"/>
    </row>
    <row r="19" spans="1:9" x14ac:dyDescent="0.35">
      <c r="A19" t="s">
        <v>2161</v>
      </c>
      <c r="B19" s="2"/>
      <c r="C19" t="s">
        <v>9</v>
      </c>
      <c r="E19" s="2"/>
      <c r="F19" s="2"/>
      <c r="G19" s="2"/>
      <c r="H19" s="2">
        <v>0</v>
      </c>
      <c r="I19" s="2"/>
    </row>
    <row r="20" spans="1:9" x14ac:dyDescent="0.35">
      <c r="A20" t="s">
        <v>2162</v>
      </c>
      <c r="B20" s="2"/>
      <c r="C20" t="s">
        <v>9</v>
      </c>
      <c r="E20" s="2"/>
      <c r="F20" s="2"/>
      <c r="G20" s="2"/>
      <c r="H20" s="2">
        <v>0</v>
      </c>
      <c r="I20" s="2"/>
    </row>
    <row r="21" spans="1:9" x14ac:dyDescent="0.35">
      <c r="A21" t="s">
        <v>0</v>
      </c>
      <c r="B21" s="2"/>
      <c r="C21" t="s">
        <v>9</v>
      </c>
      <c r="E21" s="2"/>
      <c r="F21" s="2"/>
      <c r="G21" s="2"/>
      <c r="H21" s="2">
        <v>0</v>
      </c>
      <c r="I21" s="2"/>
    </row>
    <row r="22" spans="1:9" x14ac:dyDescent="0.35">
      <c r="A22" t="s">
        <v>24</v>
      </c>
      <c r="B22" s="2"/>
      <c r="C22" t="s">
        <v>9</v>
      </c>
      <c r="E22" s="2"/>
      <c r="F22" s="2"/>
      <c r="G22" s="2"/>
      <c r="H22" s="2">
        <v>0</v>
      </c>
      <c r="I22" s="2"/>
    </row>
    <row r="23" spans="1:9" x14ac:dyDescent="0.35">
      <c r="A23" t="s">
        <v>2200</v>
      </c>
      <c r="B23" s="3"/>
      <c r="C23" t="s">
        <v>9</v>
      </c>
      <c r="E23" s="3"/>
      <c r="F23" s="3"/>
      <c r="G23" s="3"/>
      <c r="H23" s="3">
        <v>0</v>
      </c>
      <c r="I23" s="3"/>
    </row>
    <row r="24" spans="1:9" x14ac:dyDescent="0.35">
      <c r="A24" t="s">
        <v>2167</v>
      </c>
      <c r="B24" s="2"/>
      <c r="C24" t="s">
        <v>9</v>
      </c>
      <c r="E24" s="2"/>
      <c r="F24" s="2"/>
      <c r="G24" s="2"/>
      <c r="H24" s="2">
        <v>0</v>
      </c>
      <c r="I24" s="2"/>
    </row>
    <row r="25" spans="1:9" x14ac:dyDescent="0.35">
      <c r="A25" t="s">
        <v>2168</v>
      </c>
      <c r="B25" s="2"/>
      <c r="C25" t="s">
        <v>9</v>
      </c>
      <c r="E25" s="2"/>
      <c r="F25" s="2"/>
      <c r="G25" s="2"/>
      <c r="H25" s="2">
        <v>0</v>
      </c>
      <c r="I25" s="2"/>
    </row>
    <row r="26" spans="1:9" x14ac:dyDescent="0.35">
      <c r="A26" t="s">
        <v>2169</v>
      </c>
      <c r="B26" s="2"/>
      <c r="C26" t="s">
        <v>9</v>
      </c>
      <c r="E26" s="2"/>
      <c r="F26" s="2"/>
      <c r="G26" s="2"/>
      <c r="H26" s="2">
        <v>0</v>
      </c>
      <c r="I26" s="2"/>
    </row>
    <row r="27" spans="1:9" x14ac:dyDescent="0.35">
      <c r="A27" t="s">
        <v>2201</v>
      </c>
      <c r="B27" s="2"/>
      <c r="C27" t="s">
        <v>9</v>
      </c>
      <c r="E27" s="2"/>
      <c r="F27" s="2"/>
      <c r="G27" s="2"/>
      <c r="H27" s="2">
        <v>0</v>
      </c>
      <c r="I27" s="2"/>
    </row>
    <row r="28" spans="1:9" x14ac:dyDescent="0.35">
      <c r="A28" t="s">
        <v>2170</v>
      </c>
      <c r="B28" s="2"/>
      <c r="C28" t="s">
        <v>9</v>
      </c>
      <c r="E28" s="2"/>
      <c r="F28" s="2"/>
      <c r="G28" s="2"/>
      <c r="H28" s="2">
        <v>0</v>
      </c>
      <c r="I28" s="2"/>
    </row>
    <row r="29" spans="1:9" x14ac:dyDescent="0.35">
      <c r="A29" t="s">
        <v>2171</v>
      </c>
      <c r="B29" s="2"/>
      <c r="C29" t="s">
        <v>9</v>
      </c>
      <c r="E29" s="2"/>
      <c r="F29" s="2"/>
      <c r="G29" s="2"/>
      <c r="H29" s="2">
        <v>0</v>
      </c>
      <c r="I29" s="2"/>
    </row>
    <row r="33" spans="1:9" x14ac:dyDescent="0.35">
      <c r="A33" s="8">
        <v>46198</v>
      </c>
    </row>
    <row r="34" spans="1:9" x14ac:dyDescent="0.35">
      <c r="A34" s="64" t="s">
        <v>3834</v>
      </c>
      <c r="B34" s="64" t="s">
        <v>3835</v>
      </c>
      <c r="C34" s="64" t="s">
        <v>9</v>
      </c>
      <c r="G34" t="s">
        <v>3855</v>
      </c>
      <c r="H34" t="s">
        <v>3861</v>
      </c>
      <c r="I34" t="s">
        <v>3858</v>
      </c>
    </row>
    <row r="35" spans="1:9" x14ac:dyDescent="0.35">
      <c r="A35" s="96" t="s">
        <v>2192</v>
      </c>
      <c r="B35" s="96">
        <v>289</v>
      </c>
      <c r="C35" s="85">
        <v>452.9</v>
      </c>
      <c r="D35" s="36"/>
      <c r="E35" s="36" t="s">
        <v>3779</v>
      </c>
      <c r="F35" s="36" t="s">
        <v>3839</v>
      </c>
      <c r="G35" s="36">
        <v>2563.6</v>
      </c>
      <c r="H35" s="37">
        <f>+G35-C35-C36-157.5</f>
        <v>1314.3999999999999</v>
      </c>
      <c r="I35" s="36" t="s">
        <v>3860</v>
      </c>
    </row>
    <row r="36" spans="1:9" x14ac:dyDescent="0.35">
      <c r="A36" s="96" t="s">
        <v>2193</v>
      </c>
      <c r="B36" s="96">
        <v>378</v>
      </c>
      <c r="C36" s="85">
        <v>638.79999999999995</v>
      </c>
      <c r="D36" s="36"/>
      <c r="E36" s="36" t="s">
        <v>3779</v>
      </c>
      <c r="F36" s="36" t="s">
        <v>3839</v>
      </c>
      <c r="G36" s="36"/>
      <c r="H36" s="36"/>
      <c r="I36" s="36" t="s">
        <v>3860</v>
      </c>
    </row>
    <row r="37" spans="1:9" x14ac:dyDescent="0.35">
      <c r="A37" s="91" t="s">
        <v>2196</v>
      </c>
      <c r="B37" s="91">
        <v>295</v>
      </c>
      <c r="C37" s="84">
        <v>547.20000000000005</v>
      </c>
      <c r="D37" s="92"/>
      <c r="E37" s="92" t="s">
        <v>1516</v>
      </c>
      <c r="F37" s="92" t="s">
        <v>3840</v>
      </c>
      <c r="G37" s="92">
        <v>886.36</v>
      </c>
      <c r="H37" s="93">
        <f>+G37-C37-C5</f>
        <v>44.659999999999968</v>
      </c>
      <c r="I37" s="94" t="s">
        <v>3859</v>
      </c>
    </row>
    <row r="38" spans="1:9" x14ac:dyDescent="0.35">
      <c r="A38" s="91" t="s">
        <v>2197</v>
      </c>
      <c r="B38" s="91">
        <v>222</v>
      </c>
      <c r="C38" s="84">
        <v>457.8</v>
      </c>
      <c r="D38" s="92"/>
      <c r="E38" s="92" t="s">
        <v>1582</v>
      </c>
      <c r="F38" s="92" t="s">
        <v>3840</v>
      </c>
      <c r="G38" s="92">
        <v>454.6</v>
      </c>
      <c r="H38" s="93">
        <f>+G38-C38</f>
        <v>-3.1999999999999886</v>
      </c>
      <c r="I38" s="92" t="s">
        <v>3860</v>
      </c>
    </row>
    <row r="39" spans="1:9" x14ac:dyDescent="0.35">
      <c r="C39" s="66">
        <f>SUM(C35:C38)</f>
        <v>2096.6999999999998</v>
      </c>
    </row>
    <row r="40" spans="1:9" x14ac:dyDescent="0.35">
      <c r="A40" s="18" t="s">
        <v>3836</v>
      </c>
      <c r="H40" s="65">
        <f>SUM(H43:H62)</f>
        <v>1955.8999999999999</v>
      </c>
      <c r="I40" s="65"/>
    </row>
    <row r="41" spans="1:9" x14ac:dyDescent="0.35">
      <c r="A41" s="61" t="s">
        <v>27</v>
      </c>
      <c r="B41" s="60" t="s">
        <v>2163</v>
      </c>
      <c r="C41" s="61" t="s">
        <v>4</v>
      </c>
      <c r="D41" s="1"/>
      <c r="E41" s="62" t="s">
        <v>28</v>
      </c>
      <c r="F41" s="60" t="s">
        <v>6</v>
      </c>
      <c r="G41" s="60" t="s">
        <v>29</v>
      </c>
      <c r="H41" s="60" t="s">
        <v>5</v>
      </c>
      <c r="I41" s="5"/>
    </row>
    <row r="42" spans="1:9" ht="6" customHeight="1" x14ac:dyDescent="0.35">
      <c r="A42" s="4"/>
      <c r="B42" s="24"/>
      <c r="C42" s="4"/>
      <c r="D42" s="1"/>
      <c r="E42" s="5"/>
      <c r="F42" s="5"/>
      <c r="G42" s="5"/>
      <c r="H42" s="5"/>
      <c r="I42" s="5"/>
    </row>
    <row r="43" spans="1:9" x14ac:dyDescent="0.35">
      <c r="A43" t="s">
        <v>8</v>
      </c>
      <c r="B43" s="2"/>
      <c r="C43" t="s">
        <v>9</v>
      </c>
      <c r="E43" s="2"/>
      <c r="F43" s="2"/>
      <c r="G43" s="2" t="s">
        <v>7</v>
      </c>
      <c r="H43" s="2">
        <v>602.9</v>
      </c>
      <c r="I43" s="2"/>
    </row>
    <row r="44" spans="1:9" x14ac:dyDescent="0.35">
      <c r="A44" t="s">
        <v>10</v>
      </c>
      <c r="B44" s="2"/>
      <c r="C44" t="s">
        <v>9</v>
      </c>
      <c r="E44" s="2"/>
      <c r="F44" s="2"/>
      <c r="G44" s="2"/>
      <c r="H44" s="2">
        <v>0</v>
      </c>
      <c r="I44" s="2"/>
    </row>
    <row r="45" spans="1:9" x14ac:dyDescent="0.35">
      <c r="A45" t="s">
        <v>12</v>
      </c>
      <c r="B45" s="2"/>
      <c r="C45" t="s">
        <v>9</v>
      </c>
      <c r="E45" s="2"/>
      <c r="F45" s="2"/>
      <c r="G45" s="2" t="s">
        <v>11</v>
      </c>
      <c r="H45" s="2">
        <v>242.1</v>
      </c>
      <c r="I45" s="2"/>
    </row>
    <row r="46" spans="1:9" x14ac:dyDescent="0.35">
      <c r="A46" t="s">
        <v>2159</v>
      </c>
      <c r="B46" s="2"/>
      <c r="C46" t="s">
        <v>9</v>
      </c>
      <c r="E46" s="2"/>
      <c r="F46" s="2"/>
      <c r="G46" s="2" t="s">
        <v>13</v>
      </c>
      <c r="H46" s="2">
        <v>459.8</v>
      </c>
      <c r="I46" s="2"/>
    </row>
    <row r="47" spans="1:9" x14ac:dyDescent="0.35">
      <c r="A47" t="s">
        <v>2178</v>
      </c>
      <c r="B47" s="2"/>
      <c r="C47" t="s">
        <v>9</v>
      </c>
      <c r="E47" s="2"/>
      <c r="F47" s="2"/>
      <c r="G47" s="2" t="s">
        <v>14</v>
      </c>
      <c r="H47" s="2">
        <v>104</v>
      </c>
      <c r="I47" s="2"/>
    </row>
    <row r="48" spans="1:9" x14ac:dyDescent="0.35">
      <c r="A48" t="s">
        <v>2179</v>
      </c>
      <c r="B48" s="2"/>
      <c r="C48" t="s">
        <v>9</v>
      </c>
      <c r="E48" s="2"/>
      <c r="F48" s="2"/>
      <c r="G48" s="2" t="s">
        <v>15</v>
      </c>
      <c r="H48" s="2">
        <v>199.1</v>
      </c>
      <c r="I48" s="2"/>
    </row>
    <row r="49" spans="1:9" x14ac:dyDescent="0.35">
      <c r="A49" t="s">
        <v>2160</v>
      </c>
      <c r="B49" s="2"/>
      <c r="C49" t="s">
        <v>9</v>
      </c>
      <c r="E49" s="2"/>
      <c r="F49" s="2"/>
      <c r="G49" s="2" t="s">
        <v>16</v>
      </c>
      <c r="H49" s="2">
        <v>23.3</v>
      </c>
      <c r="I49" s="2"/>
    </row>
    <row r="50" spans="1:9" x14ac:dyDescent="0.35">
      <c r="A50" t="s">
        <v>17</v>
      </c>
      <c r="B50" s="2"/>
      <c r="C50" t="s">
        <v>9</v>
      </c>
      <c r="E50" s="2"/>
      <c r="F50" s="2"/>
      <c r="G50" s="2" t="s">
        <v>18</v>
      </c>
      <c r="H50" s="2">
        <v>63.5</v>
      </c>
      <c r="I50" s="2"/>
    </row>
    <row r="51" spans="1:9" x14ac:dyDescent="0.35">
      <c r="A51" t="s">
        <v>2199</v>
      </c>
      <c r="B51" s="2"/>
      <c r="C51" t="s">
        <v>9</v>
      </c>
      <c r="E51" s="2"/>
      <c r="F51" s="2"/>
      <c r="G51" s="2" t="s">
        <v>2139</v>
      </c>
      <c r="H51" s="2">
        <v>261.2</v>
      </c>
      <c r="I51" s="2"/>
    </row>
    <row r="52" spans="1:9" x14ac:dyDescent="0.35">
      <c r="A52" t="s">
        <v>2161</v>
      </c>
      <c r="B52" s="2"/>
      <c r="C52" t="s">
        <v>9</v>
      </c>
      <c r="E52" s="2"/>
      <c r="F52" s="2"/>
      <c r="G52" s="2"/>
      <c r="H52" s="2">
        <v>0</v>
      </c>
      <c r="I52" s="2"/>
    </row>
    <row r="53" spans="1:9" x14ac:dyDescent="0.35">
      <c r="A53" t="s">
        <v>2162</v>
      </c>
      <c r="B53" s="2"/>
      <c r="C53" t="s">
        <v>9</v>
      </c>
      <c r="E53" s="2"/>
      <c r="F53" s="2"/>
      <c r="G53" s="2"/>
      <c r="H53" s="2">
        <v>0</v>
      </c>
      <c r="I53" s="2"/>
    </row>
    <row r="54" spans="1:9" x14ac:dyDescent="0.35">
      <c r="A54" t="s">
        <v>0</v>
      </c>
      <c r="B54" s="2"/>
      <c r="C54" t="s">
        <v>9</v>
      </c>
      <c r="E54" s="2"/>
      <c r="F54" s="2"/>
      <c r="G54" s="2"/>
      <c r="H54" s="2">
        <v>0</v>
      </c>
      <c r="I54" s="2"/>
    </row>
    <row r="55" spans="1:9" x14ac:dyDescent="0.35">
      <c r="A55" t="s">
        <v>24</v>
      </c>
      <c r="B55" s="2"/>
      <c r="C55" t="s">
        <v>9</v>
      </c>
      <c r="E55" s="2"/>
      <c r="F55" s="2"/>
      <c r="G55" s="2"/>
      <c r="H55" s="2">
        <v>0</v>
      </c>
      <c r="I55" s="2"/>
    </row>
    <row r="56" spans="1:9" x14ac:dyDescent="0.35">
      <c r="A56" t="s">
        <v>2200</v>
      </c>
      <c r="B56" s="3"/>
      <c r="C56" t="s">
        <v>9</v>
      </c>
      <c r="E56" s="3"/>
      <c r="F56" s="3"/>
      <c r="G56" s="3"/>
      <c r="H56" s="3">
        <v>0</v>
      </c>
      <c r="I56" s="3"/>
    </row>
    <row r="57" spans="1:9" x14ac:dyDescent="0.35">
      <c r="A57" t="s">
        <v>2167</v>
      </c>
      <c r="B57" s="2"/>
      <c r="C57" t="s">
        <v>9</v>
      </c>
      <c r="E57" s="2"/>
      <c r="F57" s="2"/>
      <c r="G57" s="2"/>
      <c r="H57" s="2">
        <v>0</v>
      </c>
      <c r="I57" s="2"/>
    </row>
    <row r="58" spans="1:9" x14ac:dyDescent="0.35">
      <c r="A58" t="s">
        <v>2168</v>
      </c>
      <c r="B58" s="2"/>
      <c r="C58" t="s">
        <v>9</v>
      </c>
      <c r="E58" s="2"/>
      <c r="F58" s="2"/>
      <c r="G58" s="2"/>
      <c r="H58" s="2">
        <v>0</v>
      </c>
      <c r="I58" s="2"/>
    </row>
    <row r="59" spans="1:9" x14ac:dyDescent="0.35">
      <c r="A59" t="s">
        <v>2169</v>
      </c>
      <c r="B59" s="2"/>
      <c r="C59" t="s">
        <v>9</v>
      </c>
      <c r="E59" s="2"/>
      <c r="F59" s="2"/>
      <c r="G59" s="2"/>
      <c r="H59" s="2">
        <v>0</v>
      </c>
      <c r="I59" s="2"/>
    </row>
    <row r="60" spans="1:9" x14ac:dyDescent="0.35">
      <c r="A60" t="s">
        <v>2201</v>
      </c>
      <c r="B60" s="2"/>
      <c r="C60" t="s">
        <v>9</v>
      </c>
      <c r="E60" s="2"/>
      <c r="F60" s="2"/>
      <c r="G60" s="2"/>
      <c r="H60" s="2">
        <v>0</v>
      </c>
      <c r="I60" s="2"/>
    </row>
    <row r="61" spans="1:9" x14ac:dyDescent="0.35">
      <c r="A61" t="s">
        <v>2170</v>
      </c>
      <c r="B61" s="2"/>
      <c r="C61" t="s">
        <v>9</v>
      </c>
      <c r="E61" s="2"/>
      <c r="F61" s="2"/>
      <c r="G61" s="2"/>
      <c r="H61" s="2">
        <v>0</v>
      </c>
      <c r="I61" s="2"/>
    </row>
    <row r="62" spans="1:9" x14ac:dyDescent="0.35">
      <c r="A62" t="s">
        <v>2171</v>
      </c>
      <c r="B62" s="2"/>
      <c r="C62" t="s">
        <v>9</v>
      </c>
      <c r="E62" s="2"/>
      <c r="F62" s="2"/>
      <c r="G62" s="2"/>
      <c r="H62" s="2">
        <v>0</v>
      </c>
      <c r="I62" s="2"/>
    </row>
    <row r="67" spans="1:9" x14ac:dyDescent="0.35">
      <c r="A67" s="86">
        <v>46199</v>
      </c>
    </row>
    <row r="68" spans="1:9" x14ac:dyDescent="0.35">
      <c r="A68" s="64" t="s">
        <v>3834</v>
      </c>
      <c r="B68" s="64" t="s">
        <v>3835</v>
      </c>
      <c r="C68" s="64" t="s">
        <v>9</v>
      </c>
      <c r="G68" t="s">
        <v>3855</v>
      </c>
      <c r="H68" t="s">
        <v>3858</v>
      </c>
    </row>
    <row r="69" spans="1:9" x14ac:dyDescent="0.35">
      <c r="A69" s="91" t="s">
        <v>2213</v>
      </c>
      <c r="B69" s="91">
        <v>468</v>
      </c>
      <c r="C69" s="84">
        <v>736.4</v>
      </c>
      <c r="D69" s="92"/>
      <c r="E69" s="92" t="s">
        <v>1225</v>
      </c>
      <c r="F69" s="92" t="s">
        <v>3837</v>
      </c>
      <c r="G69" s="93">
        <v>794.6</v>
      </c>
      <c r="H69" s="93">
        <f>+G69-C69</f>
        <v>58.200000000000045</v>
      </c>
      <c r="I69" s="92" t="s">
        <v>3856</v>
      </c>
    </row>
    <row r="70" spans="1:9" x14ac:dyDescent="0.35">
      <c r="A70" s="87" t="s">
        <v>2214</v>
      </c>
      <c r="B70" s="87">
        <v>357</v>
      </c>
      <c r="C70" s="88">
        <v>598.70000000000005</v>
      </c>
      <c r="D70" s="32"/>
      <c r="E70" s="32" t="s">
        <v>1291</v>
      </c>
      <c r="F70" s="32" t="s">
        <v>3837</v>
      </c>
      <c r="G70" s="30">
        <v>470.54</v>
      </c>
      <c r="H70" s="30">
        <f t="shared" ref="H70:H73" si="0">+G70-C70</f>
        <v>-128.16000000000003</v>
      </c>
      <c r="I70" s="32" t="s">
        <v>3856</v>
      </c>
    </row>
    <row r="71" spans="1:9" x14ac:dyDescent="0.35">
      <c r="A71" s="63" t="s">
        <v>2215</v>
      </c>
      <c r="B71" s="63">
        <v>99</v>
      </c>
      <c r="C71" s="67">
        <v>176.8</v>
      </c>
      <c r="E71" t="s">
        <v>1357</v>
      </c>
      <c r="F71" t="s">
        <v>3837</v>
      </c>
      <c r="G71" s="2">
        <v>182.84</v>
      </c>
      <c r="H71" s="2">
        <f t="shared" si="0"/>
        <v>6.039999999999992</v>
      </c>
      <c r="I71" t="s">
        <v>3857</v>
      </c>
    </row>
    <row r="72" spans="1:9" x14ac:dyDescent="0.35">
      <c r="A72" s="63" t="s">
        <v>2216</v>
      </c>
      <c r="B72" s="63">
        <v>89</v>
      </c>
      <c r="C72" s="67">
        <v>166.2</v>
      </c>
      <c r="E72" t="s">
        <v>1424</v>
      </c>
      <c r="F72" t="s">
        <v>3837</v>
      </c>
      <c r="G72" s="2">
        <v>177.4</v>
      </c>
      <c r="H72" s="2">
        <f t="shared" si="0"/>
        <v>11.200000000000017</v>
      </c>
      <c r="I72" t="s">
        <v>3857</v>
      </c>
    </row>
    <row r="73" spans="1:9" x14ac:dyDescent="0.35">
      <c r="A73" s="63" t="s">
        <v>2218</v>
      </c>
      <c r="B73" s="63">
        <v>31</v>
      </c>
      <c r="C73" s="67">
        <v>63.9</v>
      </c>
      <c r="E73" t="s">
        <v>1555</v>
      </c>
      <c r="F73" t="s">
        <v>3837</v>
      </c>
      <c r="G73" s="2">
        <v>69</v>
      </c>
      <c r="H73" s="2">
        <f t="shared" si="0"/>
        <v>5.1000000000000014</v>
      </c>
      <c r="I73" t="s">
        <v>3857</v>
      </c>
    </row>
    <row r="74" spans="1:9" x14ac:dyDescent="0.35">
      <c r="C74" s="66">
        <f>SUM(C69:C73)</f>
        <v>1742</v>
      </c>
    </row>
    <row r="75" spans="1:9" x14ac:dyDescent="0.35">
      <c r="A75" s="18" t="s">
        <v>3836</v>
      </c>
      <c r="H75" s="65">
        <f>SUM(H78:H97)</f>
        <v>1589.8999999999999</v>
      </c>
      <c r="I75" s="65"/>
    </row>
    <row r="76" spans="1:9" x14ac:dyDescent="0.35">
      <c r="A76" s="61" t="s">
        <v>27</v>
      </c>
      <c r="B76" s="60" t="s">
        <v>2163</v>
      </c>
      <c r="C76" s="61" t="s">
        <v>4</v>
      </c>
      <c r="D76" s="1"/>
      <c r="E76" s="62" t="s">
        <v>28</v>
      </c>
      <c r="F76" s="60" t="s">
        <v>6</v>
      </c>
      <c r="G76" s="60" t="s">
        <v>29</v>
      </c>
      <c r="H76" s="60" t="s">
        <v>5</v>
      </c>
      <c r="I76" s="5"/>
    </row>
    <row r="77" spans="1:9" ht="5.25" customHeight="1" x14ac:dyDescent="0.35">
      <c r="A77" s="4"/>
      <c r="B77" s="24"/>
      <c r="C77" s="4"/>
      <c r="D77" s="1"/>
      <c r="E77" s="5"/>
      <c r="F77" s="5"/>
      <c r="G77" s="5"/>
      <c r="H77" s="5"/>
      <c r="I77" s="5"/>
    </row>
    <row r="78" spans="1:9" x14ac:dyDescent="0.35">
      <c r="A78" t="s">
        <v>8</v>
      </c>
      <c r="B78" s="2"/>
      <c r="C78" t="s">
        <v>9</v>
      </c>
      <c r="E78" s="2"/>
      <c r="F78" s="2"/>
      <c r="G78" s="2" t="s">
        <v>7</v>
      </c>
      <c r="H78" s="2">
        <v>472.3</v>
      </c>
      <c r="I78" s="2"/>
    </row>
    <row r="79" spans="1:9" x14ac:dyDescent="0.35">
      <c r="A79" t="s">
        <v>10</v>
      </c>
      <c r="B79" s="2"/>
      <c r="C79" t="s">
        <v>9</v>
      </c>
      <c r="E79" s="2"/>
      <c r="F79" s="2"/>
      <c r="G79" s="2"/>
      <c r="H79" s="2">
        <v>0</v>
      </c>
      <c r="I79" s="2"/>
    </row>
    <row r="80" spans="1:9" x14ac:dyDescent="0.35">
      <c r="A80" t="s">
        <v>12</v>
      </c>
      <c r="B80" s="2"/>
      <c r="C80" t="s">
        <v>9</v>
      </c>
      <c r="E80" s="2"/>
      <c r="F80" s="2"/>
      <c r="G80" s="2" t="s">
        <v>11</v>
      </c>
      <c r="H80" s="2">
        <v>250.8</v>
      </c>
      <c r="I80" s="2"/>
    </row>
    <row r="81" spans="1:9" x14ac:dyDescent="0.35">
      <c r="A81" t="s">
        <v>2159</v>
      </c>
      <c r="B81" s="2"/>
      <c r="C81" t="s">
        <v>9</v>
      </c>
      <c r="E81" s="2"/>
      <c r="F81" s="2"/>
      <c r="G81" s="2" t="s">
        <v>13</v>
      </c>
      <c r="H81" s="2">
        <v>397.2</v>
      </c>
      <c r="I81" s="2"/>
    </row>
    <row r="82" spans="1:9" x14ac:dyDescent="0.35">
      <c r="A82" t="s">
        <v>2178</v>
      </c>
      <c r="B82" s="2"/>
      <c r="C82" t="s">
        <v>9</v>
      </c>
      <c r="E82" s="2"/>
      <c r="F82" s="2"/>
      <c r="G82" s="2" t="s">
        <v>14</v>
      </c>
      <c r="H82" s="2">
        <v>89.2</v>
      </c>
      <c r="I82" s="2"/>
    </row>
    <row r="83" spans="1:9" x14ac:dyDescent="0.35">
      <c r="A83" t="s">
        <v>2179</v>
      </c>
      <c r="B83" s="2"/>
      <c r="C83" t="s">
        <v>9</v>
      </c>
      <c r="E83" s="2"/>
      <c r="F83" s="2"/>
      <c r="G83" s="2" t="s">
        <v>15</v>
      </c>
      <c r="H83" s="2">
        <v>122.1</v>
      </c>
      <c r="I83" s="2"/>
    </row>
    <row r="84" spans="1:9" x14ac:dyDescent="0.35">
      <c r="A84" t="s">
        <v>2160</v>
      </c>
      <c r="B84" s="2"/>
      <c r="C84" t="s">
        <v>9</v>
      </c>
      <c r="E84" s="2"/>
      <c r="F84" s="2"/>
      <c r="G84" s="2" t="s">
        <v>16</v>
      </c>
      <c r="H84" s="2">
        <v>57.1</v>
      </c>
      <c r="I84" s="2"/>
    </row>
    <row r="85" spans="1:9" x14ac:dyDescent="0.35">
      <c r="A85" t="s">
        <v>17</v>
      </c>
      <c r="B85" s="2"/>
      <c r="C85" t="s">
        <v>9</v>
      </c>
      <c r="E85" s="2"/>
      <c r="F85" s="2"/>
      <c r="G85" s="2" t="s">
        <v>18</v>
      </c>
      <c r="H85" s="2">
        <v>81.5</v>
      </c>
      <c r="I85" s="2"/>
    </row>
    <row r="86" spans="1:9" x14ac:dyDescent="0.35">
      <c r="A86" t="s">
        <v>2199</v>
      </c>
      <c r="B86" s="2"/>
      <c r="C86" t="s">
        <v>9</v>
      </c>
      <c r="E86" s="2"/>
      <c r="F86" s="2"/>
      <c r="G86" s="2" t="s">
        <v>2139</v>
      </c>
      <c r="H86" s="2">
        <v>119.7</v>
      </c>
      <c r="I86" s="2"/>
    </row>
    <row r="87" spans="1:9" x14ac:dyDescent="0.35">
      <c r="A87" t="s">
        <v>2161</v>
      </c>
      <c r="B87" s="2"/>
      <c r="C87" t="s">
        <v>9</v>
      </c>
      <c r="E87" s="2"/>
      <c r="F87" s="2"/>
      <c r="G87" s="2"/>
      <c r="H87" s="2">
        <v>0</v>
      </c>
      <c r="I87" s="2"/>
    </row>
    <row r="88" spans="1:9" x14ac:dyDescent="0.35">
      <c r="A88" t="s">
        <v>2162</v>
      </c>
      <c r="B88" s="2"/>
      <c r="C88" t="s">
        <v>9</v>
      </c>
      <c r="E88" s="2"/>
      <c r="F88" s="2"/>
      <c r="G88" s="2"/>
      <c r="H88" s="2">
        <v>0</v>
      </c>
      <c r="I88" s="2"/>
    </row>
    <row r="89" spans="1:9" x14ac:dyDescent="0.35">
      <c r="A89" t="s">
        <v>0</v>
      </c>
      <c r="B89" s="2"/>
      <c r="C89" t="s">
        <v>9</v>
      </c>
      <c r="E89" s="2"/>
      <c r="F89" s="2"/>
      <c r="G89" s="2"/>
      <c r="H89" s="2">
        <v>0</v>
      </c>
      <c r="I89" s="2"/>
    </row>
    <row r="90" spans="1:9" x14ac:dyDescent="0.35">
      <c r="A90" t="s">
        <v>24</v>
      </c>
      <c r="B90" s="2"/>
      <c r="C90" t="s">
        <v>9</v>
      </c>
      <c r="E90" s="2"/>
      <c r="F90" s="2"/>
      <c r="G90" s="2"/>
      <c r="H90" s="2">
        <v>0</v>
      </c>
      <c r="I90" s="2"/>
    </row>
    <row r="91" spans="1:9" x14ac:dyDescent="0.35">
      <c r="A91" t="s">
        <v>2200</v>
      </c>
      <c r="B91" s="3"/>
      <c r="C91" t="s">
        <v>9</v>
      </c>
      <c r="E91" s="3"/>
      <c r="F91" s="3"/>
      <c r="G91" s="3"/>
      <c r="H91" s="3">
        <v>0</v>
      </c>
      <c r="I91" s="3"/>
    </row>
    <row r="92" spans="1:9" x14ac:dyDescent="0.35">
      <c r="A92" t="s">
        <v>2167</v>
      </c>
      <c r="B92" s="2"/>
      <c r="C92" t="s">
        <v>9</v>
      </c>
      <c r="E92" s="2"/>
      <c r="F92" s="2"/>
      <c r="G92" s="2"/>
      <c r="H92" s="2">
        <v>0</v>
      </c>
      <c r="I92" s="2"/>
    </row>
    <row r="93" spans="1:9" x14ac:dyDescent="0.35">
      <c r="A93" t="s">
        <v>2168</v>
      </c>
      <c r="B93" s="2"/>
      <c r="C93" t="s">
        <v>9</v>
      </c>
      <c r="E93" s="2"/>
      <c r="F93" s="2"/>
      <c r="G93" s="2"/>
      <c r="H93" s="2">
        <v>0</v>
      </c>
      <c r="I93" s="2"/>
    </row>
    <row r="94" spans="1:9" x14ac:dyDescent="0.35">
      <c r="A94" t="s">
        <v>2169</v>
      </c>
      <c r="B94" s="2"/>
      <c r="C94" t="s">
        <v>9</v>
      </c>
      <c r="E94" s="2"/>
      <c r="F94" s="2"/>
      <c r="G94" s="2"/>
      <c r="H94" s="2">
        <v>0</v>
      </c>
      <c r="I94" s="2"/>
    </row>
    <row r="95" spans="1:9" x14ac:dyDescent="0.35">
      <c r="A95" t="s">
        <v>2201</v>
      </c>
      <c r="B95" s="2"/>
      <c r="C95" t="s">
        <v>9</v>
      </c>
      <c r="E95" s="2"/>
      <c r="F95" s="2"/>
      <c r="G95" s="2"/>
      <c r="H95" s="2">
        <v>0</v>
      </c>
      <c r="I95" s="2"/>
    </row>
    <row r="96" spans="1:9" x14ac:dyDescent="0.35">
      <c r="A96" t="s">
        <v>2170</v>
      </c>
      <c r="B96" s="2"/>
      <c r="C96" t="s">
        <v>9</v>
      </c>
      <c r="E96" s="2"/>
      <c r="F96" s="2"/>
      <c r="G96" s="2"/>
      <c r="H96" s="2">
        <v>0</v>
      </c>
      <c r="I96" s="2"/>
    </row>
    <row r="97" spans="1:19" x14ac:dyDescent="0.35">
      <c r="A97" t="s">
        <v>2171</v>
      </c>
      <c r="B97" s="2"/>
      <c r="C97" t="s">
        <v>9</v>
      </c>
      <c r="E97" s="2"/>
      <c r="F97" s="2"/>
      <c r="G97" s="2"/>
      <c r="H97" s="2">
        <v>0</v>
      </c>
      <c r="I97" s="2"/>
    </row>
    <row r="101" spans="1:19" x14ac:dyDescent="0.35">
      <c r="A101" s="83">
        <v>46182</v>
      </c>
    </row>
    <row r="102" spans="1:19" x14ac:dyDescent="0.35">
      <c r="A102" s="64" t="s">
        <v>3834</v>
      </c>
      <c r="B102" s="64" t="s">
        <v>3835</v>
      </c>
      <c r="C102" s="64" t="s">
        <v>9</v>
      </c>
    </row>
    <row r="103" spans="1:19" x14ac:dyDescent="0.35">
      <c r="A103" s="63" t="s">
        <v>2217</v>
      </c>
      <c r="B103" s="63"/>
      <c r="C103" s="67">
        <v>104.8</v>
      </c>
      <c r="E103" t="s">
        <v>1489</v>
      </c>
      <c r="F103" t="s">
        <v>3837</v>
      </c>
      <c r="H103">
        <v>104.1</v>
      </c>
      <c r="J103" s="25">
        <f>+C103-H103</f>
        <v>0.70000000000000284</v>
      </c>
      <c r="K103" s="2">
        <v>2574550.7400000002</v>
      </c>
    </row>
    <row r="104" spans="1:19" x14ac:dyDescent="0.35">
      <c r="A104" s="63" t="s">
        <v>2195</v>
      </c>
      <c r="B104" s="63"/>
      <c r="C104" s="67">
        <v>1888</v>
      </c>
      <c r="E104" t="s">
        <v>1450</v>
      </c>
      <c r="F104" t="s">
        <v>3837</v>
      </c>
      <c r="H104">
        <v>2009.61</v>
      </c>
      <c r="J104" s="6">
        <f>+H104-C104</f>
        <v>121.6099999999999</v>
      </c>
      <c r="K104" s="2">
        <v>53405599.57</v>
      </c>
      <c r="M104" s="2">
        <f>+K104/H104</f>
        <v>26575.106398753989</v>
      </c>
      <c r="O104" s="6">
        <f>+M104*J104</f>
        <v>3231798.6891524699</v>
      </c>
      <c r="P104" s="6">
        <f>+K104-O104</f>
        <v>50173800.880847529</v>
      </c>
    </row>
    <row r="105" spans="1:19" x14ac:dyDescent="0.35">
      <c r="C105" s="66">
        <f>SUM(C103:C104)</f>
        <v>1992.8</v>
      </c>
      <c r="K105" s="65">
        <f>SUM(K103:K104)</f>
        <v>55980150.310000002</v>
      </c>
    </row>
    <row r="106" spans="1:19" x14ac:dyDescent="0.35">
      <c r="A106" s="18" t="s">
        <v>3836</v>
      </c>
      <c r="H106" s="65">
        <f>SUM(H109:H128)</f>
        <v>1737.9</v>
      </c>
      <c r="I106" s="65"/>
      <c r="K106" s="6">
        <f>+C105-H106</f>
        <v>254.89999999999986</v>
      </c>
    </row>
    <row r="107" spans="1:19" x14ac:dyDescent="0.35">
      <c r="A107" s="61" t="s">
        <v>27</v>
      </c>
      <c r="B107" s="60" t="s">
        <v>2163</v>
      </c>
      <c r="C107" s="61" t="s">
        <v>4</v>
      </c>
      <c r="D107" s="1"/>
      <c r="E107" s="62" t="s">
        <v>28</v>
      </c>
      <c r="F107" s="60" t="s">
        <v>6</v>
      </c>
      <c r="G107" s="60" t="s">
        <v>29</v>
      </c>
      <c r="H107" s="60" t="s">
        <v>5</v>
      </c>
      <c r="I107" s="89"/>
      <c r="J107" s="81" t="s">
        <v>3853</v>
      </c>
      <c r="K107" s="82" t="s">
        <v>3854</v>
      </c>
    </row>
    <row r="108" spans="1:19" x14ac:dyDescent="0.35">
      <c r="A108" s="4"/>
      <c r="B108" s="24"/>
      <c r="C108" s="4"/>
      <c r="D108" s="1"/>
      <c r="E108" s="5"/>
      <c r="F108" s="5"/>
      <c r="G108" s="5"/>
      <c r="H108" s="5"/>
      <c r="I108" s="5"/>
      <c r="O108" s="6">
        <f>+P108/H106</f>
        <v>30351.77606355229</v>
      </c>
      <c r="P108" s="6">
        <f>+P104+K103</f>
        <v>52748351.620847531</v>
      </c>
    </row>
    <row r="109" spans="1:19" x14ac:dyDescent="0.35">
      <c r="A109" t="s">
        <v>8</v>
      </c>
      <c r="B109" s="2">
        <v>40000</v>
      </c>
      <c r="C109" t="s">
        <v>9</v>
      </c>
      <c r="E109" s="2"/>
      <c r="F109" s="2"/>
      <c r="G109" s="2" t="s">
        <v>7</v>
      </c>
      <c r="H109" s="2">
        <v>567.4</v>
      </c>
      <c r="I109" s="2"/>
      <c r="J109">
        <v>661.5</v>
      </c>
      <c r="K109" s="25">
        <f>+H109+J109</f>
        <v>1228.9000000000001</v>
      </c>
      <c r="L109" s="6">
        <f>+H109*S109</f>
        <v>23210115.333317608</v>
      </c>
      <c r="M109" s="2">
        <v>14017738.34</v>
      </c>
      <c r="O109" s="6">
        <f>+L109+M109</f>
        <v>37227853.673317611</v>
      </c>
      <c r="Q109" s="6">
        <f>+O109/K109</f>
        <v>30293.639574674595</v>
      </c>
      <c r="R109" s="6">
        <f>+B109*H109</f>
        <v>22696000</v>
      </c>
      <c r="S109" s="2">
        <f>(R109/SUM($R$109:$R$118)*$P$108)/H109</f>
        <v>40906.089766157223</v>
      </c>
    </row>
    <row r="110" spans="1:19" x14ac:dyDescent="0.35">
      <c r="A110" t="s">
        <v>10</v>
      </c>
      <c r="B110" s="2"/>
      <c r="C110" t="s">
        <v>9</v>
      </c>
      <c r="E110" s="2"/>
      <c r="F110" s="2"/>
      <c r="G110" s="2"/>
      <c r="H110" s="2">
        <v>0</v>
      </c>
      <c r="I110" s="2"/>
      <c r="K110" s="25">
        <f t="shared" ref="K110:K118" si="1">+H110+J110</f>
        <v>0</v>
      </c>
      <c r="L110" s="6"/>
      <c r="O110" s="6">
        <f t="shared" ref="O110:O118" si="2">+L110+M110</f>
        <v>0</v>
      </c>
      <c r="Q110" s="6" t="e">
        <f t="shared" ref="Q110:Q118" si="3">+O110/K110</f>
        <v>#DIV/0!</v>
      </c>
      <c r="R110" s="6">
        <f t="shared" ref="R110:R118" si="4">+B110*H110</f>
        <v>0</v>
      </c>
      <c r="S110" s="2" t="e">
        <f t="shared" ref="S110:S118" si="5">(R110/SUM($R$109:$R$118)*$P$108)/H110</f>
        <v>#DIV/0!</v>
      </c>
    </row>
    <row r="111" spans="1:19" x14ac:dyDescent="0.35">
      <c r="A111" t="s">
        <v>12</v>
      </c>
      <c r="B111" s="2">
        <v>39000</v>
      </c>
      <c r="C111" t="s">
        <v>9</v>
      </c>
      <c r="E111" s="2"/>
      <c r="F111" s="2"/>
      <c r="G111" s="2" t="s">
        <v>11</v>
      </c>
      <c r="H111" s="2">
        <v>311.5</v>
      </c>
      <c r="I111" s="2"/>
      <c r="J111">
        <v>3039.32</v>
      </c>
      <c r="K111" s="25">
        <f t="shared" si="1"/>
        <v>3350.82</v>
      </c>
      <c r="L111" s="6">
        <f>+H111*S111</f>
        <v>12423690.788104028</v>
      </c>
      <c r="M111" s="2">
        <v>111663819.89</v>
      </c>
      <c r="O111" s="6">
        <f t="shared" si="2"/>
        <v>124087510.67810403</v>
      </c>
      <c r="Q111" s="6">
        <f>+O111/K111</f>
        <v>37031.983418418182</v>
      </c>
      <c r="R111" s="6">
        <f t="shared" si="4"/>
        <v>12148500</v>
      </c>
      <c r="S111" s="2">
        <f t="shared" si="5"/>
        <v>39883.437522003296</v>
      </c>
    </row>
    <row r="112" spans="1:19" x14ac:dyDescent="0.35">
      <c r="A112" t="s">
        <v>2159</v>
      </c>
      <c r="B112" s="2">
        <v>11000</v>
      </c>
      <c r="C112" t="s">
        <v>9</v>
      </c>
      <c r="E112" s="2"/>
      <c r="F112" s="2"/>
      <c r="G112" s="2" t="s">
        <v>13</v>
      </c>
      <c r="H112" s="2">
        <v>431.3</v>
      </c>
      <c r="I112" s="2"/>
      <c r="J112">
        <v>818.82</v>
      </c>
      <c r="K112" s="25">
        <f t="shared" si="1"/>
        <v>1250.1200000000001</v>
      </c>
      <c r="L112" s="6">
        <f>+H112*S112</f>
        <v>4851769.0419394933</v>
      </c>
      <c r="M112" s="2">
        <v>7388718.5599999996</v>
      </c>
      <c r="O112" s="6">
        <f t="shared" si="2"/>
        <v>12240487.601939492</v>
      </c>
      <c r="Q112" s="6">
        <f t="shared" si="3"/>
        <v>9791.450102341767</v>
      </c>
      <c r="R112" s="6">
        <f t="shared" si="4"/>
        <v>4744300</v>
      </c>
      <c r="S112" s="2">
        <f t="shared" si="5"/>
        <v>11249.174685693237</v>
      </c>
    </row>
    <row r="113" spans="1:19" x14ac:dyDescent="0.35">
      <c r="A113" t="s">
        <v>2178</v>
      </c>
      <c r="B113" s="2">
        <v>27000</v>
      </c>
      <c r="C113" t="s">
        <v>9</v>
      </c>
      <c r="E113" s="2"/>
      <c r="F113" s="2"/>
      <c r="G113" s="2" t="s">
        <v>14</v>
      </c>
      <c r="H113" s="2">
        <v>103.8</v>
      </c>
      <c r="I113" s="2"/>
      <c r="J113">
        <v>594.67999999999995</v>
      </c>
      <c r="K113" s="25">
        <f t="shared" si="1"/>
        <v>698.4799999999999</v>
      </c>
      <c r="L113" s="6">
        <f>+H113*S113</f>
        <v>2866085.1794658056</v>
      </c>
      <c r="M113" s="2">
        <v>14135956.07</v>
      </c>
      <c r="O113" s="6">
        <f t="shared" si="2"/>
        <v>17002041.249465805</v>
      </c>
      <c r="Q113" s="6">
        <f t="shared" si="3"/>
        <v>24341.48615488748</v>
      </c>
      <c r="R113" s="6">
        <f t="shared" si="4"/>
        <v>2802600</v>
      </c>
      <c r="S113" s="2">
        <f t="shared" si="5"/>
        <v>27611.610592156125</v>
      </c>
    </row>
    <row r="114" spans="1:19" x14ac:dyDescent="0.35">
      <c r="A114" t="s">
        <v>2179</v>
      </c>
      <c r="B114" s="2"/>
      <c r="C114" t="s">
        <v>9</v>
      </c>
      <c r="E114" s="2"/>
      <c r="F114" s="2"/>
      <c r="G114" s="2"/>
      <c r="H114" s="2">
        <v>0</v>
      </c>
      <c r="I114" s="2"/>
      <c r="K114" s="25">
        <f t="shared" si="1"/>
        <v>0</v>
      </c>
      <c r="L114" s="6"/>
      <c r="O114" s="6">
        <f t="shared" si="2"/>
        <v>0</v>
      </c>
      <c r="Q114" s="6" t="e">
        <f t="shared" si="3"/>
        <v>#DIV/0!</v>
      </c>
      <c r="R114" s="6">
        <f t="shared" si="4"/>
        <v>0</v>
      </c>
      <c r="S114" s="2" t="e">
        <f t="shared" si="5"/>
        <v>#DIV/0!</v>
      </c>
    </row>
    <row r="115" spans="1:19" x14ac:dyDescent="0.35">
      <c r="A115" t="s">
        <v>2160</v>
      </c>
      <c r="B115" s="2"/>
      <c r="C115" t="s">
        <v>9</v>
      </c>
      <c r="E115" s="2"/>
      <c r="F115" s="2"/>
      <c r="G115" s="2"/>
      <c r="H115" s="2">
        <v>0</v>
      </c>
      <c r="I115" s="2"/>
      <c r="K115" s="25">
        <f t="shared" si="1"/>
        <v>0</v>
      </c>
      <c r="L115" s="6"/>
      <c r="O115" s="6">
        <f t="shared" si="2"/>
        <v>0</v>
      </c>
      <c r="Q115" s="6" t="e">
        <f t="shared" si="3"/>
        <v>#DIV/0!</v>
      </c>
      <c r="R115" s="6">
        <f t="shared" si="4"/>
        <v>0</v>
      </c>
      <c r="S115" s="2" t="e">
        <f t="shared" si="5"/>
        <v>#DIV/0!</v>
      </c>
    </row>
    <row r="116" spans="1:19" x14ac:dyDescent="0.35">
      <c r="A116" t="s">
        <v>17</v>
      </c>
      <c r="B116" s="2">
        <v>3500</v>
      </c>
      <c r="C116" t="s">
        <v>9</v>
      </c>
      <c r="E116" s="2"/>
      <c r="F116" s="2"/>
      <c r="G116" s="2" t="s">
        <v>18</v>
      </c>
      <c r="H116" s="2">
        <v>56.5</v>
      </c>
      <c r="I116" s="2"/>
      <c r="J116">
        <v>56.5</v>
      </c>
      <c r="K116" s="25">
        <f t="shared" si="1"/>
        <v>113</v>
      </c>
      <c r="L116" s="6">
        <f>+H116*S116</f>
        <v>202229.48128143977</v>
      </c>
      <c r="M116" s="2">
        <v>88520.45</v>
      </c>
      <c r="O116" s="6">
        <f t="shared" si="2"/>
        <v>290749.93128143979</v>
      </c>
      <c r="Q116" s="6">
        <f t="shared" si="3"/>
        <v>2573.0082414286708</v>
      </c>
      <c r="R116" s="6">
        <f t="shared" si="4"/>
        <v>197750</v>
      </c>
      <c r="S116" s="2">
        <f t="shared" si="5"/>
        <v>3579.282854538757</v>
      </c>
    </row>
    <row r="117" spans="1:19" x14ac:dyDescent="0.35">
      <c r="A117" t="s">
        <v>2199</v>
      </c>
      <c r="B117" s="2">
        <v>34000</v>
      </c>
      <c r="C117" t="s">
        <v>9</v>
      </c>
      <c r="E117" s="2"/>
      <c r="F117" s="2"/>
      <c r="G117" s="2" t="s">
        <v>2139</v>
      </c>
      <c r="H117" s="2">
        <v>256.2</v>
      </c>
      <c r="I117" s="2"/>
      <c r="J117">
        <v>485.11</v>
      </c>
      <c r="K117" s="25">
        <f t="shared" si="1"/>
        <v>741.31</v>
      </c>
      <c r="L117" s="6">
        <f>+H117*S117</f>
        <v>8908119.1683760583</v>
      </c>
      <c r="M117" s="2">
        <v>10970875.779999999</v>
      </c>
      <c r="O117" s="6">
        <f t="shared" si="2"/>
        <v>19878994.94837606</v>
      </c>
      <c r="Q117" s="6">
        <f t="shared" si="3"/>
        <v>26816.035057366098</v>
      </c>
      <c r="R117" s="6">
        <f t="shared" si="4"/>
        <v>8710800</v>
      </c>
      <c r="S117" s="2">
        <f t="shared" si="5"/>
        <v>34770.176301233638</v>
      </c>
    </row>
    <row r="118" spans="1:19" x14ac:dyDescent="0.35">
      <c r="A118" t="s">
        <v>2161</v>
      </c>
      <c r="B118" s="2">
        <v>25000</v>
      </c>
      <c r="C118" t="s">
        <v>9</v>
      </c>
      <c r="E118" s="2"/>
      <c r="F118" s="2"/>
      <c r="G118" s="2" t="s">
        <v>19</v>
      </c>
      <c r="H118" s="2">
        <v>11.2</v>
      </c>
      <c r="I118" s="2"/>
      <c r="J118">
        <v>35.78</v>
      </c>
      <c r="K118" s="25">
        <f t="shared" si="1"/>
        <v>46.980000000000004</v>
      </c>
      <c r="L118" s="6">
        <f>+H118*S118</f>
        <v>286342.62836310052</v>
      </c>
      <c r="M118" s="2">
        <v>734480.96</v>
      </c>
      <c r="O118" s="6">
        <f t="shared" si="2"/>
        <v>1020823.5883631005</v>
      </c>
      <c r="Q118" s="6">
        <f t="shared" si="3"/>
        <v>21728.897155451265</v>
      </c>
      <c r="R118" s="6">
        <f t="shared" si="4"/>
        <v>280000</v>
      </c>
      <c r="S118" s="2">
        <f t="shared" si="5"/>
        <v>25566.306103848263</v>
      </c>
    </row>
    <row r="119" spans="1:19" x14ac:dyDescent="0.35">
      <c r="A119" t="s">
        <v>2162</v>
      </c>
      <c r="B119" s="2"/>
      <c r="C119" t="s">
        <v>9</v>
      </c>
      <c r="E119" s="2"/>
      <c r="F119" s="2"/>
      <c r="G119" s="2"/>
      <c r="H119" s="2">
        <v>0</v>
      </c>
      <c r="I119" s="2"/>
    </row>
    <row r="120" spans="1:19" x14ac:dyDescent="0.35">
      <c r="A120" t="s">
        <v>0</v>
      </c>
      <c r="B120" s="2"/>
      <c r="C120" t="s">
        <v>9</v>
      </c>
      <c r="E120" s="2"/>
      <c r="F120" s="2"/>
      <c r="G120" s="2"/>
      <c r="H120" s="2">
        <v>0</v>
      </c>
      <c r="I120" s="2"/>
    </row>
    <row r="121" spans="1:19" x14ac:dyDescent="0.35">
      <c r="A121" t="s">
        <v>24</v>
      </c>
      <c r="B121" s="2"/>
      <c r="C121" t="s">
        <v>9</v>
      </c>
      <c r="E121" s="2"/>
      <c r="F121" s="2"/>
      <c r="G121" s="2"/>
      <c r="H121" s="2">
        <v>0</v>
      </c>
      <c r="I121" s="2"/>
    </row>
    <row r="122" spans="1:19" x14ac:dyDescent="0.35">
      <c r="A122" t="s">
        <v>2200</v>
      </c>
      <c r="B122" s="3"/>
      <c r="C122" t="s">
        <v>9</v>
      </c>
      <c r="E122" s="3"/>
      <c r="F122" s="3"/>
      <c r="G122" s="3"/>
      <c r="H122" s="3">
        <v>0</v>
      </c>
      <c r="I122" s="3"/>
    </row>
    <row r="123" spans="1:19" x14ac:dyDescent="0.35">
      <c r="A123" t="s">
        <v>2167</v>
      </c>
      <c r="B123" s="2"/>
      <c r="C123" t="s">
        <v>9</v>
      </c>
      <c r="E123" s="2"/>
      <c r="F123" s="2"/>
      <c r="G123" s="2"/>
      <c r="H123" s="2">
        <v>0</v>
      </c>
      <c r="I123" s="2"/>
    </row>
    <row r="124" spans="1:19" x14ac:dyDescent="0.35">
      <c r="A124" t="s">
        <v>2168</v>
      </c>
      <c r="B124" s="2"/>
      <c r="C124" t="s">
        <v>9</v>
      </c>
      <c r="E124" s="2"/>
      <c r="F124" s="2"/>
      <c r="G124" s="2"/>
      <c r="H124" s="2">
        <v>0</v>
      </c>
      <c r="I124" s="2"/>
    </row>
    <row r="125" spans="1:19" x14ac:dyDescent="0.35">
      <c r="A125" t="s">
        <v>2169</v>
      </c>
      <c r="B125" s="2"/>
      <c r="C125" t="s">
        <v>9</v>
      </c>
      <c r="E125" s="2"/>
      <c r="F125" s="2"/>
      <c r="G125" s="2"/>
      <c r="H125" s="2">
        <v>0</v>
      </c>
      <c r="I125" s="2"/>
    </row>
    <row r="126" spans="1:19" x14ac:dyDescent="0.35">
      <c r="A126" t="s">
        <v>2201</v>
      </c>
      <c r="B126" s="2"/>
      <c r="C126" t="s">
        <v>9</v>
      </c>
      <c r="E126" s="2"/>
      <c r="F126" s="2"/>
      <c r="G126" s="2"/>
      <c r="H126" s="2">
        <v>0</v>
      </c>
      <c r="I126" s="2"/>
    </row>
    <row r="127" spans="1:19" x14ac:dyDescent="0.35">
      <c r="A127" t="s">
        <v>2170</v>
      </c>
      <c r="B127" s="2"/>
      <c r="C127" t="s">
        <v>9</v>
      </c>
      <c r="E127" s="2"/>
      <c r="F127" s="2"/>
      <c r="G127" s="2"/>
      <c r="H127" s="2">
        <v>0</v>
      </c>
      <c r="I127" s="2"/>
    </row>
    <row r="128" spans="1:19" x14ac:dyDescent="0.35">
      <c r="A128" t="s">
        <v>2171</v>
      </c>
      <c r="B128" s="2"/>
      <c r="C128" t="s">
        <v>9</v>
      </c>
      <c r="E128" s="2"/>
      <c r="F128" s="2"/>
      <c r="G128" s="2"/>
      <c r="H128" s="2">
        <v>0</v>
      </c>
      <c r="I128" s="2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A16C-11B6-444A-B306-F1A5AC12810C}">
  <sheetPr>
    <tabColor theme="3"/>
    <pageSetUpPr fitToPage="1"/>
  </sheetPr>
  <dimension ref="A1:R89"/>
  <sheetViews>
    <sheetView zoomScale="80" zoomScaleNormal="80" workbookViewId="0">
      <pane xSplit="3" ySplit="9" topLeftCell="D35" activePane="bottomRight" state="frozen"/>
      <selection activeCell="A751" sqref="A751"/>
      <selection pane="topRight" activeCell="A751" sqref="A751"/>
      <selection pane="bottomLeft" activeCell="A751" sqref="A751"/>
      <selection pane="bottomRight" activeCell="H53" sqref="A53:XFD60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27.26953125" style="2" bestFit="1" customWidth="1"/>
    <col min="8" max="8" width="42.453125" style="2" bestFit="1" customWidth="1"/>
    <col min="9" max="9" width="12.269531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s="18" t="s">
        <v>3865</v>
      </c>
      <c r="F2" s="155">
        <v>46266</v>
      </c>
      <c r="G2" s="19" t="s">
        <v>3943</v>
      </c>
    </row>
    <row r="3" spans="1:18" x14ac:dyDescent="0.35">
      <c r="A3" s="101" t="s">
        <v>3866</v>
      </c>
      <c r="B3" s="2">
        <v>97662600</v>
      </c>
      <c r="C3" s="19">
        <f>B3*0.25%</f>
        <v>244156.5</v>
      </c>
      <c r="F3" s="2" t="s">
        <v>4092</v>
      </c>
      <c r="G3" s="156" t="s">
        <v>4096</v>
      </c>
      <c r="H3" s="2" t="s">
        <v>4095</v>
      </c>
      <c r="I3" s="101" t="s">
        <v>3870</v>
      </c>
      <c r="J3" s="2" t="s">
        <v>3993</v>
      </c>
      <c r="Q3" s="25"/>
      <c r="R3" s="2"/>
    </row>
    <row r="4" spans="1:18" x14ac:dyDescent="0.35">
      <c r="A4" s="101" t="s">
        <v>3867</v>
      </c>
      <c r="B4" s="2">
        <v>4500000</v>
      </c>
      <c r="C4">
        <f>B4/J5</f>
        <v>1161.140498000258</v>
      </c>
      <c r="F4" s="2" t="s">
        <v>4093</v>
      </c>
      <c r="G4" s="157" t="s">
        <v>3994</v>
      </c>
      <c r="I4" s="101" t="s">
        <v>3872</v>
      </c>
      <c r="J4" s="115">
        <v>46268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f>5325544+(432432)</f>
        <v>5757976</v>
      </c>
      <c r="C5" s="6">
        <f>5911360+(432432)</f>
        <v>6343792</v>
      </c>
      <c r="G5" s="157" t="s">
        <v>3995</v>
      </c>
      <c r="I5" s="101" t="s">
        <v>3944</v>
      </c>
      <c r="J5" s="19">
        <v>3875.5</v>
      </c>
      <c r="K5" s="2">
        <v>3694.6</v>
      </c>
      <c r="L5" s="2">
        <f>K5-J5</f>
        <v>-180.90000000000009</v>
      </c>
      <c r="M5" s="158">
        <f>L5/J5</f>
        <v>-4.6677848019610398E-2</v>
      </c>
    </row>
    <row r="6" spans="1:18" x14ac:dyDescent="0.35">
      <c r="A6" s="102" t="s">
        <v>3869</v>
      </c>
      <c r="B6" s="19">
        <f>SUM(B3:B5)</f>
        <v>107920576</v>
      </c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SUM(K11:K65)/M10-1</f>
        <v>-6.018524215437826E-2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107920576</v>
      </c>
      <c r="G10" s="5"/>
      <c r="H10" s="5"/>
      <c r="I10" s="5">
        <f>SUM(I11:I79)</f>
        <v>3391.5999999999995</v>
      </c>
      <c r="J10" s="111">
        <f>SUM(J11:J79)</f>
        <v>0.87513869178170578</v>
      </c>
      <c r="K10" s="5">
        <f>+SUM(K11:K79)</f>
        <v>101425350</v>
      </c>
      <c r="L10" s="5"/>
      <c r="M10" s="5">
        <f>+SUM(M11:M79)</f>
        <v>107920575.99999999</v>
      </c>
      <c r="N10" s="5"/>
      <c r="O10" s="5">
        <f>+SUM(O11:O79)</f>
        <v>-6495225.9999999972</v>
      </c>
    </row>
    <row r="11" spans="1:18" x14ac:dyDescent="0.35">
      <c r="A11" t="s">
        <v>3873</v>
      </c>
      <c r="B11" s="3">
        <f>_xlfn.IFNA(_xlfn.XLOOKUP(A11,'Price list'!A:A,'Price list'!B:B),0)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74" si="0">+B11*(F11+I11)</f>
        <v>0</v>
      </c>
      <c r="L11" s="27">
        <f t="shared" ref="L11:L74" si="1">IFERROR(((K11/SUM($K$11:$K$79))*$F$10)/(F11+I11),0)</f>
        <v>0</v>
      </c>
      <c r="M11" s="3">
        <f t="shared" ref="M11:M74" si="2">+L11*(F11+I11)</f>
        <v>0</v>
      </c>
      <c r="N11" s="3">
        <f t="shared" ref="N11:N74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list'!A:A,'Price list'!B:B),0)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75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75" si="5">+K12-M12</f>
        <v>0</v>
      </c>
      <c r="P12" s="3"/>
      <c r="R12" s="3"/>
    </row>
    <row r="13" spans="1:18" x14ac:dyDescent="0.35">
      <c r="A13" t="s">
        <v>3875</v>
      </c>
      <c r="B13" s="3">
        <f>_xlfn.IFNA(_xlfn.XLOOKUP(A13,'Price list'!A:A,'Price list'!B:B),0)</f>
        <v>36500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si="4"/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si="5"/>
        <v>0</v>
      </c>
      <c r="P13" s="3"/>
    </row>
    <row r="14" spans="1:18" x14ac:dyDescent="0.35">
      <c r="A14" t="s">
        <v>3876</v>
      </c>
      <c r="B14" s="3">
        <f>_xlfn.IFNA(_xlfn.XLOOKUP(A14,'Price list'!A:A,'Price list'!B:B),0)</f>
        <v>36500</v>
      </c>
      <c r="C14" t="s">
        <v>9</v>
      </c>
      <c r="E14" s="3"/>
      <c r="F14" s="3"/>
      <c r="G14" s="3" t="s">
        <v>2220</v>
      </c>
      <c r="H14" s="3" t="str">
        <f>IF(G14=0,"",_xlfn.XLOOKUP(G14,List_item!A:A,List_item!B:B))</f>
        <v>Karkas Uk 0.6 Karkas Uk 0.6 Frozen Premium</v>
      </c>
      <c r="I14" s="3">
        <v>13.8</v>
      </c>
      <c r="J14" s="26">
        <f t="shared" si="4"/>
        <v>3.5608308605341249E-3</v>
      </c>
      <c r="K14" s="3">
        <f t="shared" si="0"/>
        <v>503700</v>
      </c>
      <c r="L14" s="27">
        <f t="shared" si="1"/>
        <v>38837.440777872594</v>
      </c>
      <c r="M14" s="3">
        <f t="shared" si="2"/>
        <v>535956.68273464183</v>
      </c>
      <c r="N14" s="3">
        <f t="shared" si="3"/>
        <v>-2337.4407778725945</v>
      </c>
      <c r="O14" s="3">
        <f t="shared" si="5"/>
        <v>-32256.682734641829</v>
      </c>
      <c r="P14" s="3"/>
    </row>
    <row r="15" spans="1:18" x14ac:dyDescent="0.35">
      <c r="A15" t="s">
        <v>3877</v>
      </c>
      <c r="B15" s="3">
        <f>_xlfn.IFNA(_xlfn.XLOOKUP(A15,'Price list'!A:A,'Price list'!B:B),0)</f>
        <v>36500</v>
      </c>
      <c r="C15" t="s">
        <v>9</v>
      </c>
      <c r="E15"/>
      <c r="F15"/>
      <c r="G15" s="3" t="s">
        <v>2221</v>
      </c>
      <c r="H15" s="3" t="str">
        <f>IF(G15=0,"",_xlfn.XLOOKUP(G15,List_item!A:A,List_item!B:B))</f>
        <v>Karkas Uk 0.7 Karkas Uk 0.7 Frozen Premium</v>
      </c>
      <c r="I15" s="3">
        <v>55.1</v>
      </c>
      <c r="J15" s="26">
        <f t="shared" si="4"/>
        <v>1.4217520319958715E-2</v>
      </c>
      <c r="K15" s="3">
        <f t="shared" si="0"/>
        <v>2011150</v>
      </c>
      <c r="L15" s="27">
        <f t="shared" si="1"/>
        <v>38837.440777872594</v>
      </c>
      <c r="M15" s="3">
        <f t="shared" si="2"/>
        <v>2139942.98686078</v>
      </c>
      <c r="N15" s="3">
        <f t="shared" si="3"/>
        <v>-2337.4407778725945</v>
      </c>
      <c r="O15" s="3">
        <f t="shared" si="5"/>
        <v>-128792.98686078005</v>
      </c>
      <c r="P15" s="3"/>
    </row>
    <row r="16" spans="1:18" x14ac:dyDescent="0.35">
      <c r="A16" t="s">
        <v>3878</v>
      </c>
      <c r="B16" s="3">
        <f>_xlfn.IFNA(_xlfn.XLOOKUP(A16,'Price list'!A:A,'Price list'!B:B),0)</f>
        <v>36500</v>
      </c>
      <c r="C16" t="s">
        <v>9</v>
      </c>
      <c r="E16" s="3"/>
      <c r="F16"/>
      <c r="G16" s="3" t="s">
        <v>2222</v>
      </c>
      <c r="H16" s="3" t="str">
        <f>IF(G16=0,"",_xlfn.XLOOKUP(G16,List_item!A:A,List_item!B:B))</f>
        <v>Karkas Uk 0.8 Frozen Premium</v>
      </c>
      <c r="I16" s="3">
        <v>128.69999999999999</v>
      </c>
      <c r="J16" s="26">
        <f t="shared" si="4"/>
        <v>3.3208618242807374E-2</v>
      </c>
      <c r="K16" s="3">
        <f t="shared" si="0"/>
        <v>4697550</v>
      </c>
      <c r="L16" s="27">
        <f t="shared" si="1"/>
        <v>38837.440777872594</v>
      </c>
      <c r="M16" s="3">
        <f t="shared" si="2"/>
        <v>4998378.6281122025</v>
      </c>
      <c r="N16" s="3">
        <f t="shared" si="3"/>
        <v>-2337.4407778725945</v>
      </c>
      <c r="O16" s="3">
        <f t="shared" si="5"/>
        <v>-300828.62811220251</v>
      </c>
      <c r="P16" s="3"/>
    </row>
    <row r="17" spans="1:16" x14ac:dyDescent="0.35">
      <c r="A17" t="s">
        <v>3879</v>
      </c>
      <c r="B17" s="3">
        <f>_xlfn.IFNA(_xlfn.XLOOKUP(A17,'Price list'!A:A,'Price list'!B:B),0)</f>
        <v>36500</v>
      </c>
      <c r="C17" t="s">
        <v>9</v>
      </c>
      <c r="E17" s="6"/>
      <c r="F17"/>
      <c r="G17" s="3" t="s">
        <v>2223</v>
      </c>
      <c r="H17" s="3" t="str">
        <f>IF(G17=0,"",_xlfn.XLOOKUP(G17,List_item!A:A,List_item!B:B))</f>
        <v>Karkas Uk 0.9 Frozen Premium</v>
      </c>
      <c r="I17" s="3">
        <v>448.7</v>
      </c>
      <c r="J17" s="26">
        <f t="shared" si="4"/>
        <v>0.11577860921171461</v>
      </c>
      <c r="K17" s="3">
        <f t="shared" si="0"/>
        <v>16377550</v>
      </c>
      <c r="L17" s="27">
        <f t="shared" si="1"/>
        <v>38837.440777872594</v>
      </c>
      <c r="M17" s="3">
        <f t="shared" si="2"/>
        <v>17426359.677031431</v>
      </c>
      <c r="N17" s="3">
        <f t="shared" si="3"/>
        <v>-2337.4407778725945</v>
      </c>
      <c r="O17" s="3">
        <f t="shared" si="5"/>
        <v>-1048809.6770314313</v>
      </c>
      <c r="P17" s="3"/>
    </row>
    <row r="18" spans="1:16" x14ac:dyDescent="0.35">
      <c r="A18" t="s">
        <v>3880</v>
      </c>
      <c r="B18" s="3">
        <f>_xlfn.IFNA(_xlfn.XLOOKUP(A18,'Price list'!A:A,'Price list'!B:B),0)</f>
        <v>36500</v>
      </c>
      <c r="C18" t="s">
        <v>9</v>
      </c>
      <c r="E18" s="3"/>
      <c r="F18" s="3"/>
      <c r="G18" s="3" t="s">
        <v>923</v>
      </c>
      <c r="H18" s="3" t="str">
        <f>IF(G18=0,"",_xlfn.XLOOKUP(G18,List_item!A:A,List_item!B:B))</f>
        <v>Karkas Uk 1.0 Karkas Uk 1.0 Frozen Premium</v>
      </c>
      <c r="I18" s="3">
        <v>688.2</v>
      </c>
      <c r="J18" s="26">
        <f t="shared" si="4"/>
        <v>0.17757708682750614</v>
      </c>
      <c r="K18" s="3">
        <f t="shared" si="0"/>
        <v>25119300</v>
      </c>
      <c r="L18" s="27">
        <f t="shared" si="1"/>
        <v>38837.440777872587</v>
      </c>
      <c r="M18" s="3">
        <f t="shared" si="2"/>
        <v>26727926.743331917</v>
      </c>
      <c r="N18" s="3">
        <f t="shared" si="3"/>
        <v>-2337.4407778725872</v>
      </c>
      <c r="O18" s="3">
        <f t="shared" si="5"/>
        <v>-1608626.7433319166</v>
      </c>
      <c r="P18" s="3"/>
    </row>
    <row r="19" spans="1:16" x14ac:dyDescent="0.35">
      <c r="A19" t="s">
        <v>3881</v>
      </c>
      <c r="B19" s="3">
        <f>_xlfn.IFNA(_xlfn.XLOOKUP(A19,'Price list'!A:A,'Price list'!B:B),0)</f>
        <v>36500</v>
      </c>
      <c r="C19" t="s">
        <v>9</v>
      </c>
      <c r="E19" s="3"/>
      <c r="F19" s="3"/>
      <c r="G19" s="3" t="s">
        <v>989</v>
      </c>
      <c r="H19" s="3" t="str">
        <f>IF(G19=0,"",_xlfn.XLOOKUP(G19,List_item!A:A,List_item!B:B))</f>
        <v>Karkas Uk 1.1 Karkas Uk 1.1 Frozen Premium</v>
      </c>
      <c r="I19" s="3">
        <v>651.6</v>
      </c>
      <c r="J19" s="26">
        <f t="shared" si="4"/>
        <v>0.16813314411043737</v>
      </c>
      <c r="K19" s="3">
        <f t="shared" si="0"/>
        <v>23783400</v>
      </c>
      <c r="L19" s="27">
        <f t="shared" si="1"/>
        <v>38837.440777872594</v>
      </c>
      <c r="M19" s="3">
        <f t="shared" si="2"/>
        <v>25306476.410861783</v>
      </c>
      <c r="N19" s="3">
        <f t="shared" si="3"/>
        <v>-2337.4407778725945</v>
      </c>
      <c r="O19" s="3">
        <f t="shared" si="5"/>
        <v>-1523076.4108617827</v>
      </c>
      <c r="P19" s="3"/>
    </row>
    <row r="20" spans="1:16" x14ac:dyDescent="0.35">
      <c r="A20" t="s">
        <v>3882</v>
      </c>
      <c r="B20" s="3">
        <f>_xlfn.IFNA(_xlfn.XLOOKUP(A20,'Price list'!A:A,'Price list'!B:B),0)</f>
        <v>36500</v>
      </c>
      <c r="C20" t="s">
        <v>9</v>
      </c>
      <c r="E20" s="3"/>
      <c r="F20" s="3"/>
      <c r="G20" s="3" t="s">
        <v>1023</v>
      </c>
      <c r="H20" s="3" t="str">
        <f>IF(G20=0,"",_xlfn.XLOOKUP(G20,List_item!A:A,List_item!B:B))</f>
        <v>Karkas Uk 1.2 Karkas Uk 1.2 Fresh Premium</v>
      </c>
      <c r="I20" s="3">
        <v>340.5</v>
      </c>
      <c r="J20" s="26">
        <f t="shared" si="4"/>
        <v>8.7859631015352851E-2</v>
      </c>
      <c r="K20" s="3">
        <f t="shared" si="0"/>
        <v>12428250</v>
      </c>
      <c r="L20" s="27">
        <f t="shared" si="1"/>
        <v>38837.440777872594</v>
      </c>
      <c r="M20" s="3">
        <f t="shared" si="2"/>
        <v>13224148.584865618</v>
      </c>
      <c r="N20" s="3">
        <f t="shared" si="3"/>
        <v>-2337.4407778725945</v>
      </c>
      <c r="O20" s="3">
        <f t="shared" si="5"/>
        <v>-795898.5848656185</v>
      </c>
      <c r="P20" s="3"/>
    </row>
    <row r="21" spans="1:16" x14ac:dyDescent="0.35">
      <c r="A21" t="s">
        <v>3883</v>
      </c>
      <c r="B21" s="3">
        <f>_xlfn.IFNA(_xlfn.XLOOKUP(A21,'Price list'!A:A,'Price list'!B:B),0)</f>
        <v>36500</v>
      </c>
      <c r="C21" t="s">
        <v>9</v>
      </c>
      <c r="E21" s="3"/>
      <c r="F21" s="3"/>
      <c r="G21" s="3" t="s">
        <v>1121</v>
      </c>
      <c r="H21" s="3" t="str">
        <f>IF(G21=0,"",_xlfn.XLOOKUP(G21,List_item!A:A,List_item!B:B))</f>
        <v>Karkas Uk 1.3 Karkas Uk 1.3 Frozen Premium</v>
      </c>
      <c r="I21" s="3">
        <v>101</v>
      </c>
      <c r="J21" s="26">
        <f t="shared" si="4"/>
        <v>2.6061153399561346E-2</v>
      </c>
      <c r="K21" s="3">
        <f t="shared" si="0"/>
        <v>3686500</v>
      </c>
      <c r="L21" s="27">
        <f t="shared" si="1"/>
        <v>38837.440777872594</v>
      </c>
      <c r="M21" s="3">
        <f t="shared" si="2"/>
        <v>3922581.5185651318</v>
      </c>
      <c r="N21" s="3">
        <f t="shared" si="3"/>
        <v>-2337.4407778725945</v>
      </c>
      <c r="O21" s="3">
        <f t="shared" si="5"/>
        <v>-236081.51856513182</v>
      </c>
      <c r="P21" s="3"/>
    </row>
    <row r="22" spans="1:16" x14ac:dyDescent="0.35">
      <c r="A22" t="s">
        <v>3884</v>
      </c>
      <c r="B22" s="3">
        <f>_xlfn.IFNA(_xlfn.XLOOKUP(A22,'Price list'!A:A,'Price list'!B:B),0)</f>
        <v>36500</v>
      </c>
      <c r="C22" t="s">
        <v>9</v>
      </c>
      <c r="E22" s="3"/>
      <c r="F22" s="3"/>
      <c r="G22" s="3" t="s">
        <v>1187</v>
      </c>
      <c r="H22" s="3" t="str">
        <f>IF(G22=0,"",_xlfn.XLOOKUP(G22,List_item!A:A,List_item!B:B))</f>
        <v>Karkas Uk 1.4 Karkas Uk 1.4 Frozen Premium</v>
      </c>
      <c r="I22" s="3">
        <v>11.7</v>
      </c>
      <c r="J22" s="26">
        <f t="shared" si="4"/>
        <v>3.0189652948006706E-3</v>
      </c>
      <c r="K22" s="3">
        <f t="shared" si="0"/>
        <v>427050</v>
      </c>
      <c r="L22" s="27">
        <f t="shared" si="1"/>
        <v>38837.440777872594</v>
      </c>
      <c r="M22" s="3">
        <f t="shared" si="2"/>
        <v>454398.05710110936</v>
      </c>
      <c r="N22" s="3">
        <f t="shared" si="3"/>
        <v>-2337.4407778725945</v>
      </c>
      <c r="O22" s="3">
        <f t="shared" si="5"/>
        <v>-27348.057101109356</v>
      </c>
      <c r="P22" s="3"/>
    </row>
    <row r="23" spans="1:16" x14ac:dyDescent="0.35">
      <c r="A23" t="s">
        <v>3849</v>
      </c>
      <c r="B23" s="3">
        <f>_xlfn.IFNA(_xlfn.XLOOKUP(A23,'Price list'!A:A,'Price list'!B:B),0)</f>
        <v>36500</v>
      </c>
      <c r="C23" t="s">
        <v>9</v>
      </c>
      <c r="E23" s="3"/>
      <c r="F23" s="3"/>
      <c r="G23" s="3"/>
      <c r="H23" s="3" t="str">
        <f>IF(G23=0,"",_xlfn.XLOOKUP(G23,List_item!A:A,List_item!B:B))</f>
        <v/>
      </c>
      <c r="I23" s="3">
        <v>0</v>
      </c>
      <c r="J23" s="26">
        <f t="shared" si="4"/>
        <v>0</v>
      </c>
      <c r="K23" s="3">
        <f t="shared" si="0"/>
        <v>0</v>
      </c>
      <c r="L23" s="27">
        <f t="shared" si="1"/>
        <v>0</v>
      </c>
      <c r="M23" s="3">
        <f t="shared" si="2"/>
        <v>0</v>
      </c>
      <c r="N23" s="3">
        <f t="shared" si="3"/>
        <v>0</v>
      </c>
      <c r="O23" s="3">
        <f t="shared" si="5"/>
        <v>0</v>
      </c>
      <c r="P23" s="3"/>
    </row>
    <row r="24" spans="1:16" x14ac:dyDescent="0.35">
      <c r="A24" t="s">
        <v>3885</v>
      </c>
      <c r="B24" s="3">
        <f>_xlfn.IFNA(_xlfn.XLOOKUP(A24,'Price list'!A:A,'Price list'!B:B),0)</f>
        <v>36500</v>
      </c>
      <c r="C24" t="s">
        <v>9</v>
      </c>
      <c r="E24" s="3"/>
      <c r="F24" s="3"/>
      <c r="G24" s="3"/>
      <c r="H24" s="3" t="str">
        <f>IF(G24=0,"",_xlfn.XLOOKUP(G24,List_item!A:A,List_item!B:B))</f>
        <v/>
      </c>
      <c r="I24" s="3">
        <v>0</v>
      </c>
      <c r="J24" s="26">
        <f t="shared" si="4"/>
        <v>0</v>
      </c>
      <c r="K24" s="3">
        <f t="shared" si="0"/>
        <v>0</v>
      </c>
      <c r="L24" s="27">
        <f t="shared" si="1"/>
        <v>0</v>
      </c>
      <c r="M24" s="3">
        <f t="shared" si="2"/>
        <v>0</v>
      </c>
      <c r="N24" s="3">
        <f t="shared" si="3"/>
        <v>0</v>
      </c>
      <c r="O24" s="3">
        <f t="shared" si="5"/>
        <v>0</v>
      </c>
      <c r="P24" s="3"/>
    </row>
    <row r="25" spans="1:16" x14ac:dyDescent="0.35">
      <c r="A25" t="s">
        <v>3886</v>
      </c>
      <c r="B25" s="3">
        <f>_xlfn.IFNA(_xlfn.XLOOKUP(A25,'Price list'!A:A,'Price list'!B:B),0)</f>
        <v>36500</v>
      </c>
      <c r="C25" t="s">
        <v>9</v>
      </c>
      <c r="E25" s="3"/>
      <c r="F25" s="3"/>
      <c r="G25" s="3"/>
      <c r="H25" s="3" t="str">
        <f>IF(G25=0,"",_xlfn.XLOOKUP(G25,List_item!A:A,List_item!B:B))</f>
        <v/>
      </c>
      <c r="I25" s="3">
        <v>0</v>
      </c>
      <c r="J25" s="26">
        <f t="shared" si="4"/>
        <v>0</v>
      </c>
      <c r="K25" s="3">
        <f t="shared" si="0"/>
        <v>0</v>
      </c>
      <c r="L25" s="27">
        <f t="shared" si="1"/>
        <v>0</v>
      </c>
      <c r="M25" s="3">
        <f t="shared" si="2"/>
        <v>0</v>
      </c>
      <c r="N25" s="3">
        <f t="shared" si="3"/>
        <v>0</v>
      </c>
      <c r="O25" s="3">
        <f t="shared" si="5"/>
        <v>0</v>
      </c>
      <c r="P25" s="3"/>
    </row>
    <row r="26" spans="1:16" x14ac:dyDescent="0.35">
      <c r="A26" t="s">
        <v>3887</v>
      </c>
      <c r="B26" s="3">
        <f>_xlfn.IFNA(_xlfn.XLOOKUP(A26,'Price list'!A:A,'Price list'!B:B),0)</f>
        <v>36500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3">
        <v>0</v>
      </c>
      <c r="J26" s="26">
        <f t="shared" si="4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6" x14ac:dyDescent="0.35">
      <c r="A27" t="s">
        <v>3888</v>
      </c>
      <c r="B27" s="3">
        <f>_xlfn.IFNA(_xlfn.XLOOKUP(A27,'Price list'!A:A,'Price list'!B:B),0)</f>
        <v>36500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6" x14ac:dyDescent="0.35">
      <c r="A28" t="s">
        <v>3889</v>
      </c>
      <c r="B28" s="3">
        <f>_xlfn.IFNA(_xlfn.XLOOKUP(A28,'Price list'!A:A,'Price list'!B:B),0)</f>
        <v>36500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6" x14ac:dyDescent="0.35">
      <c r="A29" t="s">
        <v>3890</v>
      </c>
      <c r="B29" s="3">
        <f>_xlfn.IFNA(_xlfn.XLOOKUP(A29,'Price list'!A:A,'Price list'!B:B),0)</f>
        <v>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8</v>
      </c>
      <c r="B30" s="3">
        <f>_xlfn.IFNA(_xlfn.XLOOKUP(A30,'Price list'!A:A,'Price list'!B:B),0)</f>
        <v>50000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10</v>
      </c>
      <c r="B31" s="3">
        <f>_xlfn.IFNA(_xlfn.XLOOKUP(A31,'Price list'!A:A,'Price list'!B:B),0)</f>
        <v>48000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12</v>
      </c>
      <c r="B32" s="3">
        <f>_xlfn.IFNA(_xlfn.XLOOKUP(A32,'Price list'!A:A,'Price list'!B:B),0)</f>
        <v>49000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2159</v>
      </c>
      <c r="B33" s="3">
        <f>_xlfn.IFNA(_xlfn.XLOOKUP(A33,'Price list'!A:A,'Price list'!B:B),0)</f>
        <v>5500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3891</v>
      </c>
      <c r="B34" s="3">
        <f>_xlfn.IFNA(_xlfn.XLOOKUP(A34,'Price list'!A:A,'Price list'!B:B),0)</f>
        <v>20000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3892</v>
      </c>
      <c r="B35" s="3">
        <f>_xlfn.IFNA(_xlfn.XLOOKUP(A35,'Price list'!A:A,'Price list'!B:B),0)</f>
        <v>22000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3852</v>
      </c>
      <c r="B36" s="3">
        <f>_xlfn.IFNA(_xlfn.XLOOKUP(A36,'Price list'!A:A,'Price list'!B:B),0)</f>
        <v>18000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17</v>
      </c>
      <c r="B37" s="3">
        <f>_xlfn.IFNA(_xlfn.XLOOKUP(A37,'Price list'!A:A,'Price list'!B:B),0)</f>
        <v>3500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2199</v>
      </c>
      <c r="B38" s="3">
        <f>_xlfn.IFNA(_xlfn.XLOOKUP(A38,'Price list'!A:A,'Price list'!B:B),0)</f>
        <v>38000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s="196" customFormat="1" x14ac:dyDescent="0.35">
      <c r="A39" s="196" t="s">
        <v>2161</v>
      </c>
      <c r="B39" s="197">
        <f>_xlfn.IFNA(_xlfn.XLOOKUP(A39,'Price list'!A:A,'Price list'!B:B),0)</f>
        <v>18000</v>
      </c>
      <c r="C39" s="196" t="s">
        <v>9</v>
      </c>
      <c r="E39" s="197"/>
      <c r="F39" s="197"/>
      <c r="G39" s="197" t="s">
        <v>19</v>
      </c>
      <c r="H39" s="197" t="str">
        <f>IF(G39=0,"",_xlfn.XLOOKUP(G39,List_item!A:A,List_item!B:B))</f>
        <v>Boneless BL Frozen Lemak</v>
      </c>
      <c r="I39" s="197">
        <v>13.3</v>
      </c>
      <c r="J39" s="198">
        <f t="shared" si="4"/>
        <v>3.4318152496452072E-3</v>
      </c>
      <c r="K39" s="197">
        <f t="shared" si="0"/>
        <v>239400</v>
      </c>
      <c r="L39" s="199">
        <f t="shared" si="1"/>
        <v>19152.710520594701</v>
      </c>
      <c r="M39" s="197">
        <f t="shared" si="2"/>
        <v>254731.04992390954</v>
      </c>
      <c r="N39" s="197">
        <f t="shared" si="3"/>
        <v>-1152.7105205947009</v>
      </c>
      <c r="O39" s="197">
        <f t="shared" si="5"/>
        <v>-15331.049923909537</v>
      </c>
      <c r="P39" s="197"/>
    </row>
    <row r="40" spans="1:16" s="196" customFormat="1" x14ac:dyDescent="0.35">
      <c r="A40" s="196" t="s">
        <v>2162</v>
      </c>
      <c r="B40" s="197">
        <f>_xlfn.IFNA(_xlfn.XLOOKUP(A40,'Price list'!A:A,'Price list'!B:B),0)</f>
        <v>8000</v>
      </c>
      <c r="C40" s="196" t="s">
        <v>9</v>
      </c>
      <c r="E40" s="197"/>
      <c r="F40" s="197"/>
      <c r="G40" s="197" t="s">
        <v>20</v>
      </c>
      <c r="H40" s="197" t="str">
        <f>IF(G40=0,"",_xlfn.XLOOKUP(G40,List_item!A:A,List_item!B:B))</f>
        <v>Boneless BL Fresh Kepala</v>
      </c>
      <c r="I40" s="197">
        <v>187.5</v>
      </c>
      <c r="J40" s="198">
        <f t="shared" si="4"/>
        <v>4.8380854083344083E-2</v>
      </c>
      <c r="K40" s="197">
        <f t="shared" si="0"/>
        <v>1500000</v>
      </c>
      <c r="L40" s="199">
        <f t="shared" si="1"/>
        <v>8512.3157869309798</v>
      </c>
      <c r="M40" s="197">
        <f t="shared" si="2"/>
        <v>1596059.2100495587</v>
      </c>
      <c r="N40" s="197">
        <f t="shared" si="3"/>
        <v>-512.31578693097981</v>
      </c>
      <c r="O40" s="197">
        <f t="shared" si="5"/>
        <v>-96059.210049558664</v>
      </c>
      <c r="P40" s="197"/>
    </row>
    <row r="41" spans="1:16" s="196" customFormat="1" x14ac:dyDescent="0.35">
      <c r="A41" s="196" t="s">
        <v>0</v>
      </c>
      <c r="B41" s="197">
        <f>_xlfn.IFNA(_xlfn.XLOOKUP(A41,'Price list'!A:A,'Price list'!B:B),0)</f>
        <v>10000</v>
      </c>
      <c r="C41" s="196" t="s">
        <v>9</v>
      </c>
      <c r="E41" s="197"/>
      <c r="F41" s="197"/>
      <c r="G41" s="197" t="s">
        <v>21</v>
      </c>
      <c r="H41" s="197" t="str">
        <f>IF(G41=0,"",_xlfn.XLOOKUP(G41,List_item!A:A,List_item!B:B))</f>
        <v>Boneless BL Fresh Ceker</v>
      </c>
      <c r="I41" s="197">
        <v>108.6</v>
      </c>
      <c r="J41" s="198">
        <f t="shared" si="4"/>
        <v>2.8022190685072893E-2</v>
      </c>
      <c r="K41" s="197">
        <f t="shared" si="0"/>
        <v>1086000</v>
      </c>
      <c r="L41" s="199">
        <f t="shared" si="1"/>
        <v>10640.394733663725</v>
      </c>
      <c r="M41" s="197">
        <f t="shared" si="2"/>
        <v>1155546.8680758805</v>
      </c>
      <c r="N41" s="197">
        <f t="shared" si="3"/>
        <v>-640.39473366372476</v>
      </c>
      <c r="O41" s="197">
        <f t="shared" si="5"/>
        <v>-69546.868075880455</v>
      </c>
      <c r="P41" s="197"/>
    </row>
    <row r="42" spans="1:16" x14ac:dyDescent="0.35">
      <c r="A42" t="s">
        <v>24</v>
      </c>
      <c r="B42" s="3">
        <f>_xlfn.IFNA(_xlfn.XLOOKUP(A42,'Price list'!A:A,'Price list'!B:B),0)</f>
        <v>4000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3">
        <v>0</v>
      </c>
      <c r="J42" s="26">
        <f t="shared" si="4"/>
        <v>0</v>
      </c>
      <c r="K42" s="3">
        <f t="shared" si="0"/>
        <v>0</v>
      </c>
      <c r="L42" s="27">
        <f t="shared" si="1"/>
        <v>0</v>
      </c>
      <c r="M42" s="3">
        <f t="shared" si="2"/>
        <v>0</v>
      </c>
      <c r="N42" s="3">
        <f t="shared" si="3"/>
        <v>0</v>
      </c>
      <c r="O42" s="3">
        <f t="shared" si="5"/>
        <v>0</v>
      </c>
      <c r="P42" s="3"/>
    </row>
    <row r="43" spans="1:16" s="196" customFormat="1" x14ac:dyDescent="0.35">
      <c r="A43" s="196" t="s">
        <v>3893</v>
      </c>
      <c r="B43" s="197">
        <v>5000</v>
      </c>
      <c r="C43" s="196" t="s">
        <v>9</v>
      </c>
      <c r="E43" s="197"/>
      <c r="F43" s="197"/>
      <c r="G43" s="197" t="s">
        <v>25</v>
      </c>
      <c r="H43" s="197" t="str">
        <f>IF(G43=0,"",_xlfn.XLOOKUP(G43,List_item!A:A,List_item!B:B))</f>
        <v>Boneless BL Fresh Usus Kotor</v>
      </c>
      <c r="I43" s="197">
        <v>204.1</v>
      </c>
      <c r="J43" s="198">
        <f t="shared" si="4"/>
        <v>5.2664172364856147E-2</v>
      </c>
      <c r="K43" s="197">
        <f t="shared" si="0"/>
        <v>1020500</v>
      </c>
      <c r="L43" s="199">
        <f t="shared" si="1"/>
        <v>5320.1973668318624</v>
      </c>
      <c r="M43" s="197">
        <f t="shared" si="2"/>
        <v>1085852.282570383</v>
      </c>
      <c r="N43" s="197">
        <f t="shared" si="3"/>
        <v>-320.19736683186238</v>
      </c>
      <c r="O43" s="197">
        <f t="shared" si="5"/>
        <v>-65352.282570383046</v>
      </c>
      <c r="P43" s="197" t="s">
        <v>3947</v>
      </c>
    </row>
    <row r="44" spans="1:16" x14ac:dyDescent="0.35">
      <c r="A44" t="s">
        <v>2167</v>
      </c>
      <c r="B44" s="3">
        <f>_xlfn.IFNA(_xlfn.XLOOKUP(A44,'Price list'!A:A,'Price list'!B:B),0)</f>
        <v>16000</v>
      </c>
      <c r="C44" t="s">
        <v>9</v>
      </c>
      <c r="E44" s="3"/>
      <c r="F44" s="3"/>
      <c r="G44" s="3"/>
      <c r="H44" s="3" t="str">
        <f>IF(G44=0,"",_xlfn.XLOOKUP(G44,List_item!A:A,List_item!B:B))</f>
        <v/>
      </c>
      <c r="I44" s="3">
        <v>0</v>
      </c>
      <c r="J44" s="26">
        <f t="shared" si="4"/>
        <v>0</v>
      </c>
      <c r="K44" s="3">
        <f t="shared" si="0"/>
        <v>0</v>
      </c>
      <c r="L44" s="27">
        <f t="shared" si="1"/>
        <v>0</v>
      </c>
      <c r="M44" s="3">
        <f t="shared" si="2"/>
        <v>0</v>
      </c>
      <c r="N44" s="3">
        <f t="shared" si="3"/>
        <v>0</v>
      </c>
      <c r="O44" s="3">
        <f t="shared" si="5"/>
        <v>0</v>
      </c>
      <c r="P44" s="3"/>
    </row>
    <row r="45" spans="1:16" x14ac:dyDescent="0.35">
      <c r="A45" t="s">
        <v>2168</v>
      </c>
      <c r="B45" s="3">
        <f>_xlfn.IFNA(_xlfn.XLOOKUP(A45,'Price list'!A:A,'Price list'!B:B),0)</f>
        <v>10000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27">
        <f t="shared" si="1"/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/>
    </row>
    <row r="46" spans="1:16" x14ac:dyDescent="0.35">
      <c r="A46" t="s">
        <v>2169</v>
      </c>
      <c r="B46" s="3">
        <f>_xlfn.IFNA(_xlfn.XLOOKUP(A46,'Price list'!A:A,'Price list'!B:B),0)</f>
        <v>5000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1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6" s="196" customFormat="1" x14ac:dyDescent="0.35">
      <c r="A47" s="196" t="s">
        <v>3894</v>
      </c>
      <c r="B47" s="197">
        <f>_xlfn.IFNA(_xlfn.XLOOKUP(A47,'Price list'!A:A,'Price list'!B:B),0)</f>
        <v>5000</v>
      </c>
      <c r="C47" s="196" t="s">
        <v>9</v>
      </c>
      <c r="E47" s="197"/>
      <c r="F47" s="197"/>
      <c r="G47" s="197" t="s">
        <v>23</v>
      </c>
      <c r="H47" s="197" t="str">
        <f>IF(G47=0,"",_xlfn.XLOOKUP(G47,List_item!A:A,List_item!B:B))</f>
        <v>Boneless BL Fresh HJA</v>
      </c>
      <c r="I47" s="197">
        <v>227.1</v>
      </c>
      <c r="J47" s="198">
        <f t="shared" si="4"/>
        <v>5.8598890465746352E-2</v>
      </c>
      <c r="K47" s="197">
        <f t="shared" si="0"/>
        <v>1135500</v>
      </c>
      <c r="L47" s="199">
        <f t="shared" si="1"/>
        <v>5320.1973668318624</v>
      </c>
      <c r="M47" s="197">
        <f t="shared" si="2"/>
        <v>1208216.8220075159</v>
      </c>
      <c r="N47" s="197">
        <f t="shared" si="3"/>
        <v>-320.19736683186238</v>
      </c>
      <c r="O47" s="197">
        <f t="shared" si="5"/>
        <v>-72716.822007515933</v>
      </c>
      <c r="P47" s="197"/>
    </row>
    <row r="48" spans="1:16" x14ac:dyDescent="0.35">
      <c r="A48" t="s">
        <v>2170</v>
      </c>
      <c r="B48" s="3">
        <f>_xlfn.IFNA(_xlfn.XLOOKUP(A48,'Price list'!A:A,'Price list'!B:B),0)</f>
        <v>45000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2171</v>
      </c>
      <c r="B49" s="3">
        <f>_xlfn.IFNA(_xlfn.XLOOKUP(A49,'Price list'!A:A,'Price list'!B:B),0)</f>
        <v>44000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3895</v>
      </c>
      <c r="B50" s="3">
        <f>_xlfn.IFNA(_xlfn.XLOOKUP(A50,'Price list'!A:A,'Price list'!B:B),0)</f>
        <v>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3896</v>
      </c>
      <c r="B51" s="3">
        <f>_xlfn.IFNA(_xlfn.XLOOKUP(A51,'Price list'!A:A,'Price list'!B:B),0)</f>
        <v>35000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1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3897</v>
      </c>
      <c r="B52" s="3">
        <f>_xlfn.IFNA(_xlfn.XLOOKUP(A52,'Price list'!A:A,'Price list'!B:B),0)</f>
        <v>35000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s="196" customFormat="1" x14ac:dyDescent="0.35">
      <c r="A53" s="196" t="s">
        <v>3898</v>
      </c>
      <c r="B53" s="197">
        <f>_xlfn.IFNA(_xlfn.XLOOKUP(A53,'Price list'!A:A,'Price list'!B:B),0)</f>
        <v>35000</v>
      </c>
      <c r="C53" s="196" t="s">
        <v>9</v>
      </c>
      <c r="E53" s="197"/>
      <c r="F53" s="197"/>
      <c r="G53" s="197" t="s">
        <v>636</v>
      </c>
      <c r="H53" s="197" t="str">
        <f>IF(G53=0,"",_xlfn.XLOOKUP(G53,List_item!A:A,List_item!B:B))</f>
        <v>Karkas Uk 0.6 Karkas Uk 0.6 Frozen Grade A</v>
      </c>
      <c r="I53" s="197">
        <v>2.7</v>
      </c>
      <c r="J53" s="198">
        <f t="shared" si="4"/>
        <v>6.9668429880015491E-4</v>
      </c>
      <c r="K53" s="197">
        <f t="shared" si="0"/>
        <v>94500</v>
      </c>
      <c r="L53" s="199">
        <f t="shared" si="1"/>
        <v>37241.381567823031</v>
      </c>
      <c r="M53" s="197">
        <f t="shared" si="2"/>
        <v>100551.73023312219</v>
      </c>
      <c r="N53" s="197">
        <f t="shared" si="3"/>
        <v>-2241.3815678230312</v>
      </c>
      <c r="O53" s="197">
        <f t="shared" si="5"/>
        <v>-6051.7302331221872</v>
      </c>
      <c r="P53" s="197"/>
    </row>
    <row r="54" spans="1:16" s="196" customFormat="1" x14ac:dyDescent="0.35">
      <c r="A54" s="196" t="s">
        <v>3899</v>
      </c>
      <c r="B54" s="197">
        <f>_xlfn.IFNA(_xlfn.XLOOKUP(A54,'Price list'!A:A,'Price list'!B:B),0)</f>
        <v>35000</v>
      </c>
      <c r="C54" s="196" t="s">
        <v>9</v>
      </c>
      <c r="E54" s="197"/>
      <c r="F54" s="197"/>
      <c r="G54" s="197" t="s">
        <v>701</v>
      </c>
      <c r="H54" s="197" t="str">
        <f>IF(G54=0,"",_xlfn.XLOOKUP(G54,List_item!A:A,List_item!B:B))</f>
        <v>Karkas Uk 0.7 Karkas Uk 0.7 Frozen Grade A</v>
      </c>
      <c r="I54" s="197">
        <v>7.8</v>
      </c>
      <c r="J54" s="198">
        <f t="shared" si="4"/>
        <v>2.0126435298671139E-3</v>
      </c>
      <c r="K54" s="197">
        <f t="shared" si="0"/>
        <v>273000</v>
      </c>
      <c r="L54" s="199">
        <f t="shared" si="1"/>
        <v>37241.381567823031</v>
      </c>
      <c r="M54" s="197">
        <f t="shared" si="2"/>
        <v>290482.77622901963</v>
      </c>
      <c r="N54" s="197">
        <f t="shared" si="3"/>
        <v>-2241.3815678230312</v>
      </c>
      <c r="O54" s="197">
        <f t="shared" si="5"/>
        <v>-17482.776229019626</v>
      </c>
      <c r="P54" s="197"/>
    </row>
    <row r="55" spans="1:16" s="196" customFormat="1" x14ac:dyDescent="0.35">
      <c r="A55" s="196" t="s">
        <v>3900</v>
      </c>
      <c r="B55" s="197">
        <f>_xlfn.IFNA(_xlfn.XLOOKUP(A55,'Price list'!A:A,'Price list'!B:B),0)</f>
        <v>35000</v>
      </c>
      <c r="C55" s="196" t="s">
        <v>9</v>
      </c>
      <c r="E55" s="197"/>
      <c r="F55" s="197"/>
      <c r="G55" s="197" t="s">
        <v>766</v>
      </c>
      <c r="H55" s="197" t="str">
        <f>IF(G55=0,"",_xlfn.XLOOKUP(G55,List_item!A:A,List_item!B:B))</f>
        <v>Karkas Uk 0.8 Karkas Uk 0.8 Frozen Grade A</v>
      </c>
      <c r="I55" s="197">
        <v>14</v>
      </c>
      <c r="J55" s="198">
        <f t="shared" si="4"/>
        <v>3.6124371048896916E-3</v>
      </c>
      <c r="K55" s="197">
        <f t="shared" si="0"/>
        <v>490000</v>
      </c>
      <c r="L55" s="199">
        <f t="shared" si="1"/>
        <v>37241.381567823038</v>
      </c>
      <c r="M55" s="197">
        <f t="shared" si="2"/>
        <v>521379.34194952255</v>
      </c>
      <c r="N55" s="197">
        <f t="shared" si="3"/>
        <v>-2241.3815678230385</v>
      </c>
      <c r="O55" s="197">
        <f t="shared" si="5"/>
        <v>-31379.341949522553</v>
      </c>
      <c r="P55" s="197"/>
    </row>
    <row r="56" spans="1:16" s="196" customFormat="1" x14ac:dyDescent="0.35">
      <c r="A56" s="196" t="s">
        <v>3901</v>
      </c>
      <c r="B56" s="197">
        <f>_xlfn.IFNA(_xlfn.XLOOKUP(A56,'Price list'!A:A,'Price list'!B:B),0)</f>
        <v>35000</v>
      </c>
      <c r="C56" s="196" t="s">
        <v>9</v>
      </c>
      <c r="E56" s="197"/>
      <c r="F56" s="197"/>
      <c r="G56" s="197" t="s">
        <v>831</v>
      </c>
      <c r="H56" s="197" t="str">
        <f>IF(G56=0,"",_xlfn.XLOOKUP(G56,List_item!A:A,List_item!B:B))</f>
        <v>Karkas Uk 0.9 Karkas Uk 0.9 Frozen Grade A</v>
      </c>
      <c r="I56" s="197">
        <v>30.4</v>
      </c>
      <c r="J56" s="198">
        <f t="shared" si="4"/>
        <v>7.8441491420461872E-3</v>
      </c>
      <c r="K56" s="197">
        <f t="shared" si="0"/>
        <v>1064000</v>
      </c>
      <c r="L56" s="199">
        <f t="shared" si="1"/>
        <v>37241.381567823038</v>
      </c>
      <c r="M56" s="197">
        <f t="shared" si="2"/>
        <v>1132137.9996618202</v>
      </c>
      <c r="N56" s="197">
        <f t="shared" si="3"/>
        <v>-2241.3815678230385</v>
      </c>
      <c r="O56" s="197">
        <f t="shared" si="5"/>
        <v>-68137.999661820242</v>
      </c>
      <c r="P56" s="197"/>
    </row>
    <row r="57" spans="1:16" s="196" customFormat="1" x14ac:dyDescent="0.35">
      <c r="A57" s="196" t="s">
        <v>3902</v>
      </c>
      <c r="B57" s="197">
        <f>_xlfn.IFNA(_xlfn.XLOOKUP(A57,'Price list'!A:A,'Price list'!B:B),0)</f>
        <v>35000</v>
      </c>
      <c r="C57" s="196" t="s">
        <v>9</v>
      </c>
      <c r="E57" s="197"/>
      <c r="F57" s="197"/>
      <c r="G57" s="197" t="s">
        <v>896</v>
      </c>
      <c r="H57" s="197" t="str">
        <f>IF(G57=0,"",_xlfn.XLOOKUP(G57,List_item!A:A,List_item!B:B))</f>
        <v>Karkas Uk 1.0 Karkas Uk 1.0 Frozen Grade A</v>
      </c>
      <c r="I57" s="197">
        <v>68.2</v>
      </c>
      <c r="J57" s="198">
        <f t="shared" si="4"/>
        <v>1.7597729325248355E-2</v>
      </c>
      <c r="K57" s="197">
        <f t="shared" si="0"/>
        <v>2387000</v>
      </c>
      <c r="L57" s="199">
        <f t="shared" si="1"/>
        <v>37241.381567823031</v>
      </c>
      <c r="M57" s="197">
        <f t="shared" si="2"/>
        <v>2539862.2229255307</v>
      </c>
      <c r="N57" s="197">
        <f t="shared" si="3"/>
        <v>-2241.3815678230312</v>
      </c>
      <c r="O57" s="197">
        <f t="shared" si="5"/>
        <v>-152862.22292553075</v>
      </c>
      <c r="P57" s="197"/>
    </row>
    <row r="58" spans="1:16" s="196" customFormat="1" x14ac:dyDescent="0.35">
      <c r="A58" s="196" t="s">
        <v>3903</v>
      </c>
      <c r="B58" s="197">
        <f>_xlfn.IFNA(_xlfn.XLOOKUP(A58,'Price list'!A:A,'Price list'!B:B),0)</f>
        <v>35000</v>
      </c>
      <c r="C58" s="196" t="s">
        <v>9</v>
      </c>
      <c r="E58" s="197"/>
      <c r="F58" s="197"/>
      <c r="G58" s="197" t="s">
        <v>962</v>
      </c>
      <c r="H58" s="197" t="str">
        <f>IF(G58=0,"",_xlfn.XLOOKUP(G58,List_item!A:A,List_item!B:B))</f>
        <v>Karkas Uk 1.1 Karkas Uk 1.1 Frozen Grade A</v>
      </c>
      <c r="I58" s="197">
        <v>65.099999999999994</v>
      </c>
      <c r="J58" s="198">
        <f t="shared" si="4"/>
        <v>1.6797832537737065E-2</v>
      </c>
      <c r="K58" s="197">
        <f t="shared" si="0"/>
        <v>2278500</v>
      </c>
      <c r="L58" s="199">
        <f t="shared" si="1"/>
        <v>37241.381567823038</v>
      </c>
      <c r="M58" s="197">
        <f t="shared" si="2"/>
        <v>2424413.9400652796</v>
      </c>
      <c r="N58" s="197">
        <f t="shared" si="3"/>
        <v>-2241.3815678230385</v>
      </c>
      <c r="O58" s="197">
        <f t="shared" si="5"/>
        <v>-145913.9400652796</v>
      </c>
      <c r="P58" s="197"/>
    </row>
    <row r="59" spans="1:16" s="196" customFormat="1" x14ac:dyDescent="0.35">
      <c r="A59" s="196" t="s">
        <v>3904</v>
      </c>
      <c r="B59" s="197">
        <f>_xlfn.IFNA(_xlfn.XLOOKUP(A59,'Price list'!A:A,'Price list'!B:B),0)</f>
        <v>35000</v>
      </c>
      <c r="C59" s="196" t="s">
        <v>9</v>
      </c>
      <c r="E59" s="197"/>
      <c r="F59" s="197"/>
      <c r="G59" s="197" t="s">
        <v>1028</v>
      </c>
      <c r="H59" s="197" t="str">
        <f>IF(G59=0,"",_xlfn.XLOOKUP(G59,List_item!A:A,List_item!B:B))</f>
        <v>Karkas Uk 1.2 Karkas Uk 1.2 Frozen Grade A</v>
      </c>
      <c r="I59" s="197">
        <v>15.3</v>
      </c>
      <c r="J59" s="198">
        <f t="shared" si="4"/>
        <v>3.9478776932008776E-3</v>
      </c>
      <c r="K59" s="197">
        <f t="shared" si="0"/>
        <v>535500</v>
      </c>
      <c r="L59" s="199">
        <f t="shared" si="1"/>
        <v>37241.381567823031</v>
      </c>
      <c r="M59" s="197">
        <f t="shared" si="2"/>
        <v>569793.13798769237</v>
      </c>
      <c r="N59" s="197">
        <f t="shared" si="3"/>
        <v>-2241.3815678230312</v>
      </c>
      <c r="O59" s="197">
        <f t="shared" si="5"/>
        <v>-34293.137987692375</v>
      </c>
      <c r="P59" s="197"/>
    </row>
    <row r="60" spans="1:16" s="196" customFormat="1" x14ac:dyDescent="0.35">
      <c r="A60" s="196" t="s">
        <v>3905</v>
      </c>
      <c r="B60" s="197">
        <f>_xlfn.IFNA(_xlfn.XLOOKUP(A60,'Price list'!A:A,'Price list'!B:B),0)</f>
        <v>35000</v>
      </c>
      <c r="C60" s="196" t="s">
        <v>9</v>
      </c>
      <c r="E60" s="197"/>
      <c r="F60" s="197"/>
      <c r="G60" s="197" t="s">
        <v>1094</v>
      </c>
      <c r="H60" s="197" t="str">
        <f>IF(G60=0,"",_xlfn.XLOOKUP(G60,List_item!A:A,List_item!B:B))</f>
        <v>Karkas Uk 1.3 Karkas Uk 1.3 Frozen Grade A</v>
      </c>
      <c r="I60" s="197">
        <v>8.1999999999999993</v>
      </c>
      <c r="J60" s="198">
        <f t="shared" si="4"/>
        <v>2.1158560185782476E-3</v>
      </c>
      <c r="K60" s="197">
        <f t="shared" si="0"/>
        <v>287000</v>
      </c>
      <c r="L60" s="199">
        <f t="shared" si="1"/>
        <v>37241.381567823038</v>
      </c>
      <c r="M60" s="197">
        <f t="shared" si="2"/>
        <v>305379.32885614887</v>
      </c>
      <c r="N60" s="197">
        <f t="shared" si="3"/>
        <v>-2241.3815678230385</v>
      </c>
      <c r="O60" s="197">
        <f t="shared" si="5"/>
        <v>-18379.328856148873</v>
      </c>
      <c r="P60" s="197"/>
    </row>
    <row r="61" spans="1:16" x14ac:dyDescent="0.35">
      <c r="A61" t="s">
        <v>3906</v>
      </c>
      <c r="B61" s="3">
        <f>_xlfn.IFNA(_xlfn.XLOOKUP(A61,'Price list'!A:A,'Price list'!B:B),0)</f>
        <v>35000</v>
      </c>
      <c r="C61" t="s">
        <v>9</v>
      </c>
      <c r="E61" s="3"/>
      <c r="F61" s="3"/>
      <c r="G61" s="3"/>
      <c r="H61" s="3" t="str">
        <f>IF(G61=0,"",_xlfn.XLOOKUP(G61,List_item!A:A,List_item!B:B))</f>
        <v/>
      </c>
      <c r="I61" s="3">
        <v>0</v>
      </c>
      <c r="J61" s="26">
        <f t="shared" si="4"/>
        <v>0</v>
      </c>
      <c r="K61" s="3">
        <f t="shared" si="0"/>
        <v>0</v>
      </c>
      <c r="L61" s="27">
        <f t="shared" si="1"/>
        <v>0</v>
      </c>
      <c r="M61" s="3">
        <f t="shared" si="2"/>
        <v>0</v>
      </c>
      <c r="N61" s="3">
        <f t="shared" si="3"/>
        <v>0</v>
      </c>
      <c r="O61" s="3">
        <f t="shared" si="5"/>
        <v>0</v>
      </c>
      <c r="P61" s="3"/>
    </row>
    <row r="62" spans="1:16" x14ac:dyDescent="0.35">
      <c r="A62" t="s">
        <v>3907</v>
      </c>
      <c r="B62" s="3">
        <f>_xlfn.IFNA(_xlfn.XLOOKUP(A62,'Price list'!A:A,'Price list'!B:B),0)</f>
        <v>35000</v>
      </c>
      <c r="C62" t="s">
        <v>9</v>
      </c>
      <c r="E62" s="3"/>
      <c r="F62" s="3"/>
      <c r="G62" s="3"/>
      <c r="H62" s="3" t="str">
        <f>IF(G62=0,"",_xlfn.XLOOKUP(G62,List_item!A:A,List_item!B:B))</f>
        <v/>
      </c>
      <c r="I62" s="3">
        <v>0</v>
      </c>
      <c r="J62" s="26">
        <f t="shared" si="4"/>
        <v>0</v>
      </c>
      <c r="K62" s="3">
        <f t="shared" si="0"/>
        <v>0</v>
      </c>
      <c r="L62" s="27">
        <f t="shared" si="1"/>
        <v>0</v>
      </c>
      <c r="M62" s="3">
        <f t="shared" si="2"/>
        <v>0</v>
      </c>
      <c r="N62" s="3">
        <f t="shared" si="3"/>
        <v>0</v>
      </c>
      <c r="O62" s="3">
        <f t="shared" si="5"/>
        <v>0</v>
      </c>
      <c r="P62" s="3"/>
    </row>
    <row r="63" spans="1:16" x14ac:dyDescent="0.35">
      <c r="A63" t="s">
        <v>3908</v>
      </c>
      <c r="B63" s="3">
        <f>_xlfn.IFNA(_xlfn.XLOOKUP(A63,'Price list'!A:A,'Price list'!B:B),0)</f>
        <v>35000</v>
      </c>
      <c r="C63" t="s">
        <v>9</v>
      </c>
      <c r="E63" s="3"/>
      <c r="F63" s="3"/>
      <c r="G63" s="3"/>
      <c r="H63" s="3" t="str">
        <f>IF(G63=0,"",_xlfn.XLOOKUP(G63,List_item!A:A,List_item!B:B))</f>
        <v/>
      </c>
      <c r="I63" s="3">
        <v>0</v>
      </c>
      <c r="J63" s="26">
        <f t="shared" si="4"/>
        <v>0</v>
      </c>
      <c r="K63" s="3">
        <f t="shared" si="0"/>
        <v>0</v>
      </c>
      <c r="L63" s="27">
        <f t="shared" si="1"/>
        <v>0</v>
      </c>
      <c r="M63" s="3">
        <f t="shared" si="2"/>
        <v>0</v>
      </c>
      <c r="N63" s="3">
        <f t="shared" si="3"/>
        <v>0</v>
      </c>
      <c r="O63" s="3">
        <f t="shared" si="5"/>
        <v>0</v>
      </c>
      <c r="P63" s="3"/>
    </row>
    <row r="64" spans="1:16" x14ac:dyDescent="0.35">
      <c r="A64" t="s">
        <v>3909</v>
      </c>
      <c r="B64" s="3">
        <f>_xlfn.IFNA(_xlfn.XLOOKUP(A64,'Price list'!A:A,'Price list'!B:B),0)</f>
        <v>35000</v>
      </c>
      <c r="C64" t="s">
        <v>9</v>
      </c>
      <c r="E64" s="3"/>
      <c r="F64" s="3"/>
      <c r="G64" s="3"/>
      <c r="H64" s="3" t="str">
        <f>IF(G64=0,"",_xlfn.XLOOKUP(G64,List_item!A:A,List_item!B:B))</f>
        <v/>
      </c>
      <c r="I64" s="3">
        <v>0</v>
      </c>
      <c r="J64" s="26">
        <f t="shared" si="4"/>
        <v>0</v>
      </c>
      <c r="K64" s="3">
        <f t="shared" si="0"/>
        <v>0</v>
      </c>
      <c r="L64" s="27">
        <f t="shared" si="1"/>
        <v>0</v>
      </c>
      <c r="M64" s="3">
        <f t="shared" si="2"/>
        <v>0</v>
      </c>
      <c r="N64" s="3">
        <f t="shared" si="3"/>
        <v>0</v>
      </c>
      <c r="O64" s="3">
        <f t="shared" si="5"/>
        <v>0</v>
      </c>
      <c r="P64" s="3"/>
    </row>
    <row r="65" spans="1:16" x14ac:dyDescent="0.35">
      <c r="A65" t="s">
        <v>3945</v>
      </c>
      <c r="B65" s="3">
        <f>_xlfn.IFNA(_xlfn.XLOOKUP(A65,'Price list'!A:A,'Price list'!B:B),0)</f>
        <v>35000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6" x14ac:dyDescent="0.35">
      <c r="A66" t="s">
        <v>3911</v>
      </c>
      <c r="B66" s="3">
        <f>_xlfn.IFNA(_xlfn.XLOOKUP(A66,'Price list'!A:A,'Price list'!B:B),0)</f>
        <v>35000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6" x14ac:dyDescent="0.35">
      <c r="A67" t="s">
        <v>3912</v>
      </c>
      <c r="B67" s="3">
        <f>_xlfn.IFNA(_xlfn.XLOOKUP(A67,'Price list'!A:A,'Price list'!B:B),0)</f>
        <v>35000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6" x14ac:dyDescent="0.35">
      <c r="A68" t="s">
        <v>3913</v>
      </c>
      <c r="B68" s="3">
        <f>_xlfn.IFNA(_xlfn.XLOOKUP(A68,'Price list'!A:A,'Price list'!B:B),0)</f>
        <v>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6" x14ac:dyDescent="0.35">
      <c r="A69" t="s">
        <v>3914</v>
      </c>
      <c r="B69" s="3">
        <f>_xlfn.IFNA(_xlfn.XLOOKUP(A69,'Price list'!A:A,'Price list'!B:B),0)</f>
        <v>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6" x14ac:dyDescent="0.35">
      <c r="A70" t="s">
        <v>3915</v>
      </c>
      <c r="B70" s="3">
        <f>_xlfn.IFNA(_xlfn.XLOOKUP(A70,'Price list'!A:A,'Price list'!B:B),0)</f>
        <v>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6" x14ac:dyDescent="0.35">
      <c r="A71" t="s">
        <v>3916</v>
      </c>
      <c r="B71" s="3">
        <f>_xlfn.IFNA(_xlfn.XLOOKUP(A71,'Price list'!A:A,'Price list'!B:B),0)</f>
        <v>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1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6" x14ac:dyDescent="0.35">
      <c r="A72" t="s">
        <v>3917</v>
      </c>
      <c r="B72" s="3">
        <f>_xlfn.IFNA(_xlfn.XLOOKUP(A72,'Price list'!A:A,'Price list'!B:B),0)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1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6" x14ac:dyDescent="0.35">
      <c r="A73" t="s">
        <v>3918</v>
      </c>
      <c r="B73" s="3">
        <f>_xlfn.IFNA(_xlfn.XLOOKUP(A73,'Price list'!A:A,'Price list'!B:B),0)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6" x14ac:dyDescent="0.35">
      <c r="A74" t="s">
        <v>3919</v>
      </c>
      <c r="B74" s="3">
        <f>_xlfn.IFNA(_xlfn.XLOOKUP(A74,'Price list'!A:A,'Price list'!B:B),0)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6" x14ac:dyDescent="0.35">
      <c r="A75" t="s">
        <v>3920</v>
      </c>
      <c r="B75" s="3">
        <f>_xlfn.IFNA(_xlfn.XLOOKUP(A75,'Price list'!A:A,'Price list'!B:B),0)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ref="K75:K79" si="6">+B75*(F75+I75)</f>
        <v>0</v>
      </c>
      <c r="L75" s="27">
        <f t="shared" ref="L75:L79" si="7">IFERROR(((K75/SUM($K$11:$K$79))*$F$10)/(F75+I75),0)</f>
        <v>0</v>
      </c>
      <c r="M75" s="3">
        <f t="shared" ref="M75:M79" si="8">+L75*(F75+I75)</f>
        <v>0</v>
      </c>
      <c r="N75" s="3">
        <f t="shared" ref="N75:N79" si="9">IF(L75=0,0,B75-L75)</f>
        <v>0</v>
      </c>
      <c r="O75" s="3">
        <f t="shared" si="5"/>
        <v>0</v>
      </c>
      <c r="P75" s="3"/>
    </row>
    <row r="76" spans="1:16" x14ac:dyDescent="0.35">
      <c r="A76" t="s">
        <v>3921</v>
      </c>
      <c r="B76" s="3">
        <f>_xlfn.IFNA(_xlfn.XLOOKUP(A76,'Price list'!A:A,'Price list'!B:B),0)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ref="J76:J79" si="10">IF(F76/J$5&gt;0,F76/J$5,I76/J$5)</f>
        <v>0</v>
      </c>
      <c r="K76" s="3">
        <f t="shared" si="6"/>
        <v>0</v>
      </c>
      <c r="L76" s="27">
        <f t="shared" si="7"/>
        <v>0</v>
      </c>
      <c r="M76" s="3">
        <f t="shared" si="8"/>
        <v>0</v>
      </c>
      <c r="N76" s="3">
        <f t="shared" si="9"/>
        <v>0</v>
      </c>
      <c r="O76" s="3">
        <f t="shared" ref="O76:O79" si="11">+K76-M76</f>
        <v>0</v>
      </c>
      <c r="P76" s="3"/>
    </row>
    <row r="77" spans="1:16" x14ac:dyDescent="0.35">
      <c r="A77" t="s">
        <v>3922</v>
      </c>
      <c r="B77" s="3">
        <f>_xlfn.IFNA(_xlfn.XLOOKUP(A77,'Price list'!A:A,'Price list'!B:B),0)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10"/>
        <v>0</v>
      </c>
      <c r="K77" s="3">
        <f t="shared" si="6"/>
        <v>0</v>
      </c>
      <c r="L77" s="27">
        <f t="shared" si="7"/>
        <v>0</v>
      </c>
      <c r="M77" s="3">
        <f t="shared" si="8"/>
        <v>0</v>
      </c>
      <c r="N77" s="3">
        <f t="shared" si="9"/>
        <v>0</v>
      </c>
      <c r="O77" s="3">
        <f t="shared" si="11"/>
        <v>0</v>
      </c>
      <c r="P77" s="3"/>
    </row>
    <row r="78" spans="1:16" x14ac:dyDescent="0.35">
      <c r="A78" t="s">
        <v>3923</v>
      </c>
      <c r="B78" s="3">
        <f>_xlfn.IFNA(_xlfn.XLOOKUP(A78,'Price list'!A:A,'Price list'!B:B),0)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10"/>
        <v>0</v>
      </c>
      <c r="K78" s="3">
        <f t="shared" si="6"/>
        <v>0</v>
      </c>
      <c r="L78" s="27">
        <f t="shared" si="7"/>
        <v>0</v>
      </c>
      <c r="M78" s="3">
        <f t="shared" si="8"/>
        <v>0</v>
      </c>
      <c r="N78" s="3">
        <f t="shared" si="9"/>
        <v>0</v>
      </c>
      <c r="O78" s="3">
        <f t="shared" si="11"/>
        <v>0</v>
      </c>
      <c r="P78" s="3"/>
    </row>
    <row r="79" spans="1:16" x14ac:dyDescent="0.35">
      <c r="A79" t="s">
        <v>3924</v>
      </c>
      <c r="B79" s="3">
        <f>_xlfn.IFNA(_xlfn.XLOOKUP(A79,'Price list'!A:A,'Price list'!B:B),0)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10"/>
        <v>0</v>
      </c>
      <c r="K79" s="3">
        <f t="shared" si="6"/>
        <v>0</v>
      </c>
      <c r="L79" s="27">
        <f t="shared" si="7"/>
        <v>0</v>
      </c>
      <c r="M79" s="3">
        <f t="shared" si="8"/>
        <v>0</v>
      </c>
      <c r="N79" s="3">
        <f t="shared" si="9"/>
        <v>0</v>
      </c>
      <c r="O79" s="3">
        <f t="shared" si="11"/>
        <v>0</v>
      </c>
      <c r="P79" s="3"/>
    </row>
    <row r="82" spans="1:7" x14ac:dyDescent="0.35">
      <c r="A82" t="s">
        <v>3929</v>
      </c>
      <c r="B82"/>
      <c r="E82"/>
      <c r="F82" s="117"/>
      <c r="G82" t="s">
        <v>3930</v>
      </c>
    </row>
    <row r="83" spans="1:7" x14ac:dyDescent="0.35">
      <c r="B83"/>
      <c r="E83"/>
      <c r="F83" s="117"/>
      <c r="G83"/>
    </row>
    <row r="84" spans="1:7" x14ac:dyDescent="0.35">
      <c r="B84"/>
      <c r="E84"/>
      <c r="F84" s="117"/>
      <c r="G84"/>
    </row>
    <row r="85" spans="1:7" x14ac:dyDescent="0.35">
      <c r="B85"/>
      <c r="E85"/>
      <c r="F85" s="117"/>
      <c r="G85"/>
    </row>
    <row r="86" spans="1:7" x14ac:dyDescent="0.35">
      <c r="B86"/>
      <c r="E86"/>
      <c r="F86" s="117"/>
      <c r="G86"/>
    </row>
    <row r="87" spans="1:7" x14ac:dyDescent="0.35">
      <c r="B87"/>
      <c r="E87"/>
      <c r="F87" s="117"/>
      <c r="G87"/>
    </row>
    <row r="88" spans="1:7" x14ac:dyDescent="0.35">
      <c r="A88" s="118"/>
      <c r="B88"/>
      <c r="E88"/>
      <c r="F88" s="117"/>
      <c r="G88" s="118"/>
    </row>
    <row r="89" spans="1:7" x14ac:dyDescent="0.35">
      <c r="B89"/>
      <c r="E89"/>
      <c r="F89" s="117"/>
      <c r="G89"/>
    </row>
  </sheetData>
  <autoFilter ref="A10:P79" xr:uid="{9E3D57EB-0D9F-40FE-B4FE-C94EEFF00F8F}"/>
  <conditionalFormatting sqref="O10">
    <cfRule type="cellIs" dxfId="3" priority="1" operator="lessThan">
      <formula>0</formula>
    </cfRule>
  </conditionalFormatting>
  <pageMargins left="0.7" right="0.7" top="0.75" bottom="0.75" header="0.3" footer="0.3"/>
  <pageSetup paperSize="9" scale="53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D9CA-D416-4621-B5BB-E3121C22962C}">
  <sheetPr>
    <tabColor theme="3"/>
    <pageSetUpPr fitToPage="1"/>
  </sheetPr>
  <dimension ref="A1:R89"/>
  <sheetViews>
    <sheetView zoomScale="80" zoomScaleNormal="80" workbookViewId="0">
      <pane xSplit="3" ySplit="9" topLeftCell="D49" activePane="bottomRight" state="frozen"/>
      <selection activeCell="A751" sqref="A751"/>
      <selection pane="topRight" activeCell="A751" sqref="A751"/>
      <selection pane="bottomLeft" activeCell="A751" sqref="A751"/>
      <selection pane="bottomRight" activeCell="H54" sqref="A54:XFD60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customWidth="1"/>
    <col min="6" max="6" width="16.26953125" style="2" customWidth="1"/>
    <col min="7" max="7" width="19.81640625" style="2" customWidth="1"/>
    <col min="8" max="8" width="42.453125" style="2" bestFit="1" customWidth="1"/>
    <col min="9" max="9" width="12.269531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s="18" t="s">
        <v>3865</v>
      </c>
      <c r="F2" s="155">
        <v>46266</v>
      </c>
      <c r="G2" s="19" t="s">
        <v>3943</v>
      </c>
    </row>
    <row r="3" spans="1:18" x14ac:dyDescent="0.35">
      <c r="A3" s="101" t="s">
        <v>3866</v>
      </c>
      <c r="B3" s="2">
        <v>113400000</v>
      </c>
      <c r="C3" s="19">
        <f>B3*0.25%</f>
        <v>283500</v>
      </c>
      <c r="F3" s="2" t="s">
        <v>4092</v>
      </c>
      <c r="G3" s="156" t="s">
        <v>4026</v>
      </c>
      <c r="H3" s="2" t="s">
        <v>4094</v>
      </c>
      <c r="I3" s="101" t="s">
        <v>3870</v>
      </c>
      <c r="J3" s="2" t="s">
        <v>3993</v>
      </c>
      <c r="Q3" s="25"/>
      <c r="R3" s="2"/>
    </row>
    <row r="4" spans="1:18" x14ac:dyDescent="0.35">
      <c r="A4" s="101" t="s">
        <v>3867</v>
      </c>
      <c r="B4" s="2">
        <v>4500000</v>
      </c>
      <c r="C4">
        <f>B4/J5</f>
        <v>1000</v>
      </c>
      <c r="F4" s="2" t="s">
        <v>4093</v>
      </c>
      <c r="G4" s="157" t="s">
        <v>3994</v>
      </c>
      <c r="I4" s="101" t="s">
        <v>3872</v>
      </c>
      <c r="J4" s="115">
        <v>46267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f>5981399+(432432)</f>
        <v>6413831</v>
      </c>
      <c r="C5">
        <f>6639360+(480000+(105600/2))</f>
        <v>7172160</v>
      </c>
      <c r="G5" s="157" t="s">
        <v>3996</v>
      </c>
      <c r="I5" s="101" t="s">
        <v>3944</v>
      </c>
      <c r="J5" s="19">
        <f>4500</f>
        <v>4500</v>
      </c>
      <c r="K5" s="2">
        <v>4149.6000000000004</v>
      </c>
      <c r="L5" s="2">
        <f>J5-K5</f>
        <v>350.39999999999964</v>
      </c>
      <c r="M5" s="147">
        <f>L5/J5</f>
        <v>7.7866666666666584E-2</v>
      </c>
    </row>
    <row r="6" spans="1:18" x14ac:dyDescent="0.35">
      <c r="A6" s="102" t="s">
        <v>3869</v>
      </c>
      <c r="B6" s="19">
        <f>SUM(B3:B5)</f>
        <v>124313831</v>
      </c>
      <c r="H6" s="2">
        <v>8586.8292999999994</v>
      </c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SUM(K11:K65)/M10-1</f>
        <v>-6.2657396504818608E-2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124313831</v>
      </c>
      <c r="G10" s="5"/>
      <c r="H10" s="5"/>
      <c r="I10" s="5">
        <f>SUM(I11:I79)</f>
        <v>3789.5</v>
      </c>
      <c r="J10" s="111">
        <f>SUM(J11:J79)</f>
        <v>0.84211111111111125</v>
      </c>
      <c r="K10" s="5">
        <f>+SUM(K11:K79)</f>
        <v>116524650</v>
      </c>
      <c r="L10" s="5"/>
      <c r="M10" s="5">
        <f>+SUM(M11:M79)</f>
        <v>124313831.00000001</v>
      </c>
      <c r="N10" s="5"/>
      <c r="O10" s="5">
        <f>+SUM(O11:O79)</f>
        <v>-7789180.9999999981</v>
      </c>
    </row>
    <row r="11" spans="1:18" x14ac:dyDescent="0.35">
      <c r="A11" t="s">
        <v>3873</v>
      </c>
      <c r="B11" s="3">
        <f>_xlfn.IFNA(_xlfn.XLOOKUP(A11,'Price list'!A:A,'Price list'!B:B),0)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74" si="0">+B11*(F11+I11)</f>
        <v>0</v>
      </c>
      <c r="L11" s="27">
        <f t="shared" ref="L11:L74" si="1">IFERROR(((K11/SUM($K$11:$K$79))*$F$10)/(F11+I11),0)</f>
        <v>0</v>
      </c>
      <c r="M11" s="3">
        <f t="shared" ref="M11:M74" si="2">+L11*(F11+I11)</f>
        <v>0</v>
      </c>
      <c r="N11" s="3">
        <f t="shared" ref="N11:N74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list'!A:A,'Price list'!B:B),0)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75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75" si="5">+K12-M12</f>
        <v>0</v>
      </c>
      <c r="P12" s="3"/>
      <c r="R12" s="3"/>
    </row>
    <row r="13" spans="1:18" x14ac:dyDescent="0.35">
      <c r="A13" t="s">
        <v>3875</v>
      </c>
      <c r="B13" s="3">
        <f>_xlfn.IFNA(_xlfn.XLOOKUP(A13,'Price list'!A:A,'Price list'!B:B),0)</f>
        <v>36500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si="4"/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si="5"/>
        <v>0</v>
      </c>
      <c r="P13" s="3"/>
    </row>
    <row r="14" spans="1:18" s="196" customFormat="1" x14ac:dyDescent="0.35">
      <c r="A14" s="196" t="s">
        <v>3876</v>
      </c>
      <c r="B14" s="197">
        <f>_xlfn.IFNA(_xlfn.XLOOKUP(A14,'Price list'!A:A,'Price list'!B:B),0)</f>
        <v>36500</v>
      </c>
      <c r="C14" s="196" t="s">
        <v>9</v>
      </c>
      <c r="E14" s="197"/>
      <c r="F14" s="197"/>
      <c r="G14" s="197" t="s">
        <v>2220</v>
      </c>
      <c r="H14" s="197" t="str">
        <f>IF(G14=0,"",_xlfn.XLOOKUP(G14,List_item!A:A,List_item!B:B))</f>
        <v>Karkas Uk 0.6 Karkas Uk 0.6 Frozen Premium</v>
      </c>
      <c r="I14" s="197">
        <v>2</v>
      </c>
      <c r="J14" s="198">
        <f t="shared" si="4"/>
        <v>4.4444444444444447E-4</v>
      </c>
      <c r="K14" s="197">
        <f t="shared" si="0"/>
        <v>73000</v>
      </c>
      <c r="L14" s="199">
        <f t="shared" si="1"/>
        <v>38939.870932888443</v>
      </c>
      <c r="M14" s="197">
        <f t="shared" si="2"/>
        <v>77879.741865776887</v>
      </c>
      <c r="N14" s="197">
        <f t="shared" si="3"/>
        <v>-2439.8709328884433</v>
      </c>
      <c r="O14" s="197">
        <f t="shared" si="5"/>
        <v>-4879.7418657768867</v>
      </c>
      <c r="P14" s="197"/>
    </row>
    <row r="15" spans="1:18" s="196" customFormat="1" x14ac:dyDescent="0.35">
      <c r="A15" s="196" t="s">
        <v>3877</v>
      </c>
      <c r="B15" s="197">
        <f>_xlfn.IFNA(_xlfn.XLOOKUP(A15,'Price list'!A:A,'Price list'!B:B),0)</f>
        <v>36500</v>
      </c>
      <c r="C15" s="196" t="s">
        <v>9</v>
      </c>
      <c r="G15" s="197" t="s">
        <v>2221</v>
      </c>
      <c r="H15" s="197" t="str">
        <f>IF(G15=0,"",_xlfn.XLOOKUP(G15,List_item!A:A,List_item!B:B))</f>
        <v>Karkas Uk 0.7 Karkas Uk 0.7 Frozen Premium</v>
      </c>
      <c r="I15" s="197">
        <v>5.5</v>
      </c>
      <c r="J15" s="198">
        <f t="shared" si="4"/>
        <v>1.2222222222222222E-3</v>
      </c>
      <c r="K15" s="197">
        <f t="shared" si="0"/>
        <v>200750</v>
      </c>
      <c r="L15" s="199">
        <f t="shared" si="1"/>
        <v>38939.870932888443</v>
      </c>
      <c r="M15" s="197">
        <f t="shared" si="2"/>
        <v>214169.29013088642</v>
      </c>
      <c r="N15" s="197">
        <f t="shared" si="3"/>
        <v>-2439.8709328884433</v>
      </c>
      <c r="O15" s="197">
        <f t="shared" si="5"/>
        <v>-13419.290130886424</v>
      </c>
      <c r="P15" s="197"/>
    </row>
    <row r="16" spans="1:18" s="196" customFormat="1" x14ac:dyDescent="0.35">
      <c r="A16" s="196" t="s">
        <v>3878</v>
      </c>
      <c r="B16" s="197">
        <f>_xlfn.IFNA(_xlfn.XLOOKUP(A16,'Price list'!A:A,'Price list'!B:B),0)</f>
        <v>36500</v>
      </c>
      <c r="C16" s="196" t="s">
        <v>9</v>
      </c>
      <c r="E16" s="197"/>
      <c r="G16" s="197" t="s">
        <v>2222</v>
      </c>
      <c r="H16" s="197" t="str">
        <f>IF(G16=0,"",_xlfn.XLOOKUP(G16,List_item!A:A,List_item!B:B))</f>
        <v>Karkas Uk 0.8 Frozen Premium</v>
      </c>
      <c r="I16" s="197">
        <v>35.6</v>
      </c>
      <c r="J16" s="198">
        <f t="shared" si="4"/>
        <v>7.9111111111111118E-3</v>
      </c>
      <c r="K16" s="197">
        <f t="shared" si="0"/>
        <v>1299400</v>
      </c>
      <c r="L16" s="199">
        <f t="shared" si="1"/>
        <v>38939.870932888451</v>
      </c>
      <c r="M16" s="197">
        <f t="shared" si="2"/>
        <v>1386259.4052108289</v>
      </c>
      <c r="N16" s="197">
        <f t="shared" si="3"/>
        <v>-2439.8709328884506</v>
      </c>
      <c r="O16" s="197">
        <f t="shared" si="5"/>
        <v>-86859.405210828874</v>
      </c>
      <c r="P16" s="197"/>
    </row>
    <row r="17" spans="1:16" s="196" customFormat="1" x14ac:dyDescent="0.35">
      <c r="A17" s="196" t="s">
        <v>3879</v>
      </c>
      <c r="B17" s="197">
        <f>_xlfn.IFNA(_xlfn.XLOOKUP(A17,'Price list'!A:A,'Price list'!B:B),0)</f>
        <v>36500</v>
      </c>
      <c r="C17" s="196" t="s">
        <v>9</v>
      </c>
      <c r="E17" s="200"/>
      <c r="G17" s="197" t="s">
        <v>2223</v>
      </c>
      <c r="H17" s="197" t="str">
        <f>IF(G17=0,"",_xlfn.XLOOKUP(G17,List_item!A:A,List_item!B:B))</f>
        <v>Karkas Uk 0.9 Frozen Premium</v>
      </c>
      <c r="I17" s="197">
        <v>227.9</v>
      </c>
      <c r="J17" s="198">
        <f t="shared" si="4"/>
        <v>5.0644444444444443E-2</v>
      </c>
      <c r="K17" s="197">
        <f t="shared" si="0"/>
        <v>8318350</v>
      </c>
      <c r="L17" s="199">
        <f t="shared" si="1"/>
        <v>38939.870932888443</v>
      </c>
      <c r="M17" s="197">
        <f t="shared" si="2"/>
        <v>8874396.5856052767</v>
      </c>
      <c r="N17" s="197">
        <f t="shared" si="3"/>
        <v>-2439.8709328884433</v>
      </c>
      <c r="O17" s="197">
        <f t="shared" si="5"/>
        <v>-556046.58560527675</v>
      </c>
      <c r="P17" s="197"/>
    </row>
    <row r="18" spans="1:16" s="196" customFormat="1" x14ac:dyDescent="0.35">
      <c r="A18" s="196" t="s">
        <v>3880</v>
      </c>
      <c r="B18" s="197">
        <f>_xlfn.IFNA(_xlfn.XLOOKUP(A18,'Price list'!A:A,'Price list'!B:B),0)</f>
        <v>36500</v>
      </c>
      <c r="C18" s="196" t="s">
        <v>9</v>
      </c>
      <c r="E18" s="197"/>
      <c r="F18" s="197"/>
      <c r="G18" s="197" t="s">
        <v>891</v>
      </c>
      <c r="H18" s="197" t="str">
        <f>IF(G18=0,"",_xlfn.XLOOKUP(G18,List_item!A:A,List_item!B:B))</f>
        <v>Karkas Uk 1.0 Karkas Uk 1.0 Fresh Premium</v>
      </c>
      <c r="I18" s="197">
        <v>687.3</v>
      </c>
      <c r="J18" s="198">
        <f t="shared" si="4"/>
        <v>0.15273333333333333</v>
      </c>
      <c r="K18" s="197">
        <f t="shared" si="0"/>
        <v>25086450</v>
      </c>
      <c r="L18" s="199">
        <f t="shared" si="1"/>
        <v>38939.870932888451</v>
      </c>
      <c r="M18" s="197">
        <f t="shared" si="2"/>
        <v>26763373.292174231</v>
      </c>
      <c r="N18" s="197">
        <f t="shared" si="3"/>
        <v>-2439.8709328884506</v>
      </c>
      <c r="O18" s="197">
        <f t="shared" si="5"/>
        <v>-1676923.2921742313</v>
      </c>
      <c r="P18" s="197"/>
    </row>
    <row r="19" spans="1:16" s="196" customFormat="1" x14ac:dyDescent="0.35">
      <c r="A19" s="196" t="s">
        <v>3881</v>
      </c>
      <c r="B19" s="197">
        <f>_xlfn.IFNA(_xlfn.XLOOKUP(A19,'Price list'!A:A,'Price list'!B:B),0)</f>
        <v>36500</v>
      </c>
      <c r="C19" s="196" t="s">
        <v>9</v>
      </c>
      <c r="E19" s="197"/>
      <c r="F19" s="197"/>
      <c r="G19" s="197" t="s">
        <v>989</v>
      </c>
      <c r="H19" s="197" t="str">
        <f>IF(G19=0,"",_xlfn.XLOOKUP(G19,List_item!A:A,List_item!B:B))</f>
        <v>Karkas Uk 1.1 Karkas Uk 1.1 Frozen Premium</v>
      </c>
      <c r="I19" s="197">
        <v>976.5</v>
      </c>
      <c r="J19" s="198">
        <f t="shared" si="4"/>
        <v>0.217</v>
      </c>
      <c r="K19" s="197">
        <f t="shared" si="0"/>
        <v>35642250</v>
      </c>
      <c r="L19" s="199">
        <f t="shared" si="1"/>
        <v>38939.870932888451</v>
      </c>
      <c r="M19" s="197">
        <f t="shared" si="2"/>
        <v>38024783.965965569</v>
      </c>
      <c r="N19" s="197">
        <f t="shared" si="3"/>
        <v>-2439.8709328884506</v>
      </c>
      <c r="O19" s="197">
        <f t="shared" si="5"/>
        <v>-2382533.965965569</v>
      </c>
      <c r="P19" s="197"/>
    </row>
    <row r="20" spans="1:16" s="196" customFormat="1" x14ac:dyDescent="0.35">
      <c r="A20" s="196" t="s">
        <v>3882</v>
      </c>
      <c r="B20" s="197">
        <f>_xlfn.IFNA(_xlfn.XLOOKUP(A20,'Price list'!A:A,'Price list'!B:B),0)</f>
        <v>36500</v>
      </c>
      <c r="C20" s="196" t="s">
        <v>9</v>
      </c>
      <c r="E20" s="197"/>
      <c r="F20" s="197"/>
      <c r="G20" s="197" t="s">
        <v>1055</v>
      </c>
      <c r="H20" s="197" t="str">
        <f>IF(G20=0,"",_xlfn.XLOOKUP(G20,List_item!A:A,List_item!B:B))</f>
        <v>Karkas Uk 1.2 Karkas Uk 1.2 Frozen Premium</v>
      </c>
      <c r="I20" s="197">
        <v>621.9</v>
      </c>
      <c r="J20" s="198">
        <f t="shared" si="4"/>
        <v>0.13819999999999999</v>
      </c>
      <c r="K20" s="197">
        <f t="shared" si="0"/>
        <v>22699350</v>
      </c>
      <c r="L20" s="199">
        <f t="shared" si="1"/>
        <v>38939.870932888451</v>
      </c>
      <c r="M20" s="197">
        <f t="shared" si="2"/>
        <v>24216705.733163327</v>
      </c>
      <c r="N20" s="197">
        <f t="shared" si="3"/>
        <v>-2439.8709328884506</v>
      </c>
      <c r="O20" s="197">
        <f t="shared" si="5"/>
        <v>-1517355.733163327</v>
      </c>
      <c r="P20" s="197"/>
    </row>
    <row r="21" spans="1:16" s="196" customFormat="1" x14ac:dyDescent="0.35">
      <c r="A21" s="196" t="s">
        <v>3883</v>
      </c>
      <c r="B21" s="197">
        <f>_xlfn.IFNA(_xlfn.XLOOKUP(A21,'Price list'!A:A,'Price list'!B:B),0)</f>
        <v>36500</v>
      </c>
      <c r="C21" s="196" t="s">
        <v>9</v>
      </c>
      <c r="E21" s="197"/>
      <c r="F21" s="197"/>
      <c r="G21" s="197" t="s">
        <v>1121</v>
      </c>
      <c r="H21" s="197" t="str">
        <f>IF(G21=0,"",_xlfn.XLOOKUP(G21,List_item!A:A,List_item!B:B))</f>
        <v>Karkas Uk 1.3 Karkas Uk 1.3 Frozen Premium</v>
      </c>
      <c r="I21" s="197">
        <v>208.6</v>
      </c>
      <c r="J21" s="198">
        <f t="shared" si="4"/>
        <v>4.6355555555555553E-2</v>
      </c>
      <c r="K21" s="197">
        <f t="shared" si="0"/>
        <v>7613900</v>
      </c>
      <c r="L21" s="199">
        <f t="shared" si="1"/>
        <v>38939.870932888451</v>
      </c>
      <c r="M21" s="197">
        <f t="shared" si="2"/>
        <v>8122857.0766005302</v>
      </c>
      <c r="N21" s="197">
        <f t="shared" si="3"/>
        <v>-2439.8709328884506</v>
      </c>
      <c r="O21" s="197">
        <f t="shared" si="5"/>
        <v>-508957.07660053018</v>
      </c>
      <c r="P21" s="197"/>
    </row>
    <row r="22" spans="1:16" s="196" customFormat="1" x14ac:dyDescent="0.35">
      <c r="A22" s="196" t="s">
        <v>3884</v>
      </c>
      <c r="B22" s="197">
        <f>_xlfn.IFNA(_xlfn.XLOOKUP(A22,'Price list'!A:A,'Price list'!B:B),0)</f>
        <v>36500</v>
      </c>
      <c r="C22" s="196" t="s">
        <v>9</v>
      </c>
      <c r="E22" s="197"/>
      <c r="F22" s="197"/>
      <c r="G22" s="197" t="s">
        <v>1187</v>
      </c>
      <c r="H22" s="197" t="str">
        <f>IF(G22=0,"",_xlfn.XLOOKUP(G22,List_item!A:A,List_item!B:B))</f>
        <v>Karkas Uk 1.4 Karkas Uk 1.4 Frozen Premium</v>
      </c>
      <c r="I22" s="197">
        <v>43.2</v>
      </c>
      <c r="J22" s="198">
        <f t="shared" si="4"/>
        <v>9.6000000000000009E-3</v>
      </c>
      <c r="K22" s="197">
        <f t="shared" si="0"/>
        <v>1576800</v>
      </c>
      <c r="L22" s="199">
        <f t="shared" si="1"/>
        <v>38939.870932888443</v>
      </c>
      <c r="M22" s="197">
        <f t="shared" si="2"/>
        <v>1682202.4243007808</v>
      </c>
      <c r="N22" s="197">
        <f t="shared" si="3"/>
        <v>-2439.8709328884433</v>
      </c>
      <c r="O22" s="197">
        <f t="shared" si="5"/>
        <v>-105402.42430078075</v>
      </c>
      <c r="P22" s="197"/>
    </row>
    <row r="23" spans="1:16" x14ac:dyDescent="0.35">
      <c r="A23" t="s">
        <v>3849</v>
      </c>
      <c r="B23" s="3">
        <f>_xlfn.IFNA(_xlfn.XLOOKUP(A23,'Price list'!A:A,'Price list'!B:B),0)</f>
        <v>36500</v>
      </c>
      <c r="C23" t="s">
        <v>9</v>
      </c>
      <c r="E23" s="3"/>
      <c r="F23" s="3"/>
      <c r="G23" s="3"/>
      <c r="H23" s="3" t="str">
        <f>IF(G23=0,"",_xlfn.XLOOKUP(G23,List_item!A:A,List_item!B:B))</f>
        <v/>
      </c>
      <c r="I23" s="3">
        <v>0</v>
      </c>
      <c r="J23" s="26">
        <f t="shared" si="4"/>
        <v>0</v>
      </c>
      <c r="K23" s="3">
        <f t="shared" si="0"/>
        <v>0</v>
      </c>
      <c r="L23" s="27">
        <f t="shared" si="1"/>
        <v>0</v>
      </c>
      <c r="M23" s="3">
        <f t="shared" si="2"/>
        <v>0</v>
      </c>
      <c r="N23" s="3">
        <f t="shared" si="3"/>
        <v>0</v>
      </c>
      <c r="O23" s="3">
        <f t="shared" si="5"/>
        <v>0</v>
      </c>
      <c r="P23" s="3"/>
    </row>
    <row r="24" spans="1:16" x14ac:dyDescent="0.35">
      <c r="A24" t="s">
        <v>3885</v>
      </c>
      <c r="B24" s="3">
        <f>_xlfn.IFNA(_xlfn.XLOOKUP(A24,'Price list'!A:A,'Price list'!B:B),0)</f>
        <v>36500</v>
      </c>
      <c r="C24" t="s">
        <v>9</v>
      </c>
      <c r="E24" s="3"/>
      <c r="F24" s="3"/>
      <c r="G24" s="3"/>
      <c r="H24" s="3" t="str">
        <f>IF(G24=0,"",_xlfn.XLOOKUP(G24,List_item!A:A,List_item!B:B))</f>
        <v/>
      </c>
      <c r="I24" s="3">
        <v>0</v>
      </c>
      <c r="J24" s="26">
        <f t="shared" si="4"/>
        <v>0</v>
      </c>
      <c r="K24" s="3">
        <f t="shared" si="0"/>
        <v>0</v>
      </c>
      <c r="L24" s="27">
        <f t="shared" si="1"/>
        <v>0</v>
      </c>
      <c r="M24" s="3">
        <f t="shared" si="2"/>
        <v>0</v>
      </c>
      <c r="N24" s="3">
        <f t="shared" si="3"/>
        <v>0</v>
      </c>
      <c r="O24" s="3">
        <f t="shared" si="5"/>
        <v>0</v>
      </c>
      <c r="P24" s="3"/>
    </row>
    <row r="25" spans="1:16" x14ac:dyDescent="0.35">
      <c r="A25" t="s">
        <v>3886</v>
      </c>
      <c r="B25" s="3">
        <f>_xlfn.IFNA(_xlfn.XLOOKUP(A25,'Price list'!A:A,'Price list'!B:B),0)</f>
        <v>36500</v>
      </c>
      <c r="C25" t="s">
        <v>9</v>
      </c>
      <c r="E25" s="3"/>
      <c r="F25" s="3"/>
      <c r="G25" s="3"/>
      <c r="H25" s="3" t="str">
        <f>IF(G25=0,"",_xlfn.XLOOKUP(G25,List_item!A:A,List_item!B:B))</f>
        <v/>
      </c>
      <c r="I25" s="3">
        <v>0</v>
      </c>
      <c r="J25" s="26">
        <f t="shared" si="4"/>
        <v>0</v>
      </c>
      <c r="K25" s="3">
        <f t="shared" si="0"/>
        <v>0</v>
      </c>
      <c r="L25" s="27">
        <f t="shared" si="1"/>
        <v>0</v>
      </c>
      <c r="M25" s="3">
        <f t="shared" si="2"/>
        <v>0</v>
      </c>
      <c r="N25" s="3">
        <f t="shared" si="3"/>
        <v>0</v>
      </c>
      <c r="O25" s="3">
        <f t="shared" si="5"/>
        <v>0</v>
      </c>
      <c r="P25" s="3"/>
    </row>
    <row r="26" spans="1:16" x14ac:dyDescent="0.35">
      <c r="A26" t="s">
        <v>3887</v>
      </c>
      <c r="B26" s="3">
        <f>_xlfn.IFNA(_xlfn.XLOOKUP(A26,'Price list'!A:A,'Price list'!B:B),0)</f>
        <v>36500</v>
      </c>
      <c r="C26" t="s">
        <v>9</v>
      </c>
      <c r="E26" s="3"/>
      <c r="F26" s="3"/>
      <c r="G26" s="3"/>
      <c r="H26" s="3" t="str">
        <f>IF(G26=0,"",_xlfn.XLOOKUP(G26,List_item!A:A,List_item!B:B))</f>
        <v/>
      </c>
      <c r="I26" s="3">
        <v>0</v>
      </c>
      <c r="J26" s="26">
        <f t="shared" si="4"/>
        <v>0</v>
      </c>
      <c r="K26" s="3">
        <f t="shared" si="0"/>
        <v>0</v>
      </c>
      <c r="L26" s="27">
        <f t="shared" si="1"/>
        <v>0</v>
      </c>
      <c r="M26" s="3">
        <f t="shared" si="2"/>
        <v>0</v>
      </c>
      <c r="N26" s="3">
        <f t="shared" si="3"/>
        <v>0</v>
      </c>
      <c r="O26" s="3">
        <f t="shared" si="5"/>
        <v>0</v>
      </c>
      <c r="P26" s="3"/>
    </row>
    <row r="27" spans="1:16" x14ac:dyDescent="0.35">
      <c r="A27" t="s">
        <v>3888</v>
      </c>
      <c r="B27" s="3">
        <f>_xlfn.IFNA(_xlfn.XLOOKUP(A27,'Price list'!A:A,'Price list'!B:B),0)</f>
        <v>36500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4"/>
        <v>0</v>
      </c>
      <c r="K27" s="3">
        <f t="shared" si="0"/>
        <v>0</v>
      </c>
      <c r="L27" s="27">
        <f t="shared" si="1"/>
        <v>0</v>
      </c>
      <c r="M27" s="3">
        <f t="shared" si="2"/>
        <v>0</v>
      </c>
      <c r="N27" s="3">
        <f t="shared" si="3"/>
        <v>0</v>
      </c>
      <c r="O27" s="3">
        <f t="shared" si="5"/>
        <v>0</v>
      </c>
      <c r="P27" s="3"/>
    </row>
    <row r="28" spans="1:16" x14ac:dyDescent="0.35">
      <c r="A28" t="s">
        <v>3889</v>
      </c>
      <c r="B28" s="3">
        <f>_xlfn.IFNA(_xlfn.XLOOKUP(A28,'Price list'!A:A,'Price list'!B:B),0)</f>
        <v>36500</v>
      </c>
      <c r="C28" t="s">
        <v>9</v>
      </c>
      <c r="E28" s="3"/>
      <c r="F28" s="3"/>
      <c r="G28" s="3"/>
      <c r="H28" s="3" t="str">
        <f>IF(G28=0,"",_xlfn.XLOOKUP(G28,List_item!A:A,List_item!B:B))</f>
        <v/>
      </c>
      <c r="I28" s="3">
        <v>0</v>
      </c>
      <c r="J28" s="26">
        <f t="shared" si="4"/>
        <v>0</v>
      </c>
      <c r="K28" s="3">
        <f t="shared" si="0"/>
        <v>0</v>
      </c>
      <c r="L28" s="27">
        <f t="shared" si="1"/>
        <v>0</v>
      </c>
      <c r="M28" s="3">
        <f t="shared" si="2"/>
        <v>0</v>
      </c>
      <c r="N28" s="3">
        <f t="shared" si="3"/>
        <v>0</v>
      </c>
      <c r="O28" s="3">
        <f t="shared" si="5"/>
        <v>0</v>
      </c>
      <c r="P28" s="3"/>
    </row>
    <row r="29" spans="1:16" x14ac:dyDescent="0.35">
      <c r="A29" t="s">
        <v>3890</v>
      </c>
      <c r="B29" s="3">
        <f>_xlfn.IFNA(_xlfn.XLOOKUP(A29,'Price list'!A:A,'Price list'!B:B),0)</f>
        <v>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8</v>
      </c>
      <c r="B30" s="3">
        <f>_xlfn.IFNA(_xlfn.XLOOKUP(A30,'Price list'!A:A,'Price list'!B:B),0)</f>
        <v>50000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10</v>
      </c>
      <c r="B31" s="3">
        <f>_xlfn.IFNA(_xlfn.XLOOKUP(A31,'Price list'!A:A,'Price list'!B:B),0)</f>
        <v>48000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12</v>
      </c>
      <c r="B32" s="3">
        <f>_xlfn.IFNA(_xlfn.XLOOKUP(A32,'Price list'!A:A,'Price list'!B:B),0)</f>
        <v>49000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2159</v>
      </c>
      <c r="B33" s="3">
        <f>_xlfn.IFNA(_xlfn.XLOOKUP(A33,'Price list'!A:A,'Price list'!B:B),0)</f>
        <v>5500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3891</v>
      </c>
      <c r="B34" s="3">
        <f>_xlfn.IFNA(_xlfn.XLOOKUP(A34,'Price list'!A:A,'Price list'!B:B),0)</f>
        <v>20000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3892</v>
      </c>
      <c r="B35" s="3">
        <f>_xlfn.IFNA(_xlfn.XLOOKUP(A35,'Price list'!A:A,'Price list'!B:B),0)</f>
        <v>22000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3852</v>
      </c>
      <c r="B36" s="3">
        <f>_xlfn.IFNA(_xlfn.XLOOKUP(A36,'Price list'!A:A,'Price list'!B:B),0)</f>
        <v>18000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17</v>
      </c>
      <c r="B37" s="3">
        <f>_xlfn.IFNA(_xlfn.XLOOKUP(A37,'Price list'!A:A,'Price list'!B:B),0)</f>
        <v>3500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2199</v>
      </c>
      <c r="B38" s="3">
        <f>_xlfn.IFNA(_xlfn.XLOOKUP(A38,'Price list'!A:A,'Price list'!B:B),0)</f>
        <v>38000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s="196" customFormat="1" x14ac:dyDescent="0.35">
      <c r="A39" s="196" t="s">
        <v>2161</v>
      </c>
      <c r="B39" s="197">
        <f>_xlfn.IFNA(_xlfn.XLOOKUP(A39,'Price list'!A:A,'Price list'!B:B),0)</f>
        <v>18000</v>
      </c>
      <c r="C39" s="196" t="s">
        <v>9</v>
      </c>
      <c r="E39" s="197"/>
      <c r="F39" s="197"/>
      <c r="G39" s="197" t="s">
        <v>19</v>
      </c>
      <c r="H39" s="197" t="str">
        <f>IF(G39=0,"",_xlfn.XLOOKUP(G39,List_item!A:A,List_item!B:B))</f>
        <v>Boneless BL Frozen Lemak</v>
      </c>
      <c r="I39" s="197">
        <v>20.5</v>
      </c>
      <c r="J39" s="198">
        <f t="shared" si="4"/>
        <v>4.5555555555555557E-3</v>
      </c>
      <c r="K39" s="197">
        <f t="shared" si="0"/>
        <v>369000</v>
      </c>
      <c r="L39" s="199">
        <f t="shared" si="1"/>
        <v>19203.224021698414</v>
      </c>
      <c r="M39" s="197">
        <f t="shared" si="2"/>
        <v>393666.09244481748</v>
      </c>
      <c r="N39" s="197">
        <f t="shared" si="3"/>
        <v>-1203.2240216984137</v>
      </c>
      <c r="O39" s="197">
        <f t="shared" si="5"/>
        <v>-24666.092444817477</v>
      </c>
      <c r="P39" s="197"/>
    </row>
    <row r="40" spans="1:16" s="196" customFormat="1" x14ac:dyDescent="0.35">
      <c r="A40" s="196" t="s">
        <v>2162</v>
      </c>
      <c r="B40" s="197">
        <f>_xlfn.IFNA(_xlfn.XLOOKUP(A40,'Price list'!A:A,'Price list'!B:B),0)</f>
        <v>8000</v>
      </c>
      <c r="C40" s="196" t="s">
        <v>9</v>
      </c>
      <c r="E40" s="197"/>
      <c r="F40" s="197"/>
      <c r="G40" s="197" t="s">
        <v>20</v>
      </c>
      <c r="H40" s="197" t="str">
        <f>IF(G40=0,"",_xlfn.XLOOKUP(G40,List_item!A:A,List_item!B:B))</f>
        <v>Boneless BL Fresh Kepala</v>
      </c>
      <c r="I40" s="197">
        <v>206.3</v>
      </c>
      <c r="J40" s="198">
        <f t="shared" si="4"/>
        <v>4.5844444444444445E-2</v>
      </c>
      <c r="K40" s="197">
        <f t="shared" si="0"/>
        <v>1650400</v>
      </c>
      <c r="L40" s="199">
        <f t="shared" si="1"/>
        <v>8534.7662318659604</v>
      </c>
      <c r="M40" s="197">
        <f t="shared" si="2"/>
        <v>1760722.2736339478</v>
      </c>
      <c r="N40" s="197">
        <f t="shared" si="3"/>
        <v>-534.76623186596044</v>
      </c>
      <c r="O40" s="197">
        <f t="shared" si="5"/>
        <v>-110322.27363394783</v>
      </c>
      <c r="P40" s="197"/>
    </row>
    <row r="41" spans="1:16" s="196" customFormat="1" x14ac:dyDescent="0.35">
      <c r="A41" s="196" t="s">
        <v>0</v>
      </c>
      <c r="B41" s="197">
        <f>_xlfn.IFNA(_xlfn.XLOOKUP(A41,'Price list'!A:A,'Price list'!B:B),0)</f>
        <v>10000</v>
      </c>
      <c r="C41" s="196" t="s">
        <v>9</v>
      </c>
      <c r="E41" s="197"/>
      <c r="F41" s="197"/>
      <c r="G41" s="197" t="s">
        <v>21</v>
      </c>
      <c r="H41" s="197" t="str">
        <f>IF(G41=0,"",_xlfn.XLOOKUP(G41,List_item!A:A,List_item!B:B))</f>
        <v>Boneless BL Fresh Ceker</v>
      </c>
      <c r="I41" s="197">
        <v>120.8</v>
      </c>
      <c r="J41" s="198">
        <f t="shared" si="4"/>
        <v>2.6844444444444445E-2</v>
      </c>
      <c r="K41" s="197">
        <f t="shared" si="0"/>
        <v>1208000</v>
      </c>
      <c r="L41" s="199">
        <f t="shared" si="1"/>
        <v>10668.457789832451</v>
      </c>
      <c r="M41" s="197">
        <f t="shared" si="2"/>
        <v>1288749.7010117602</v>
      </c>
      <c r="N41" s="197">
        <f t="shared" si="3"/>
        <v>-668.45778983245145</v>
      </c>
      <c r="O41" s="197">
        <f t="shared" si="5"/>
        <v>-80749.70101176016</v>
      </c>
      <c r="P41" s="197"/>
    </row>
    <row r="42" spans="1:16" x14ac:dyDescent="0.35">
      <c r="A42" t="s">
        <v>24</v>
      </c>
      <c r="B42" s="3">
        <f>_xlfn.IFNA(_xlfn.XLOOKUP(A42,'Price list'!A:A,'Price list'!B:B),0)</f>
        <v>4000</v>
      </c>
      <c r="C42" t="s">
        <v>9</v>
      </c>
      <c r="E42" s="3"/>
      <c r="F42" s="3"/>
      <c r="G42" s="3"/>
      <c r="H42" s="3" t="str">
        <f>IF(G42=0,"",_xlfn.XLOOKUP(G42,List_item!A:A,List_item!B:B))</f>
        <v/>
      </c>
      <c r="I42" s="3">
        <v>0</v>
      </c>
      <c r="J42" s="26">
        <f t="shared" si="4"/>
        <v>0</v>
      </c>
      <c r="K42" s="3">
        <f t="shared" si="0"/>
        <v>0</v>
      </c>
      <c r="L42" s="27">
        <f t="shared" si="1"/>
        <v>0</v>
      </c>
      <c r="M42" s="3">
        <f t="shared" si="2"/>
        <v>0</v>
      </c>
      <c r="N42" s="3">
        <f t="shared" si="3"/>
        <v>0</v>
      </c>
      <c r="O42" s="3">
        <f t="shared" si="5"/>
        <v>0</v>
      </c>
      <c r="P42" s="3"/>
    </row>
    <row r="43" spans="1:16" s="196" customFormat="1" x14ac:dyDescent="0.35">
      <c r="A43" s="196" t="s">
        <v>3893</v>
      </c>
      <c r="B43" s="197">
        <v>5000</v>
      </c>
      <c r="C43" s="196" t="s">
        <v>9</v>
      </c>
      <c r="E43" s="197"/>
      <c r="F43" s="197"/>
      <c r="G43" s="197" t="s">
        <v>25</v>
      </c>
      <c r="H43" s="197" t="str">
        <f>IF(G43=0,"",_xlfn.XLOOKUP(G43,List_item!A:A,List_item!B:B))</f>
        <v>Boneless BL Fresh Usus Kotor</v>
      </c>
      <c r="I43" s="197">
        <v>169</v>
      </c>
      <c r="J43" s="198">
        <f t="shared" si="4"/>
        <v>3.7555555555555557E-2</v>
      </c>
      <c r="K43" s="197">
        <f t="shared" si="0"/>
        <v>845000</v>
      </c>
      <c r="L43" s="199">
        <f t="shared" si="1"/>
        <v>5334.2288949162257</v>
      </c>
      <c r="M43" s="197">
        <f t="shared" si="2"/>
        <v>901484.68324084219</v>
      </c>
      <c r="N43" s="197">
        <f t="shared" si="3"/>
        <v>-334.22889491622573</v>
      </c>
      <c r="O43" s="197">
        <f t="shared" si="5"/>
        <v>-56484.683240842191</v>
      </c>
      <c r="P43" s="197" t="s">
        <v>3947</v>
      </c>
    </row>
    <row r="44" spans="1:16" x14ac:dyDescent="0.35">
      <c r="A44" t="s">
        <v>2167</v>
      </c>
      <c r="B44" s="3">
        <f>_xlfn.IFNA(_xlfn.XLOOKUP(A44,'Price list'!A:A,'Price list'!B:B),0)</f>
        <v>16000</v>
      </c>
      <c r="C44" t="s">
        <v>9</v>
      </c>
      <c r="E44" s="3"/>
      <c r="F44" s="3"/>
      <c r="G44" s="3"/>
      <c r="H44" s="3" t="str">
        <f>IF(G44=0,"",_xlfn.XLOOKUP(G44,List_item!A:A,List_item!B:B))</f>
        <v/>
      </c>
      <c r="I44" s="3">
        <v>0</v>
      </c>
      <c r="J44" s="26">
        <f t="shared" si="4"/>
        <v>0</v>
      </c>
      <c r="K44" s="3">
        <f t="shared" si="0"/>
        <v>0</v>
      </c>
      <c r="L44" s="27">
        <f t="shared" si="1"/>
        <v>0</v>
      </c>
      <c r="M44" s="3">
        <f t="shared" si="2"/>
        <v>0</v>
      </c>
      <c r="N44" s="3">
        <f t="shared" si="3"/>
        <v>0</v>
      </c>
      <c r="O44" s="3">
        <f t="shared" si="5"/>
        <v>0</v>
      </c>
      <c r="P44" s="3"/>
    </row>
    <row r="45" spans="1:16" x14ac:dyDescent="0.35">
      <c r="A45" t="s">
        <v>2168</v>
      </c>
      <c r="B45" s="3">
        <f>_xlfn.IFNA(_xlfn.XLOOKUP(A45,'Price list'!A:A,'Price list'!B:B),0)</f>
        <v>10000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27">
        <f t="shared" si="1"/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/>
    </row>
    <row r="46" spans="1:16" x14ac:dyDescent="0.35">
      <c r="A46" t="s">
        <v>2169</v>
      </c>
      <c r="B46" s="3">
        <f>_xlfn.IFNA(_xlfn.XLOOKUP(A46,'Price list'!A:A,'Price list'!B:B),0)</f>
        <v>5000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1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6" s="196" customFormat="1" x14ac:dyDescent="0.35">
      <c r="A47" s="196" t="s">
        <v>3894</v>
      </c>
      <c r="B47" s="197">
        <f>_xlfn.IFNA(_xlfn.XLOOKUP(A47,'Price list'!A:A,'Price list'!B:B),0)</f>
        <v>5000</v>
      </c>
      <c r="C47" s="196" t="s">
        <v>9</v>
      </c>
      <c r="E47" s="197"/>
      <c r="F47" s="197"/>
      <c r="G47" s="197" t="s">
        <v>23</v>
      </c>
      <c r="H47" s="197" t="str">
        <f>IF(G47=0,"",_xlfn.XLOOKUP(G47,List_item!A:A,List_item!B:B))</f>
        <v>Boneless BL Fresh HJA</v>
      </c>
      <c r="I47" s="197">
        <v>210.4</v>
      </c>
      <c r="J47" s="198">
        <f t="shared" si="4"/>
        <v>4.6755555555555557E-2</v>
      </c>
      <c r="K47" s="197">
        <f t="shared" si="0"/>
        <v>1052000</v>
      </c>
      <c r="L47" s="199">
        <f t="shared" si="1"/>
        <v>5334.2288949162257</v>
      </c>
      <c r="M47" s="197">
        <f t="shared" si="2"/>
        <v>1122321.759490374</v>
      </c>
      <c r="N47" s="197">
        <f t="shared" si="3"/>
        <v>-334.22889491622573</v>
      </c>
      <c r="O47" s="197">
        <f t="shared" si="5"/>
        <v>-70321.75949037401</v>
      </c>
      <c r="P47" s="197"/>
    </row>
    <row r="48" spans="1:16" x14ac:dyDescent="0.35">
      <c r="A48" t="s">
        <v>2170</v>
      </c>
      <c r="B48" s="3">
        <f>_xlfn.IFNA(_xlfn.XLOOKUP(A48,'Price list'!A:A,'Price list'!B:B),0)</f>
        <v>45000</v>
      </c>
      <c r="C48" t="s">
        <v>9</v>
      </c>
      <c r="E48" s="3"/>
      <c r="F48" s="3"/>
      <c r="G48" s="3"/>
      <c r="H48" s="3" t="str">
        <f>IF(G48=0,"",_xlfn.XLOOKUP(G48,List_item!A:A,List_item!B:B))</f>
        <v/>
      </c>
      <c r="I48" s="3">
        <v>0</v>
      </c>
      <c r="J48" s="26">
        <f t="shared" si="4"/>
        <v>0</v>
      </c>
      <c r="K48" s="3">
        <f t="shared" si="0"/>
        <v>0</v>
      </c>
      <c r="L48" s="27">
        <f t="shared" si="1"/>
        <v>0</v>
      </c>
      <c r="M48" s="3">
        <f t="shared" si="2"/>
        <v>0</v>
      </c>
      <c r="N48" s="3">
        <f t="shared" si="3"/>
        <v>0</v>
      </c>
      <c r="O48" s="3">
        <f t="shared" si="5"/>
        <v>0</v>
      </c>
      <c r="P48" s="3"/>
    </row>
    <row r="49" spans="1:16" x14ac:dyDescent="0.35">
      <c r="A49" t="s">
        <v>2171</v>
      </c>
      <c r="B49" s="3">
        <f>_xlfn.IFNA(_xlfn.XLOOKUP(A49,'Price list'!A:A,'Price list'!B:B),0)</f>
        <v>44000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3895</v>
      </c>
      <c r="B50" s="3">
        <f>_xlfn.IFNA(_xlfn.XLOOKUP(A50,'Price list'!A:A,'Price list'!B:B),0)</f>
        <v>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3896</v>
      </c>
      <c r="B51" s="3">
        <f>_xlfn.IFNA(_xlfn.XLOOKUP(A51,'Price list'!A:A,'Price list'!B:B),0)</f>
        <v>35000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1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3897</v>
      </c>
      <c r="B52" s="3">
        <f>_xlfn.IFNA(_xlfn.XLOOKUP(A52,'Price list'!A:A,'Price list'!B:B),0)</f>
        <v>35000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3898</v>
      </c>
      <c r="B53" s="3">
        <f>_xlfn.IFNA(_xlfn.XLOOKUP(A53,'Price list'!A:A,'Price list'!B:B),0)</f>
        <v>35000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1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s="196" customFormat="1" x14ac:dyDescent="0.35">
      <c r="A54" s="196" t="s">
        <v>3899</v>
      </c>
      <c r="B54" s="197">
        <f>_xlfn.IFNA(_xlfn.XLOOKUP(A54,'Price list'!A:A,'Price list'!B:B),0)</f>
        <v>35000</v>
      </c>
      <c r="C54" s="196" t="s">
        <v>9</v>
      </c>
      <c r="E54" s="197"/>
      <c r="F54" s="197"/>
      <c r="G54" s="197" t="s">
        <v>701</v>
      </c>
      <c r="H54" s="197" t="str">
        <f>IF(G54=0,"",_xlfn.XLOOKUP(G54,List_item!A:A,List_item!B:B))</f>
        <v>Karkas Uk 0.7 Karkas Uk 0.7 Frozen Grade A</v>
      </c>
      <c r="I54" s="197">
        <v>3.1</v>
      </c>
      <c r="J54" s="198">
        <f t="shared" si="4"/>
        <v>6.8888888888888895E-4</v>
      </c>
      <c r="K54" s="197">
        <f t="shared" si="0"/>
        <v>108500</v>
      </c>
      <c r="L54" s="199">
        <f t="shared" si="1"/>
        <v>37339.602264413581</v>
      </c>
      <c r="M54" s="197">
        <f t="shared" si="2"/>
        <v>115752.7670196821</v>
      </c>
      <c r="N54" s="197">
        <f t="shared" si="3"/>
        <v>-2339.602264413581</v>
      </c>
      <c r="O54" s="197">
        <f t="shared" si="5"/>
        <v>-7252.7670196820982</v>
      </c>
      <c r="P54" s="197"/>
    </row>
    <row r="55" spans="1:16" s="196" customFormat="1" x14ac:dyDescent="0.35">
      <c r="A55" s="196" t="s">
        <v>3900</v>
      </c>
      <c r="B55" s="197">
        <f>_xlfn.IFNA(_xlfn.XLOOKUP(A55,'Price list'!A:A,'Price list'!B:B),0)</f>
        <v>35000</v>
      </c>
      <c r="C55" s="196" t="s">
        <v>9</v>
      </c>
      <c r="E55" s="197"/>
      <c r="F55" s="197"/>
      <c r="G55" s="197" t="s">
        <v>766</v>
      </c>
      <c r="H55" s="197" t="str">
        <f>IF(G55=0,"",_xlfn.XLOOKUP(G55,List_item!A:A,List_item!B:B))</f>
        <v>Karkas Uk 0.8 Karkas Uk 0.8 Frozen Grade A</v>
      </c>
      <c r="I55" s="197">
        <v>5.3</v>
      </c>
      <c r="J55" s="198">
        <f t="shared" si="4"/>
        <v>1.1777777777777778E-3</v>
      </c>
      <c r="K55" s="197">
        <f t="shared" si="0"/>
        <v>185500</v>
      </c>
      <c r="L55" s="199">
        <f t="shared" si="1"/>
        <v>37339.602264413588</v>
      </c>
      <c r="M55" s="197">
        <f t="shared" si="2"/>
        <v>197899.892001392</v>
      </c>
      <c r="N55" s="197">
        <f t="shared" si="3"/>
        <v>-2339.6022644135883</v>
      </c>
      <c r="O55" s="197">
        <f t="shared" si="5"/>
        <v>-12399.892001392</v>
      </c>
      <c r="P55" s="197"/>
    </row>
    <row r="56" spans="1:16" s="196" customFormat="1" x14ac:dyDescent="0.35">
      <c r="A56" s="196" t="s">
        <v>3901</v>
      </c>
      <c r="B56" s="197">
        <f>_xlfn.IFNA(_xlfn.XLOOKUP(A56,'Price list'!A:A,'Price list'!B:B),0)</f>
        <v>35000</v>
      </c>
      <c r="C56" s="196" t="s">
        <v>9</v>
      </c>
      <c r="E56" s="197"/>
      <c r="F56" s="197"/>
      <c r="G56" s="197" t="s">
        <v>831</v>
      </c>
      <c r="H56" s="197" t="str">
        <f>IF(G56=0,"",_xlfn.XLOOKUP(G56,List_item!A:A,List_item!B:B))</f>
        <v>Karkas Uk 0.9 Karkas Uk 0.9 Frozen Grade A</v>
      </c>
      <c r="I56" s="197">
        <v>18.7</v>
      </c>
      <c r="J56" s="198">
        <f t="shared" si="4"/>
        <v>4.1555555555555556E-3</v>
      </c>
      <c r="K56" s="197">
        <f t="shared" si="0"/>
        <v>654500</v>
      </c>
      <c r="L56" s="199">
        <f t="shared" si="1"/>
        <v>37339.602264413581</v>
      </c>
      <c r="M56" s="197">
        <f t="shared" si="2"/>
        <v>698250.56234453397</v>
      </c>
      <c r="N56" s="197">
        <f t="shared" si="3"/>
        <v>-2339.602264413581</v>
      </c>
      <c r="O56" s="197">
        <f t="shared" si="5"/>
        <v>-43750.562344533973</v>
      </c>
      <c r="P56" s="197"/>
    </row>
    <row r="57" spans="1:16" s="196" customFormat="1" x14ac:dyDescent="0.35">
      <c r="A57" s="196" t="s">
        <v>3902</v>
      </c>
      <c r="B57" s="197">
        <f>_xlfn.IFNA(_xlfn.XLOOKUP(A57,'Price list'!A:A,'Price list'!B:B),0)</f>
        <v>35000</v>
      </c>
      <c r="C57" s="196" t="s">
        <v>9</v>
      </c>
      <c r="E57" s="197"/>
      <c r="F57" s="197"/>
      <c r="G57" s="197" t="s">
        <v>896</v>
      </c>
      <c r="H57" s="197" t="str">
        <f>IF(G57=0,"",_xlfn.XLOOKUP(G57,List_item!A:A,List_item!B:B))</f>
        <v>Karkas Uk 1.0 Karkas Uk 1.0 Frozen Grade A</v>
      </c>
      <c r="I57" s="197">
        <v>84.8</v>
      </c>
      <c r="J57" s="198">
        <f t="shared" si="4"/>
        <v>1.8844444444444445E-2</v>
      </c>
      <c r="K57" s="197">
        <f t="shared" si="0"/>
        <v>2968000</v>
      </c>
      <c r="L57" s="199">
        <f t="shared" si="1"/>
        <v>37339.602264413588</v>
      </c>
      <c r="M57" s="197">
        <f t="shared" si="2"/>
        <v>3166398.272022272</v>
      </c>
      <c r="N57" s="197">
        <f t="shared" si="3"/>
        <v>-2339.6022644135883</v>
      </c>
      <c r="O57" s="197">
        <f t="shared" si="5"/>
        <v>-198398.27202227199</v>
      </c>
      <c r="P57" s="197"/>
    </row>
    <row r="58" spans="1:16" s="196" customFormat="1" x14ac:dyDescent="0.35">
      <c r="A58" s="196" t="s">
        <v>3903</v>
      </c>
      <c r="B58" s="197">
        <f>_xlfn.IFNA(_xlfn.XLOOKUP(A58,'Price list'!A:A,'Price list'!B:B),0)</f>
        <v>35000</v>
      </c>
      <c r="C58" s="196" t="s">
        <v>9</v>
      </c>
      <c r="E58" s="197"/>
      <c r="F58" s="197"/>
      <c r="G58" s="197" t="s">
        <v>962</v>
      </c>
      <c r="H58" s="197" t="str">
        <f>IF(G58=0,"",_xlfn.XLOOKUP(G58,List_item!A:A,List_item!B:B))</f>
        <v>Karkas Uk 1.1 Karkas Uk 1.1 Frozen Grade A</v>
      </c>
      <c r="I58" s="197">
        <v>77.8</v>
      </c>
      <c r="J58" s="198">
        <f t="shared" si="4"/>
        <v>1.7288888888888888E-2</v>
      </c>
      <c r="K58" s="197">
        <f t="shared" si="0"/>
        <v>2723000</v>
      </c>
      <c r="L58" s="199">
        <f t="shared" si="1"/>
        <v>37339.602264413581</v>
      </c>
      <c r="M58" s="197">
        <f t="shared" si="2"/>
        <v>2905021.0561713767</v>
      </c>
      <c r="N58" s="197">
        <f t="shared" si="3"/>
        <v>-2339.602264413581</v>
      </c>
      <c r="O58" s="197">
        <f t="shared" si="5"/>
        <v>-182021.05617137672</v>
      </c>
      <c r="P58" s="197"/>
    </row>
    <row r="59" spans="1:16" s="196" customFormat="1" x14ac:dyDescent="0.35">
      <c r="A59" s="196" t="s">
        <v>3904</v>
      </c>
      <c r="B59" s="197">
        <f>_xlfn.IFNA(_xlfn.XLOOKUP(A59,'Price list'!A:A,'Price list'!B:B),0)</f>
        <v>35000</v>
      </c>
      <c r="C59" s="196" t="s">
        <v>9</v>
      </c>
      <c r="E59" s="197"/>
      <c r="F59" s="197"/>
      <c r="G59" s="197" t="s">
        <v>1028</v>
      </c>
      <c r="H59" s="197" t="str">
        <f>IF(G59=0,"",_xlfn.XLOOKUP(G59,List_item!A:A,List_item!B:B))</f>
        <v>Karkas Uk 1.2 Karkas Uk 1.2 Frozen Grade A</v>
      </c>
      <c r="I59" s="197">
        <v>56.2</v>
      </c>
      <c r="J59" s="198">
        <f t="shared" si="4"/>
        <v>1.248888888888889E-2</v>
      </c>
      <c r="K59" s="197">
        <f t="shared" si="0"/>
        <v>1967000</v>
      </c>
      <c r="L59" s="199">
        <f t="shared" si="1"/>
        <v>37339.602264413581</v>
      </c>
      <c r="M59" s="197">
        <f t="shared" si="2"/>
        <v>2098485.6472600433</v>
      </c>
      <c r="N59" s="197">
        <f t="shared" si="3"/>
        <v>-2339.602264413581</v>
      </c>
      <c r="O59" s="197">
        <f t="shared" si="5"/>
        <v>-131485.6472600433</v>
      </c>
      <c r="P59" s="197"/>
    </row>
    <row r="60" spans="1:16" s="196" customFormat="1" x14ac:dyDescent="0.35">
      <c r="A60" s="196" t="s">
        <v>3905</v>
      </c>
      <c r="B60" s="197">
        <f>_xlfn.IFNA(_xlfn.XLOOKUP(A60,'Price list'!A:A,'Price list'!B:B),0)</f>
        <v>35000</v>
      </c>
      <c r="C60" s="196" t="s">
        <v>9</v>
      </c>
      <c r="E60" s="197"/>
      <c r="F60" s="197"/>
      <c r="G60" s="197" t="s">
        <v>1194</v>
      </c>
      <c r="H60" s="197" t="str">
        <f>IF(G60=0,"",_xlfn.XLOOKUP(G60,List_item!A:A,List_item!B:B))</f>
        <v>Karkas Uk 1.5 Karkas Uk 1.5 Fresh Grade A</v>
      </c>
      <c r="I60" s="197">
        <v>8.1</v>
      </c>
      <c r="J60" s="198">
        <f t="shared" si="4"/>
        <v>1.8E-3</v>
      </c>
      <c r="K60" s="197">
        <f t="shared" si="0"/>
        <v>283500</v>
      </c>
      <c r="L60" s="199">
        <f t="shared" si="1"/>
        <v>37339.602264413588</v>
      </c>
      <c r="M60" s="197">
        <f t="shared" si="2"/>
        <v>302450.77834175003</v>
      </c>
      <c r="N60" s="197">
        <f t="shared" si="3"/>
        <v>-2339.6022644135883</v>
      </c>
      <c r="O60" s="197">
        <f t="shared" si="5"/>
        <v>-18950.778341750032</v>
      </c>
      <c r="P60" s="197"/>
    </row>
    <row r="61" spans="1:16" x14ac:dyDescent="0.35">
      <c r="A61" t="s">
        <v>3906</v>
      </c>
      <c r="B61" s="3">
        <f>_xlfn.IFNA(_xlfn.XLOOKUP(A61,'Price list'!A:A,'Price list'!B:B),0)</f>
        <v>35000</v>
      </c>
      <c r="C61" t="s">
        <v>9</v>
      </c>
      <c r="E61" s="3"/>
      <c r="F61" s="3"/>
      <c r="G61" s="3"/>
      <c r="H61" s="3" t="str">
        <f>IF(G61=0,"",_xlfn.XLOOKUP(G61,List_item!A:A,List_item!B:B))</f>
        <v/>
      </c>
      <c r="I61" s="3">
        <v>0</v>
      </c>
      <c r="J61" s="26">
        <f t="shared" si="4"/>
        <v>0</v>
      </c>
      <c r="K61" s="3">
        <f t="shared" si="0"/>
        <v>0</v>
      </c>
      <c r="L61" s="27">
        <f t="shared" si="1"/>
        <v>0</v>
      </c>
      <c r="M61" s="3">
        <f t="shared" si="2"/>
        <v>0</v>
      </c>
      <c r="N61" s="3">
        <f t="shared" si="3"/>
        <v>0</v>
      </c>
      <c r="O61" s="3">
        <f t="shared" si="5"/>
        <v>0</v>
      </c>
      <c r="P61" s="3"/>
    </row>
    <row r="62" spans="1:16" x14ac:dyDescent="0.35">
      <c r="A62" t="s">
        <v>3907</v>
      </c>
      <c r="B62" s="3">
        <f>_xlfn.IFNA(_xlfn.XLOOKUP(A62,'Price list'!A:A,'Price list'!B:B),0)</f>
        <v>35000</v>
      </c>
      <c r="C62" t="s">
        <v>9</v>
      </c>
      <c r="E62" s="3"/>
      <c r="F62" s="3"/>
      <c r="G62" s="3"/>
      <c r="H62" s="3" t="str">
        <f>IF(G62=0,"",_xlfn.XLOOKUP(G62,List_item!A:A,List_item!B:B))</f>
        <v/>
      </c>
      <c r="I62" s="3">
        <v>0</v>
      </c>
      <c r="J62" s="26">
        <f t="shared" si="4"/>
        <v>0</v>
      </c>
      <c r="K62" s="3">
        <f t="shared" si="0"/>
        <v>0</v>
      </c>
      <c r="L62" s="27">
        <f t="shared" si="1"/>
        <v>0</v>
      </c>
      <c r="M62" s="3">
        <f t="shared" si="2"/>
        <v>0</v>
      </c>
      <c r="N62" s="3">
        <f t="shared" si="3"/>
        <v>0</v>
      </c>
      <c r="O62" s="3">
        <f t="shared" si="5"/>
        <v>0</v>
      </c>
      <c r="P62" s="3"/>
    </row>
    <row r="63" spans="1:16" x14ac:dyDescent="0.35">
      <c r="A63" t="s">
        <v>3908</v>
      </c>
      <c r="B63" s="3">
        <f>_xlfn.IFNA(_xlfn.XLOOKUP(A63,'Price list'!A:A,'Price list'!B:B),0)</f>
        <v>35000</v>
      </c>
      <c r="C63" t="s">
        <v>9</v>
      </c>
      <c r="E63" s="3"/>
      <c r="F63" s="3"/>
      <c r="G63" s="3"/>
      <c r="H63" s="3" t="str">
        <f>IF(G63=0,"",_xlfn.XLOOKUP(G63,List_item!A:A,List_item!B:B))</f>
        <v/>
      </c>
      <c r="I63" s="3">
        <v>0</v>
      </c>
      <c r="J63" s="26">
        <f t="shared" si="4"/>
        <v>0</v>
      </c>
      <c r="K63" s="3">
        <f t="shared" si="0"/>
        <v>0</v>
      </c>
      <c r="L63" s="27">
        <f t="shared" si="1"/>
        <v>0</v>
      </c>
      <c r="M63" s="3">
        <f t="shared" si="2"/>
        <v>0</v>
      </c>
      <c r="N63" s="3">
        <f t="shared" si="3"/>
        <v>0</v>
      </c>
      <c r="O63" s="3">
        <f t="shared" si="5"/>
        <v>0</v>
      </c>
      <c r="P63" s="3"/>
    </row>
    <row r="64" spans="1:16" x14ac:dyDescent="0.35">
      <c r="A64" t="s">
        <v>3909</v>
      </c>
      <c r="B64" s="3">
        <f>_xlfn.IFNA(_xlfn.XLOOKUP(A64,'Price list'!A:A,'Price list'!B:B),0)</f>
        <v>35000</v>
      </c>
      <c r="C64" t="s">
        <v>9</v>
      </c>
      <c r="E64" s="3"/>
      <c r="F64" s="3"/>
      <c r="G64" s="3"/>
      <c r="H64" s="3" t="str">
        <f>IF(G64=0,"",_xlfn.XLOOKUP(G64,List_item!A:A,List_item!B:B))</f>
        <v/>
      </c>
      <c r="I64" s="3">
        <v>0</v>
      </c>
      <c r="J64" s="26">
        <f t="shared" si="4"/>
        <v>0</v>
      </c>
      <c r="K64" s="3">
        <f t="shared" si="0"/>
        <v>0</v>
      </c>
      <c r="L64" s="27">
        <f t="shared" si="1"/>
        <v>0</v>
      </c>
      <c r="M64" s="3">
        <f t="shared" si="2"/>
        <v>0</v>
      </c>
      <c r="N64" s="3">
        <f t="shared" si="3"/>
        <v>0</v>
      </c>
      <c r="O64" s="3">
        <f t="shared" si="5"/>
        <v>0</v>
      </c>
      <c r="P64" s="3"/>
    </row>
    <row r="65" spans="1:16" x14ac:dyDescent="0.35">
      <c r="A65" t="s">
        <v>3945</v>
      </c>
      <c r="B65" s="3">
        <f>_xlfn.IFNA(_xlfn.XLOOKUP(A65,'Price list'!A:A,'Price list'!B:B),0)</f>
        <v>35000</v>
      </c>
      <c r="C65" t="s">
        <v>9</v>
      </c>
      <c r="E65" s="3"/>
      <c r="F65" s="3"/>
      <c r="G65" s="3"/>
      <c r="H65" s="3" t="str">
        <f>IF(G65=0,"",_xlfn.XLOOKUP(G65,List_item!A:A,List_item!B:B))</f>
        <v/>
      </c>
      <c r="I65" s="3">
        <v>0</v>
      </c>
      <c r="J65" s="26">
        <f t="shared" si="4"/>
        <v>0</v>
      </c>
      <c r="K65" s="3">
        <f t="shared" si="0"/>
        <v>0</v>
      </c>
      <c r="L65" s="27">
        <f t="shared" si="1"/>
        <v>0</v>
      </c>
      <c r="M65" s="3">
        <f t="shared" si="2"/>
        <v>0</v>
      </c>
      <c r="N65" s="3">
        <f t="shared" si="3"/>
        <v>0</v>
      </c>
      <c r="O65" s="3">
        <f t="shared" si="5"/>
        <v>0</v>
      </c>
      <c r="P65" s="3"/>
    </row>
    <row r="66" spans="1:16" x14ac:dyDescent="0.35">
      <c r="A66" t="s">
        <v>3911</v>
      </c>
      <c r="B66" s="3">
        <f>_xlfn.IFNA(_xlfn.XLOOKUP(A66,'Price list'!A:A,'Price list'!B:B),0)</f>
        <v>35000</v>
      </c>
      <c r="C66" t="s">
        <v>9</v>
      </c>
      <c r="E66" s="3"/>
      <c r="F66" s="3"/>
      <c r="G66" s="3"/>
      <c r="H66" s="3" t="str">
        <f>IF(G66=0,"",_xlfn.XLOOKUP(G66,List_item!A:A,List_item!B:B))</f>
        <v/>
      </c>
      <c r="I66" s="3">
        <v>0</v>
      </c>
      <c r="J66" s="26">
        <f t="shared" si="4"/>
        <v>0</v>
      </c>
      <c r="K66" s="3">
        <f t="shared" si="0"/>
        <v>0</v>
      </c>
      <c r="L66" s="27">
        <f t="shared" si="1"/>
        <v>0</v>
      </c>
      <c r="M66" s="3">
        <f t="shared" si="2"/>
        <v>0</v>
      </c>
      <c r="N66" s="3">
        <f t="shared" si="3"/>
        <v>0</v>
      </c>
      <c r="O66" s="3">
        <f t="shared" si="5"/>
        <v>0</v>
      </c>
      <c r="P66" s="3"/>
    </row>
    <row r="67" spans="1:16" x14ac:dyDescent="0.35">
      <c r="A67" t="s">
        <v>3912</v>
      </c>
      <c r="B67" s="3">
        <f>_xlfn.IFNA(_xlfn.XLOOKUP(A67,'Price list'!A:A,'Price list'!B:B),0)</f>
        <v>35000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6" x14ac:dyDescent="0.35">
      <c r="A68" t="s">
        <v>3913</v>
      </c>
      <c r="B68" s="3">
        <f>_xlfn.IFNA(_xlfn.XLOOKUP(A68,'Price list'!A:A,'Price list'!B:B),0)</f>
        <v>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6" x14ac:dyDescent="0.35">
      <c r="A69" t="s">
        <v>3914</v>
      </c>
      <c r="B69" s="3">
        <f>_xlfn.IFNA(_xlfn.XLOOKUP(A69,'Price list'!A:A,'Price list'!B:B),0)</f>
        <v>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6" x14ac:dyDescent="0.35">
      <c r="A70" t="s">
        <v>3915</v>
      </c>
      <c r="B70" s="3">
        <f>_xlfn.IFNA(_xlfn.XLOOKUP(A70,'Price list'!A:A,'Price list'!B:B),0)</f>
        <v>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6" x14ac:dyDescent="0.35">
      <c r="A71" t="s">
        <v>3916</v>
      </c>
      <c r="B71" s="3">
        <f>_xlfn.IFNA(_xlfn.XLOOKUP(A71,'Price list'!A:A,'Price list'!B:B),0)</f>
        <v>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1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6" x14ac:dyDescent="0.35">
      <c r="A72" t="s">
        <v>3917</v>
      </c>
      <c r="B72" s="3">
        <f>_xlfn.IFNA(_xlfn.XLOOKUP(A72,'Price list'!A:A,'Price list'!B:B),0)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1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6" x14ac:dyDescent="0.35">
      <c r="A73" t="s">
        <v>3918</v>
      </c>
      <c r="B73" s="3">
        <f>_xlfn.IFNA(_xlfn.XLOOKUP(A73,'Price list'!A:A,'Price list'!B:B),0)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6" x14ac:dyDescent="0.35">
      <c r="A74" t="s">
        <v>3919</v>
      </c>
      <c r="B74" s="3">
        <f>_xlfn.IFNA(_xlfn.XLOOKUP(A74,'Price list'!A:A,'Price list'!B:B),0)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6" x14ac:dyDescent="0.35">
      <c r="A75" t="s">
        <v>3920</v>
      </c>
      <c r="B75" s="3">
        <f>_xlfn.IFNA(_xlfn.XLOOKUP(A75,'Price list'!A:A,'Price list'!B:B),0)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ref="K75:K79" si="6">+B75*(F75+I75)</f>
        <v>0</v>
      </c>
      <c r="L75" s="27">
        <f t="shared" ref="L75:L79" si="7">IFERROR(((K75/SUM($K$11:$K$79))*$F$10)/(F75+I75),0)</f>
        <v>0</v>
      </c>
      <c r="M75" s="3">
        <f t="shared" ref="M75:M79" si="8">+L75*(F75+I75)</f>
        <v>0</v>
      </c>
      <c r="N75" s="3">
        <f t="shared" ref="N75:N79" si="9">IF(L75=0,0,B75-L75)</f>
        <v>0</v>
      </c>
      <c r="O75" s="3">
        <f t="shared" si="5"/>
        <v>0</v>
      </c>
      <c r="P75" s="3"/>
    </row>
    <row r="76" spans="1:16" x14ac:dyDescent="0.35">
      <c r="A76" t="s">
        <v>3921</v>
      </c>
      <c r="B76" s="3">
        <f>_xlfn.IFNA(_xlfn.XLOOKUP(A76,'Price list'!A:A,'Price list'!B:B),0)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ref="J76:J79" si="10">IF(F76/J$5&gt;0,F76/J$5,I76/J$5)</f>
        <v>0</v>
      </c>
      <c r="K76" s="3">
        <f t="shared" si="6"/>
        <v>0</v>
      </c>
      <c r="L76" s="27">
        <f t="shared" si="7"/>
        <v>0</v>
      </c>
      <c r="M76" s="3">
        <f t="shared" si="8"/>
        <v>0</v>
      </c>
      <c r="N76" s="3">
        <f t="shared" si="9"/>
        <v>0</v>
      </c>
      <c r="O76" s="3">
        <f t="shared" ref="O76:O79" si="11">+K76-M76</f>
        <v>0</v>
      </c>
      <c r="P76" s="3"/>
    </row>
    <row r="77" spans="1:16" x14ac:dyDescent="0.35">
      <c r="A77" t="s">
        <v>3922</v>
      </c>
      <c r="B77" s="3">
        <f>_xlfn.IFNA(_xlfn.XLOOKUP(A77,'Price list'!A:A,'Price list'!B:B),0)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si="10"/>
        <v>0</v>
      </c>
      <c r="K77" s="3">
        <f t="shared" si="6"/>
        <v>0</v>
      </c>
      <c r="L77" s="27">
        <f t="shared" si="7"/>
        <v>0</v>
      </c>
      <c r="M77" s="3">
        <f t="shared" si="8"/>
        <v>0</v>
      </c>
      <c r="N77" s="3">
        <f t="shared" si="9"/>
        <v>0</v>
      </c>
      <c r="O77" s="3">
        <f t="shared" si="11"/>
        <v>0</v>
      </c>
      <c r="P77" s="3"/>
    </row>
    <row r="78" spans="1:16" x14ac:dyDescent="0.35">
      <c r="A78" t="s">
        <v>3923</v>
      </c>
      <c r="B78" s="3">
        <f>_xlfn.IFNA(_xlfn.XLOOKUP(A78,'Price list'!A:A,'Price list'!B:B),0)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10"/>
        <v>0</v>
      </c>
      <c r="K78" s="3">
        <f t="shared" si="6"/>
        <v>0</v>
      </c>
      <c r="L78" s="27">
        <f t="shared" si="7"/>
        <v>0</v>
      </c>
      <c r="M78" s="3">
        <f t="shared" si="8"/>
        <v>0</v>
      </c>
      <c r="N78" s="3">
        <f t="shared" si="9"/>
        <v>0</v>
      </c>
      <c r="O78" s="3">
        <f t="shared" si="11"/>
        <v>0</v>
      </c>
      <c r="P78" s="3"/>
    </row>
    <row r="79" spans="1:16" x14ac:dyDescent="0.35">
      <c r="A79" t="s">
        <v>3924</v>
      </c>
      <c r="B79" s="3">
        <f>_xlfn.IFNA(_xlfn.XLOOKUP(A79,'Price list'!A:A,'Price list'!B:B),0)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10"/>
        <v>0</v>
      </c>
      <c r="K79" s="3">
        <f t="shared" si="6"/>
        <v>0</v>
      </c>
      <c r="L79" s="27">
        <f t="shared" si="7"/>
        <v>0</v>
      </c>
      <c r="M79" s="3">
        <f t="shared" si="8"/>
        <v>0</v>
      </c>
      <c r="N79" s="3">
        <f t="shared" si="9"/>
        <v>0</v>
      </c>
      <c r="O79" s="3">
        <f t="shared" si="11"/>
        <v>0</v>
      </c>
      <c r="P79" s="3"/>
    </row>
    <row r="82" spans="1:7" x14ac:dyDescent="0.35">
      <c r="A82" t="s">
        <v>3929</v>
      </c>
      <c r="B82"/>
      <c r="E82"/>
      <c r="F82" s="117"/>
      <c r="G82" t="s">
        <v>3930</v>
      </c>
    </row>
    <row r="83" spans="1:7" x14ac:dyDescent="0.35">
      <c r="B83"/>
      <c r="E83"/>
      <c r="F83" s="117"/>
      <c r="G83"/>
    </row>
    <row r="84" spans="1:7" x14ac:dyDescent="0.35">
      <c r="B84"/>
      <c r="E84"/>
      <c r="F84" s="117"/>
      <c r="G84"/>
    </row>
    <row r="85" spans="1:7" x14ac:dyDescent="0.35">
      <c r="B85"/>
      <c r="E85"/>
      <c r="F85" s="117"/>
      <c r="G85"/>
    </row>
    <row r="86" spans="1:7" x14ac:dyDescent="0.35">
      <c r="B86"/>
      <c r="E86"/>
      <c r="F86" s="117"/>
      <c r="G86"/>
    </row>
    <row r="87" spans="1:7" x14ac:dyDescent="0.35">
      <c r="B87"/>
      <c r="E87"/>
      <c r="F87" s="117"/>
      <c r="G87"/>
    </row>
    <row r="88" spans="1:7" x14ac:dyDescent="0.35">
      <c r="A88" s="118"/>
      <c r="B88"/>
      <c r="E88"/>
      <c r="F88" s="117"/>
      <c r="G88" s="118"/>
    </row>
    <row r="89" spans="1:7" x14ac:dyDescent="0.35">
      <c r="B89"/>
      <c r="E89"/>
      <c r="F89" s="117"/>
      <c r="G89"/>
    </row>
  </sheetData>
  <autoFilter ref="A10:P79" xr:uid="{9E3D57EB-0D9F-40FE-B4FE-C94EEFF00F8F}"/>
  <conditionalFormatting sqref="O10">
    <cfRule type="cellIs" dxfId="2" priority="1" operator="lessThan">
      <formula>0</formula>
    </cfRule>
  </conditionalFormatting>
  <pageMargins left="0.7" right="0.7" top="0.75" bottom="0.75" header="0.3" footer="0.3"/>
  <pageSetup paperSize="9" scale="53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BED8-D66B-4608-BE99-529FD5C6B451}">
  <sheetPr>
    <pageSetUpPr fitToPage="1"/>
  </sheetPr>
  <dimension ref="A1:R90"/>
  <sheetViews>
    <sheetView tabSelected="1" zoomScale="80" zoomScaleNormal="80" workbookViewId="0">
      <pane xSplit="3" ySplit="9" topLeftCell="D45" activePane="bottomRight" state="frozen"/>
      <selection activeCell="A751" sqref="A751"/>
      <selection pane="topRight" activeCell="A751" sqref="A751"/>
      <selection pane="bottomLeft" activeCell="A751" sqref="A751"/>
      <selection pane="bottomRight" activeCell="H54" sqref="A54:XFD66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4.26953125" style="2" bestFit="1" customWidth="1"/>
    <col min="6" max="6" width="16.26953125" style="2" customWidth="1"/>
    <col min="7" max="7" width="24.1796875" style="2" bestFit="1" customWidth="1"/>
    <col min="8" max="8" width="42.453125" style="2" bestFit="1" customWidth="1"/>
    <col min="9" max="9" width="12.26953125" style="2" bestFit="1" customWidth="1"/>
    <col min="10" max="10" width="11.26953125" style="2" bestFit="1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s="18" t="s">
        <v>3865</v>
      </c>
      <c r="F2" s="155">
        <v>46266</v>
      </c>
      <c r="G2" s="19" t="s">
        <v>3943</v>
      </c>
    </row>
    <row r="3" spans="1:18" x14ac:dyDescent="0.35">
      <c r="A3" s="101" t="s">
        <v>3866</v>
      </c>
      <c r="B3" s="2">
        <v>398611680</v>
      </c>
      <c r="C3" s="19">
        <f>B3*0.25%</f>
        <v>996529.20000000007</v>
      </c>
      <c r="E3" s="2">
        <f>B3-361200000</f>
        <v>37411680</v>
      </c>
      <c r="F3" s="2" t="s">
        <v>4090</v>
      </c>
      <c r="G3" s="3" t="s">
        <v>3999</v>
      </c>
      <c r="H3" s="2" t="s">
        <v>4089</v>
      </c>
      <c r="I3" s="101" t="s">
        <v>3870</v>
      </c>
      <c r="J3" s="2" t="s">
        <v>3993</v>
      </c>
      <c r="Q3" s="25"/>
      <c r="R3" s="2"/>
    </row>
    <row r="4" spans="1:18" x14ac:dyDescent="0.35">
      <c r="A4" s="101" t="s">
        <v>3867</v>
      </c>
      <c r="B4" s="2">
        <v>13500000</v>
      </c>
      <c r="C4">
        <f>B4/J5</f>
        <v>865.9619233335045</v>
      </c>
      <c r="F4" s="2" t="s">
        <v>4091</v>
      </c>
      <c r="G4" s="2" t="s">
        <v>3997</v>
      </c>
      <c r="I4" s="101" t="s">
        <v>3872</v>
      </c>
      <c r="J4" s="115">
        <v>46266</v>
      </c>
      <c r="K4" s="2" t="s">
        <v>4032</v>
      </c>
      <c r="M4" s="2" t="s">
        <v>4031</v>
      </c>
      <c r="N4" s="2" t="s">
        <v>4039</v>
      </c>
      <c r="O4" s="2" t="s">
        <v>4040</v>
      </c>
    </row>
    <row r="5" spans="1:18" x14ac:dyDescent="0.35">
      <c r="A5" s="101" t="s">
        <v>3868</v>
      </c>
      <c r="B5" s="2">
        <v>21573600</v>
      </c>
      <c r="C5" s="6">
        <v>23946720</v>
      </c>
      <c r="G5" s="2" t="s">
        <v>3998</v>
      </c>
      <c r="H5" s="2" t="s">
        <v>4088</v>
      </c>
      <c r="I5" s="101" t="s">
        <v>3944</v>
      </c>
      <c r="J5" s="19">
        <f>4500+3245+3911.8+3932.8</f>
        <v>15589.599999999999</v>
      </c>
      <c r="K5" s="2">
        <v>14966.7</v>
      </c>
      <c r="L5" s="2">
        <f>J5-K5</f>
        <v>622.89999999999782</v>
      </c>
      <c r="M5" s="147">
        <f>L5/J5</f>
        <v>3.9956124595884303E-2</v>
      </c>
      <c r="N5" s="2">
        <f>21+14+30</f>
        <v>65</v>
      </c>
      <c r="O5" s="2">
        <f>25.4+18.2+60.6</f>
        <v>104.19999999999999</v>
      </c>
    </row>
    <row r="6" spans="1:18" x14ac:dyDescent="0.35">
      <c r="A6" s="102" t="s">
        <v>3869</v>
      </c>
      <c r="B6" s="19">
        <f>SUM(B3:B5)</f>
        <v>433685280</v>
      </c>
      <c r="H6" s="2">
        <v>36582.2961</v>
      </c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SUM(K11:K66)/M10-1</f>
        <v>-3.7056895267462142E-2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20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v>7000</v>
      </c>
      <c r="F10" s="5">
        <f>+B6</f>
        <v>433685280</v>
      </c>
      <c r="G10" s="5"/>
      <c r="H10" s="5"/>
      <c r="I10" s="5">
        <f>SUM(I11:I80)</f>
        <v>13755.899999999998</v>
      </c>
      <c r="J10" s="111">
        <f>SUM(J11:J80)</f>
        <v>0.88237671268024864</v>
      </c>
      <c r="K10" s="5">
        <f>+SUM(K11:K80)</f>
        <v>417614250</v>
      </c>
      <c r="L10" s="5"/>
      <c r="M10" s="5">
        <f>+SUM(M11:M80)</f>
        <v>433685280</v>
      </c>
      <c r="N10" s="5"/>
      <c r="O10" s="5">
        <f>+SUM(O11:O80)</f>
        <v>-16071029.999999989</v>
      </c>
    </row>
    <row r="11" spans="1:18" x14ac:dyDescent="0.35">
      <c r="A11" t="s">
        <v>3873</v>
      </c>
      <c r="B11" s="3">
        <f>_xlfn.IFNA(_xlfn.XLOOKUP(A11,'Price list'!A:A,'Price list'!B:B),0)</f>
        <v>0</v>
      </c>
      <c r="C11" t="s">
        <v>9</v>
      </c>
      <c r="E11" s="3"/>
      <c r="F11" s="3"/>
      <c r="G11" s="3"/>
      <c r="H11" s="3" t="str">
        <f>IF(G11=0,"",_xlfn.XLOOKUP(G11,List_item!A:A,List_item!B:B))</f>
        <v/>
      </c>
      <c r="I11" s="3">
        <v>0</v>
      </c>
      <c r="J11" s="26">
        <f>IF(F11/J$5&gt;0,F11/J$5,I11/J$5)</f>
        <v>0</v>
      </c>
      <c r="K11" s="3">
        <f t="shared" ref="K11:K75" si="0">+B11*(F11+I11)</f>
        <v>0</v>
      </c>
      <c r="L11" s="27">
        <f t="shared" ref="L11:L42" si="1">IFERROR(((K11/SUM($K$11:$K$80))*$F$10)/(F11+I11),0)</f>
        <v>0</v>
      </c>
      <c r="M11" s="3">
        <f t="shared" ref="M11:M75" si="2">+L11*(F11+I11)</f>
        <v>0</v>
      </c>
      <c r="N11" s="3">
        <f t="shared" ref="N11:N75" si="3">IF(L11=0,0,B11-L11)</f>
        <v>0</v>
      </c>
      <c r="O11" s="3">
        <f>+K11-M11</f>
        <v>0</v>
      </c>
      <c r="P11" s="3"/>
    </row>
    <row r="12" spans="1:18" x14ac:dyDescent="0.35">
      <c r="A12" t="s">
        <v>3874</v>
      </c>
      <c r="B12" s="3">
        <f>_xlfn.IFNA(_xlfn.XLOOKUP(A12,'Price list'!A:A,'Price list'!B:B),0)</f>
        <v>0</v>
      </c>
      <c r="C12" t="s">
        <v>9</v>
      </c>
      <c r="E12" s="3"/>
      <c r="F12" s="3"/>
      <c r="G12" s="3"/>
      <c r="H12" s="3" t="str">
        <f>IF(G12=0,"",_xlfn.XLOOKUP(G12,List_item!A:A,List_item!B:B))</f>
        <v/>
      </c>
      <c r="I12" s="3">
        <v>0</v>
      </c>
      <c r="J12" s="26">
        <f t="shared" ref="J12:J76" si="4">IF(F12/J$5&gt;0,F12/J$5,I12/J$5)</f>
        <v>0</v>
      </c>
      <c r="K12" s="3">
        <f t="shared" si="0"/>
        <v>0</v>
      </c>
      <c r="L12" s="27">
        <f t="shared" si="1"/>
        <v>0</v>
      </c>
      <c r="M12" s="3">
        <f t="shared" si="2"/>
        <v>0</v>
      </c>
      <c r="N12" s="3">
        <f t="shared" si="3"/>
        <v>0</v>
      </c>
      <c r="O12" s="3">
        <f t="shared" ref="O12:O76" si="5">+K12-M12</f>
        <v>0</v>
      </c>
      <c r="P12" s="3"/>
      <c r="R12" s="3"/>
    </row>
    <row r="13" spans="1:18" x14ac:dyDescent="0.35">
      <c r="A13" t="s">
        <v>3875</v>
      </c>
      <c r="B13" s="3">
        <f>_xlfn.IFNA(_xlfn.XLOOKUP(A13,'Price list'!A:A,'Price list'!B:B),0)</f>
        <v>36500</v>
      </c>
      <c r="C13" t="s">
        <v>9</v>
      </c>
      <c r="E13" s="3"/>
      <c r="F13" s="3"/>
      <c r="G13" s="3"/>
      <c r="H13" s="3" t="str">
        <f>IF(G13=0,"",_xlfn.XLOOKUP(G13,List_item!A:A,List_item!B:B))</f>
        <v/>
      </c>
      <c r="I13" s="3">
        <v>0</v>
      </c>
      <c r="J13" s="26">
        <f t="shared" si="4"/>
        <v>0</v>
      </c>
      <c r="K13" s="3">
        <f t="shared" si="0"/>
        <v>0</v>
      </c>
      <c r="L13" s="27">
        <f t="shared" si="1"/>
        <v>0</v>
      </c>
      <c r="M13" s="3">
        <f t="shared" si="2"/>
        <v>0</v>
      </c>
      <c r="N13" s="3">
        <f t="shared" si="3"/>
        <v>0</v>
      </c>
      <c r="O13" s="3">
        <f t="shared" si="5"/>
        <v>0</v>
      </c>
      <c r="P13" s="3"/>
    </row>
    <row r="14" spans="1:18" s="196" customFormat="1" x14ac:dyDescent="0.35">
      <c r="A14" s="196" t="s">
        <v>3876</v>
      </c>
      <c r="B14" s="197">
        <f>_xlfn.IFNA(_xlfn.XLOOKUP(A14,'Price list'!A:A,'Price list'!B:B),0)</f>
        <v>36500</v>
      </c>
      <c r="C14" s="196" t="s">
        <v>9</v>
      </c>
      <c r="E14" s="197"/>
      <c r="F14" s="197"/>
      <c r="G14" s="197" t="s">
        <v>2220</v>
      </c>
      <c r="H14" s="197" t="str">
        <f>IF(G14=0,"",_xlfn.XLOOKUP(G14,List_item!A:A,List_item!B:B))</f>
        <v>Karkas Uk 0.6 Karkas Uk 0.6 Frozen Premium</v>
      </c>
      <c r="I14" s="197">
        <v>29.2</v>
      </c>
      <c r="J14" s="198">
        <f t="shared" si="4"/>
        <v>1.8730435675065429E-3</v>
      </c>
      <c r="K14" s="197">
        <f t="shared" si="0"/>
        <v>1065800</v>
      </c>
      <c r="L14" s="199">
        <f t="shared" si="1"/>
        <v>37904.627823404015</v>
      </c>
      <c r="M14" s="197">
        <f t="shared" si="2"/>
        <v>1106815.1324433973</v>
      </c>
      <c r="N14" s="197">
        <f t="shared" si="3"/>
        <v>-1404.6278234040146</v>
      </c>
      <c r="O14" s="197">
        <f t="shared" si="5"/>
        <v>-41015.132443397306</v>
      </c>
      <c r="P14" s="197"/>
    </row>
    <row r="15" spans="1:18" s="196" customFormat="1" x14ac:dyDescent="0.35">
      <c r="A15" s="196" t="s">
        <v>3877</v>
      </c>
      <c r="B15" s="197">
        <f>_xlfn.IFNA(_xlfn.XLOOKUP(A15,'Price list'!A:A,'Price list'!B:B),0)</f>
        <v>36500</v>
      </c>
      <c r="C15" s="196" t="s">
        <v>9</v>
      </c>
      <c r="G15" s="197" t="s">
        <v>2221</v>
      </c>
      <c r="H15" s="197" t="str">
        <f>IF(G15=0,"",_xlfn.XLOOKUP(G15,List_item!A:A,List_item!B:B))</f>
        <v>Karkas Uk 0.7 Karkas Uk 0.7 Frozen Premium</v>
      </c>
      <c r="I15" s="197">
        <v>153.69999999999999</v>
      </c>
      <c r="J15" s="198">
        <f t="shared" si="4"/>
        <v>9.8591368604710843E-3</v>
      </c>
      <c r="K15" s="197">
        <f t="shared" si="0"/>
        <v>5610050</v>
      </c>
      <c r="L15" s="199">
        <f t="shared" si="1"/>
        <v>37904.627823404015</v>
      </c>
      <c r="M15" s="197">
        <f t="shared" si="2"/>
        <v>5825941.2964571966</v>
      </c>
      <c r="N15" s="197">
        <f t="shared" si="3"/>
        <v>-1404.6278234040146</v>
      </c>
      <c r="O15" s="197">
        <f t="shared" si="5"/>
        <v>-215891.29645719659</v>
      </c>
      <c r="P15" s="197"/>
    </row>
    <row r="16" spans="1:18" s="196" customFormat="1" x14ac:dyDescent="0.35">
      <c r="A16" s="196" t="s">
        <v>3878</v>
      </c>
      <c r="B16" s="197">
        <f>_xlfn.IFNA(_xlfn.XLOOKUP(A16,'Price list'!A:A,'Price list'!B:B),0)</f>
        <v>36500</v>
      </c>
      <c r="C16" s="196" t="s">
        <v>9</v>
      </c>
      <c r="E16" s="197"/>
      <c r="G16" s="197" t="s">
        <v>2222</v>
      </c>
      <c r="H16" s="197" t="str">
        <f>IF(G16=0,"",_xlfn.XLOOKUP(G16,List_item!A:A,List_item!B:B))</f>
        <v>Karkas Uk 0.8 Frozen Premium</v>
      </c>
      <c r="I16" s="197">
        <v>439</v>
      </c>
      <c r="J16" s="198">
        <f t="shared" si="4"/>
        <v>2.8159798840252478E-2</v>
      </c>
      <c r="K16" s="197">
        <f t="shared" si="0"/>
        <v>16023500</v>
      </c>
      <c r="L16" s="199">
        <f t="shared" si="1"/>
        <v>37904.627823404015</v>
      </c>
      <c r="M16" s="197">
        <f t="shared" si="2"/>
        <v>16640131.614474362</v>
      </c>
      <c r="N16" s="197">
        <f t="shared" si="3"/>
        <v>-1404.6278234040146</v>
      </c>
      <c r="O16" s="197">
        <f t="shared" si="5"/>
        <v>-616631.61447436176</v>
      </c>
      <c r="P16" s="197"/>
    </row>
    <row r="17" spans="1:16" s="196" customFormat="1" x14ac:dyDescent="0.35">
      <c r="A17" s="196" t="s">
        <v>3879</v>
      </c>
      <c r="B17" s="197">
        <f>_xlfn.IFNA(_xlfn.XLOOKUP(A17,'Price list'!A:A,'Price list'!B:B),0)</f>
        <v>36500</v>
      </c>
      <c r="C17" s="196" t="s">
        <v>9</v>
      </c>
      <c r="E17" s="200"/>
      <c r="G17" s="197" t="s">
        <v>2223</v>
      </c>
      <c r="H17" s="197" t="str">
        <f>IF(G17=0,"",_xlfn.XLOOKUP(G17,List_item!A:A,List_item!B:B))</f>
        <v>Karkas Uk 0.9 Frozen Premium</v>
      </c>
      <c r="I17" s="197">
        <v>1043.8</v>
      </c>
      <c r="J17" s="198">
        <f t="shared" si="4"/>
        <v>6.6954893005593472E-2</v>
      </c>
      <c r="K17" s="197">
        <f t="shared" si="0"/>
        <v>38098700</v>
      </c>
      <c r="L17" s="199">
        <f t="shared" si="1"/>
        <v>37904.627823404015</v>
      </c>
      <c r="M17" s="197">
        <f t="shared" si="2"/>
        <v>39564850.522069111</v>
      </c>
      <c r="N17" s="197">
        <f t="shared" si="3"/>
        <v>-1404.6278234040146</v>
      </c>
      <c r="O17" s="197">
        <f t="shared" si="5"/>
        <v>-1466150.5220691115</v>
      </c>
      <c r="P17" s="197"/>
    </row>
    <row r="18" spans="1:16" s="196" customFormat="1" x14ac:dyDescent="0.35">
      <c r="A18" s="196" t="s">
        <v>3880</v>
      </c>
      <c r="B18" s="197">
        <f>_xlfn.IFNA(_xlfn.XLOOKUP(A18,'Price list'!A:A,'Price list'!B:B),0)</f>
        <v>36500</v>
      </c>
      <c r="C18" s="196" t="s">
        <v>9</v>
      </c>
      <c r="E18" s="200"/>
      <c r="G18" s="197" t="s">
        <v>891</v>
      </c>
      <c r="H18" s="197" t="str">
        <f>IF(G18=0,"",_xlfn.XLOOKUP(G18,List_item!A:A,List_item!B:B))</f>
        <v>Karkas Uk 1.0 Karkas Uk 1.0 Fresh Premium</v>
      </c>
      <c r="I18" s="197">
        <v>1563.1</v>
      </c>
      <c r="J18" s="198">
        <f t="shared" ref="J18" si="6">IF(F18/J$5&gt;0,F18/J$5,I18/J$5)</f>
        <v>0.10026556165648895</v>
      </c>
      <c r="K18" s="197">
        <f t="shared" ref="K18" si="7">+B18*(F18+I18)</f>
        <v>57053150</v>
      </c>
      <c r="L18" s="199">
        <f t="shared" si="1"/>
        <v>37904.627823404015</v>
      </c>
      <c r="M18" s="197">
        <f t="shared" ref="M18" si="8">+L18*(F18+I18)</f>
        <v>59248723.750762813</v>
      </c>
      <c r="N18" s="197">
        <f t="shared" ref="N18" si="9">IF(L18=0,0,B18-L18)</f>
        <v>-1404.6278234040146</v>
      </c>
      <c r="O18" s="197">
        <f t="shared" ref="O18" si="10">+K18-M18</f>
        <v>-2195573.7507628128</v>
      </c>
      <c r="P18" s="197"/>
    </row>
    <row r="19" spans="1:16" s="196" customFormat="1" x14ac:dyDescent="0.35">
      <c r="A19" s="196" t="s">
        <v>3881</v>
      </c>
      <c r="B19" s="197">
        <f>_xlfn.IFNA(_xlfn.XLOOKUP(A19,'Price list'!A:A,'Price list'!B:B),0)</f>
        <v>36500</v>
      </c>
      <c r="C19" s="196" t="s">
        <v>9</v>
      </c>
      <c r="E19" s="197"/>
      <c r="F19" s="197"/>
      <c r="G19" s="197" t="s">
        <v>957</v>
      </c>
      <c r="H19" s="197" t="str">
        <f>IF(G19=0,"",_xlfn.XLOOKUP(G19,List_item!A:A,List_item!B:B))</f>
        <v>Karkas Uk 1.1 Karkas Uk 1.1 Fresh Premium</v>
      </c>
      <c r="I19" s="197">
        <v>1287.2</v>
      </c>
      <c r="J19" s="198">
        <f t="shared" si="4"/>
        <v>8.2567865756658296E-2</v>
      </c>
      <c r="K19" s="197">
        <f t="shared" si="0"/>
        <v>46982800</v>
      </c>
      <c r="L19" s="199">
        <f t="shared" si="1"/>
        <v>37904.627823404015</v>
      </c>
      <c r="M19" s="197">
        <f t="shared" si="2"/>
        <v>48790836.934285648</v>
      </c>
      <c r="N19" s="197">
        <f t="shared" si="3"/>
        <v>-1404.6278234040146</v>
      </c>
      <c r="O19" s="197">
        <f t="shared" si="5"/>
        <v>-1808036.9342856482</v>
      </c>
      <c r="P19" s="197"/>
    </row>
    <row r="20" spans="1:16" s="196" customFormat="1" x14ac:dyDescent="0.35">
      <c r="A20" s="196" t="s">
        <v>3881</v>
      </c>
      <c r="B20" s="197">
        <f>_xlfn.IFNA(_xlfn.XLOOKUP(A20,'Price list'!A:A,'Price list'!B:B),0)</f>
        <v>36500</v>
      </c>
      <c r="C20" s="196" t="s">
        <v>9</v>
      </c>
      <c r="E20" s="197"/>
      <c r="F20" s="197"/>
      <c r="G20" s="197" t="s">
        <v>989</v>
      </c>
      <c r="H20" s="197" t="str">
        <f>IF(G20=0,"",_xlfn.XLOOKUP(G20,List_item!A:A,List_item!B:B))</f>
        <v>Karkas Uk 1.1 Karkas Uk 1.1 Frozen Premium</v>
      </c>
      <c r="I20" s="197">
        <v>173.8</v>
      </c>
      <c r="J20" s="198">
        <f t="shared" ref="J20" si="11">IF(F20/J$5&gt;0,F20/J$5,I20/J$5)</f>
        <v>1.1148457946323192E-2</v>
      </c>
      <c r="K20" s="197">
        <f t="shared" ref="K20" si="12">+B20*(F20+I20)</f>
        <v>6343700</v>
      </c>
      <c r="L20" s="199">
        <f t="shared" si="1"/>
        <v>37904.627823404007</v>
      </c>
      <c r="M20" s="197">
        <f t="shared" ref="M20" si="13">+L20*(F20+I20)</f>
        <v>6587824.3157076165</v>
      </c>
      <c r="N20" s="197">
        <f t="shared" ref="N20" si="14">IF(L20=0,0,B20-L20)</f>
        <v>-1404.6278234040074</v>
      </c>
      <c r="O20" s="197">
        <f t="shared" ref="O20" si="15">+K20-M20</f>
        <v>-244124.31570761651</v>
      </c>
      <c r="P20" s="197"/>
    </row>
    <row r="21" spans="1:16" s="196" customFormat="1" x14ac:dyDescent="0.35">
      <c r="A21" s="196" t="s">
        <v>3882</v>
      </c>
      <c r="B21" s="197">
        <f>_xlfn.IFNA(_xlfn.XLOOKUP(A21,'Price list'!A:A,'Price list'!B:B),0)</f>
        <v>36500</v>
      </c>
      <c r="C21" s="196" t="s">
        <v>9</v>
      </c>
      <c r="E21" s="197"/>
      <c r="F21" s="197"/>
      <c r="G21" s="197" t="s">
        <v>1055</v>
      </c>
      <c r="H21" s="197" t="str">
        <f>IF(G21=0,"",_xlfn.XLOOKUP(G21,List_item!A:A,List_item!B:B))</f>
        <v>Karkas Uk 1.2 Karkas Uk 1.2 Frozen Premium</v>
      </c>
      <c r="I21" s="197">
        <v>698</v>
      </c>
      <c r="J21" s="198">
        <f t="shared" si="4"/>
        <v>4.4773438702724898E-2</v>
      </c>
      <c r="K21" s="197">
        <f t="shared" si="0"/>
        <v>25477000</v>
      </c>
      <c r="L21" s="199">
        <f t="shared" si="1"/>
        <v>37904.627823404015</v>
      </c>
      <c r="M21" s="197">
        <f t="shared" si="2"/>
        <v>26457430.220736001</v>
      </c>
      <c r="N21" s="197">
        <f t="shared" si="3"/>
        <v>-1404.6278234040146</v>
      </c>
      <c r="O21" s="197">
        <f t="shared" si="5"/>
        <v>-980430.22073600069</v>
      </c>
      <c r="P21" s="197"/>
    </row>
    <row r="22" spans="1:16" s="196" customFormat="1" x14ac:dyDescent="0.35">
      <c r="A22" s="196" t="s">
        <v>3883</v>
      </c>
      <c r="B22" s="197">
        <f>_xlfn.IFNA(_xlfn.XLOOKUP(A22,'Price list'!A:A,'Price list'!B:B),0)</f>
        <v>36500</v>
      </c>
      <c r="C22" s="196" t="s">
        <v>9</v>
      </c>
      <c r="E22" s="197"/>
      <c r="F22" s="197"/>
      <c r="G22" s="197" t="s">
        <v>1089</v>
      </c>
      <c r="H22" s="197" t="str">
        <f>IF(G22=0,"",_xlfn.XLOOKUP(G22,List_item!A:A,List_item!B:B))</f>
        <v>Karkas Uk 1.3 Karkas Uk 1.3 Fresh Premium</v>
      </c>
      <c r="I22" s="197">
        <v>1045.0999999999999</v>
      </c>
      <c r="J22" s="198">
        <f t="shared" si="4"/>
        <v>6.7038281931544111E-2</v>
      </c>
      <c r="K22" s="197">
        <f t="shared" si="0"/>
        <v>38146150</v>
      </c>
      <c r="L22" s="199">
        <f t="shared" si="1"/>
        <v>37904.627823404022</v>
      </c>
      <c r="M22" s="197">
        <f t="shared" si="2"/>
        <v>39614126.538239539</v>
      </c>
      <c r="N22" s="197">
        <f t="shared" si="3"/>
        <v>-1404.6278234040219</v>
      </c>
      <c r="O22" s="197">
        <f t="shared" si="5"/>
        <v>-1467976.5382395387</v>
      </c>
      <c r="P22" s="197"/>
    </row>
    <row r="23" spans="1:16" s="196" customFormat="1" x14ac:dyDescent="0.35">
      <c r="A23" s="196" t="s">
        <v>3884</v>
      </c>
      <c r="B23" s="197">
        <f>_xlfn.IFNA(_xlfn.XLOOKUP(A23,'Price list'!A:A,'Price list'!B:B),0)</f>
        <v>36500</v>
      </c>
      <c r="C23" s="196" t="s">
        <v>9</v>
      </c>
      <c r="E23" s="197"/>
      <c r="F23" s="197"/>
      <c r="G23" s="197" t="s">
        <v>1155</v>
      </c>
      <c r="H23" s="197" t="str">
        <f>IF(G23=0,"",_xlfn.XLOOKUP(G23,List_item!A:A,List_item!B:B))</f>
        <v>Karkas Uk 1.4 Karkas Uk 1.4 Fresh Premium</v>
      </c>
      <c r="I23" s="197">
        <v>1265.2</v>
      </c>
      <c r="J23" s="198">
        <f t="shared" si="4"/>
        <v>8.115666854826295E-2</v>
      </c>
      <c r="K23" s="197">
        <f t="shared" si="0"/>
        <v>46179800</v>
      </c>
      <c r="L23" s="199">
        <f t="shared" si="1"/>
        <v>37904.627823404015</v>
      </c>
      <c r="M23" s="197">
        <f t="shared" si="2"/>
        <v>47956935.122170761</v>
      </c>
      <c r="N23" s="197">
        <f t="shared" si="3"/>
        <v>-1404.6278234040146</v>
      </c>
      <c r="O23" s="197">
        <f t="shared" si="5"/>
        <v>-1777135.1221707612</v>
      </c>
      <c r="P23" s="197"/>
    </row>
    <row r="24" spans="1:16" s="196" customFormat="1" x14ac:dyDescent="0.35">
      <c r="A24" s="196" t="s">
        <v>3849</v>
      </c>
      <c r="B24" s="197">
        <f>_xlfn.IFNA(_xlfn.XLOOKUP(A24,'Price list'!A:A,'Price list'!B:B),0)</f>
        <v>36500</v>
      </c>
      <c r="C24" s="196" t="s">
        <v>9</v>
      </c>
      <c r="E24" s="197"/>
      <c r="F24" s="197"/>
      <c r="G24" s="197" t="s">
        <v>30</v>
      </c>
      <c r="H24" s="197" t="str">
        <f>IF(G24=0,"",_xlfn.XLOOKUP(G24,List_item!A:A,List_item!B:B))</f>
        <v>Karkas Uk 1.5 Karkas Uk 1.5 Fresh Premium</v>
      </c>
      <c r="I24" s="197">
        <v>1601.6</v>
      </c>
      <c r="J24" s="198">
        <f t="shared" si="4"/>
        <v>0.10273515677118079</v>
      </c>
      <c r="K24" s="197">
        <f t="shared" si="0"/>
        <v>58458400</v>
      </c>
      <c r="L24" s="199">
        <f t="shared" si="1"/>
        <v>37904.627823404015</v>
      </c>
      <c r="M24" s="197">
        <f t="shared" si="2"/>
        <v>60708051.921963863</v>
      </c>
      <c r="N24" s="197">
        <f t="shared" si="3"/>
        <v>-1404.6278234040146</v>
      </c>
      <c r="O24" s="197">
        <f t="shared" si="5"/>
        <v>-2249651.9219638631</v>
      </c>
      <c r="P24" s="197"/>
    </row>
    <row r="25" spans="1:16" s="196" customFormat="1" x14ac:dyDescent="0.35">
      <c r="A25" s="196" t="s">
        <v>3885</v>
      </c>
      <c r="B25" s="197">
        <f>_xlfn.IFNA(_xlfn.XLOOKUP(A25,'Price list'!A:A,'Price list'!B:B),0)</f>
        <v>36500</v>
      </c>
      <c r="C25" s="196" t="s">
        <v>9</v>
      </c>
      <c r="E25" s="197"/>
      <c r="F25" s="197"/>
      <c r="G25" s="197" t="s">
        <v>1318</v>
      </c>
      <c r="H25" s="197" t="str">
        <f>IF(G25=0,"",_xlfn.XLOOKUP(G25,List_item!A:A,List_item!B:B))</f>
        <v>Karkas Uk 1.6 Karkas Uk 1.6 Frozen Premium</v>
      </c>
      <c r="I25" s="197">
        <v>619.20000000000005</v>
      </c>
      <c r="J25" s="198">
        <f t="shared" si="4"/>
        <v>3.9718786883563409E-2</v>
      </c>
      <c r="K25" s="197">
        <f t="shared" si="0"/>
        <v>22600800</v>
      </c>
      <c r="L25" s="199">
        <f t="shared" si="1"/>
        <v>37904.627823404015</v>
      </c>
      <c r="M25" s="197">
        <f t="shared" si="2"/>
        <v>23470545.548251767</v>
      </c>
      <c r="N25" s="197">
        <f t="shared" si="3"/>
        <v>-1404.6278234040146</v>
      </c>
      <c r="O25" s="197">
        <f t="shared" si="5"/>
        <v>-869745.54825176671</v>
      </c>
      <c r="P25" s="197"/>
    </row>
    <row r="26" spans="1:16" s="196" customFormat="1" x14ac:dyDescent="0.35">
      <c r="A26" s="196" t="s">
        <v>3886</v>
      </c>
      <c r="B26" s="197">
        <f>_xlfn.IFNA(_xlfn.XLOOKUP(A26,'Price list'!A:A,'Price list'!B:B),0)</f>
        <v>36500</v>
      </c>
      <c r="C26" s="196" t="s">
        <v>9</v>
      </c>
      <c r="E26" s="197"/>
      <c r="F26" s="197"/>
      <c r="G26" s="197" t="s">
        <v>1384</v>
      </c>
      <c r="H26" s="197" t="str">
        <f>IF(G26=0,"",_xlfn.XLOOKUP(G26,List_item!A:A,List_item!B:B))</f>
        <v>Karkas Uk 1.7 Karkas Uk 1.7 Frozen Premium</v>
      </c>
      <c r="I26" s="197">
        <v>327.7</v>
      </c>
      <c r="J26" s="198">
        <f t="shared" si="4"/>
        <v>2.1020423872325143E-2</v>
      </c>
      <c r="K26" s="197">
        <f t="shared" si="0"/>
        <v>11961050</v>
      </c>
      <c r="L26" s="199">
        <f t="shared" si="1"/>
        <v>37904.627823404015</v>
      </c>
      <c r="M26" s="197">
        <f t="shared" si="2"/>
        <v>12421346.537729494</v>
      </c>
      <c r="N26" s="197">
        <f t="shared" si="3"/>
        <v>-1404.6278234040146</v>
      </c>
      <c r="O26" s="197">
        <f t="shared" si="5"/>
        <v>-460296.53772949427</v>
      </c>
      <c r="P26" s="197"/>
    </row>
    <row r="27" spans="1:16" s="196" customFormat="1" x14ac:dyDescent="0.35">
      <c r="A27" s="196" t="s">
        <v>3887</v>
      </c>
      <c r="B27" s="197">
        <f>_xlfn.IFNA(_xlfn.XLOOKUP(A27,'Price list'!A:A,'Price list'!B:B),0)</f>
        <v>36500</v>
      </c>
      <c r="C27" s="196" t="s">
        <v>9</v>
      </c>
      <c r="E27" s="197"/>
      <c r="F27" s="197"/>
      <c r="G27" s="197" t="s">
        <v>1450</v>
      </c>
      <c r="H27" s="197" t="str">
        <f>IF(G27=0,"",_xlfn.XLOOKUP(G27,List_item!A:A,List_item!B:B))</f>
        <v>Karkas Uk 1.8 Karkas Uk 1.8 Frozen Premium</v>
      </c>
      <c r="I27" s="197">
        <v>117.3</v>
      </c>
      <c r="J27" s="198">
        <f t="shared" si="4"/>
        <v>7.5242469338533385E-3</v>
      </c>
      <c r="K27" s="197">
        <f t="shared" si="0"/>
        <v>4281450</v>
      </c>
      <c r="L27" s="199">
        <f t="shared" si="1"/>
        <v>37904.627823404015</v>
      </c>
      <c r="M27" s="197">
        <f t="shared" si="2"/>
        <v>4446212.8436852908</v>
      </c>
      <c r="N27" s="197">
        <f t="shared" si="3"/>
        <v>-1404.6278234040146</v>
      </c>
      <c r="O27" s="197">
        <f t="shared" si="5"/>
        <v>-164762.84368529078</v>
      </c>
      <c r="P27" s="197"/>
    </row>
    <row r="28" spans="1:16" s="196" customFormat="1" x14ac:dyDescent="0.35">
      <c r="A28" s="196" t="s">
        <v>3888</v>
      </c>
      <c r="B28" s="197">
        <f>_xlfn.IFNA(_xlfn.XLOOKUP(A28,'Price list'!A:A,'Price list'!B:B),0)</f>
        <v>36500</v>
      </c>
      <c r="C28" s="196" t="s">
        <v>9</v>
      </c>
      <c r="E28" s="197"/>
      <c r="F28" s="197"/>
      <c r="G28" s="197" t="s">
        <v>1516</v>
      </c>
      <c r="H28" s="197" t="str">
        <f>IF(G28=0,"",_xlfn.XLOOKUP(G28,List_item!A:A,List_item!B:B))</f>
        <v>Karkas Uk 1.9 Karkas Uk 1.9 Frozen Premium</v>
      </c>
      <c r="I28" s="197">
        <v>21.8</v>
      </c>
      <c r="J28" s="198">
        <f t="shared" si="4"/>
        <v>1.398368142864474E-3</v>
      </c>
      <c r="K28" s="197">
        <f t="shared" si="0"/>
        <v>795700</v>
      </c>
      <c r="L28" s="199">
        <f t="shared" si="1"/>
        <v>37904.627823404015</v>
      </c>
      <c r="M28" s="197">
        <f t="shared" si="2"/>
        <v>826320.88655020751</v>
      </c>
      <c r="N28" s="197">
        <f t="shared" si="3"/>
        <v>-1404.6278234040146</v>
      </c>
      <c r="O28" s="197">
        <f t="shared" si="5"/>
        <v>-30620.886550207506</v>
      </c>
      <c r="P28" s="197"/>
    </row>
    <row r="29" spans="1:16" x14ac:dyDescent="0.35">
      <c r="A29" t="s">
        <v>3889</v>
      </c>
      <c r="B29" s="3">
        <f>_xlfn.IFNA(_xlfn.XLOOKUP(A29,'Price list'!A:A,'Price list'!B:B),0)</f>
        <v>36500</v>
      </c>
      <c r="C29" t="s">
        <v>9</v>
      </c>
      <c r="E29" s="3"/>
      <c r="F29" s="3"/>
      <c r="G29" s="3"/>
      <c r="H29" s="3" t="str">
        <f>IF(G29=0,"",_xlfn.XLOOKUP(G29,List_item!A:A,List_item!B:B))</f>
        <v/>
      </c>
      <c r="I29" s="3">
        <v>0</v>
      </c>
      <c r="J29" s="26">
        <f t="shared" si="4"/>
        <v>0</v>
      </c>
      <c r="K29" s="3">
        <f t="shared" si="0"/>
        <v>0</v>
      </c>
      <c r="L29" s="27">
        <f t="shared" si="1"/>
        <v>0</v>
      </c>
      <c r="M29" s="3">
        <f t="shared" si="2"/>
        <v>0</v>
      </c>
      <c r="N29" s="3">
        <f t="shared" si="3"/>
        <v>0</v>
      </c>
      <c r="O29" s="3">
        <f t="shared" si="5"/>
        <v>0</v>
      </c>
      <c r="P29" s="3"/>
    </row>
    <row r="30" spans="1:16" x14ac:dyDescent="0.35">
      <c r="A30" t="s">
        <v>3890</v>
      </c>
      <c r="B30" s="3">
        <f>_xlfn.IFNA(_xlfn.XLOOKUP(A30,'Price list'!A:A,'Price list'!B:B),0)</f>
        <v>0</v>
      </c>
      <c r="C30" t="s">
        <v>9</v>
      </c>
      <c r="E30" s="3"/>
      <c r="F30" s="3"/>
      <c r="G30" s="3"/>
      <c r="H30" s="3" t="str">
        <f>IF(G30=0,"",_xlfn.XLOOKUP(G30,List_item!A:A,List_item!B:B))</f>
        <v/>
      </c>
      <c r="I30" s="3">
        <v>0</v>
      </c>
      <c r="J30" s="26">
        <f t="shared" si="4"/>
        <v>0</v>
      </c>
      <c r="K30" s="3">
        <f t="shared" si="0"/>
        <v>0</v>
      </c>
      <c r="L30" s="27">
        <f t="shared" si="1"/>
        <v>0</v>
      </c>
      <c r="M30" s="3">
        <f t="shared" si="2"/>
        <v>0</v>
      </c>
      <c r="N30" s="3">
        <f t="shared" si="3"/>
        <v>0</v>
      </c>
      <c r="O30" s="3">
        <f t="shared" si="5"/>
        <v>0</v>
      </c>
      <c r="P30" s="3"/>
    </row>
    <row r="31" spans="1:16" x14ac:dyDescent="0.35">
      <c r="A31" t="s">
        <v>8</v>
      </c>
      <c r="B31" s="3">
        <f>_xlfn.IFNA(_xlfn.XLOOKUP(A31,'Price list'!A:A,'Price list'!B:B),0)</f>
        <v>50000</v>
      </c>
      <c r="C31" t="s">
        <v>9</v>
      </c>
      <c r="E31" s="3"/>
      <c r="F31" s="3"/>
      <c r="G31" s="3"/>
      <c r="H31" s="3" t="str">
        <f>IF(G31=0,"",_xlfn.XLOOKUP(G31,List_item!A:A,List_item!B:B))</f>
        <v/>
      </c>
      <c r="I31" s="3">
        <v>0</v>
      </c>
      <c r="J31" s="26">
        <f t="shared" si="4"/>
        <v>0</v>
      </c>
      <c r="K31" s="3">
        <f t="shared" si="0"/>
        <v>0</v>
      </c>
      <c r="L31" s="27">
        <f t="shared" si="1"/>
        <v>0</v>
      </c>
      <c r="M31" s="3">
        <f t="shared" si="2"/>
        <v>0</v>
      </c>
      <c r="N31" s="3">
        <f t="shared" si="3"/>
        <v>0</v>
      </c>
      <c r="O31" s="3">
        <f t="shared" si="5"/>
        <v>0</v>
      </c>
      <c r="P31" s="3"/>
    </row>
    <row r="32" spans="1:16" x14ac:dyDescent="0.35">
      <c r="A32" t="s">
        <v>10</v>
      </c>
      <c r="B32" s="3">
        <f>_xlfn.IFNA(_xlfn.XLOOKUP(A32,'Price list'!A:A,'Price list'!B:B),0)</f>
        <v>48000</v>
      </c>
      <c r="C32" t="s">
        <v>9</v>
      </c>
      <c r="E32" s="3"/>
      <c r="F32" s="3"/>
      <c r="G32" s="3"/>
      <c r="H32" s="3" t="str">
        <f>IF(G32=0,"",_xlfn.XLOOKUP(G32,List_item!A:A,List_item!B:B))</f>
        <v/>
      </c>
      <c r="I32" s="3">
        <v>0</v>
      </c>
      <c r="J32" s="26">
        <f t="shared" si="4"/>
        <v>0</v>
      </c>
      <c r="K32" s="3">
        <f t="shared" si="0"/>
        <v>0</v>
      </c>
      <c r="L32" s="27">
        <f t="shared" si="1"/>
        <v>0</v>
      </c>
      <c r="M32" s="3">
        <f t="shared" si="2"/>
        <v>0</v>
      </c>
      <c r="N32" s="3">
        <f t="shared" si="3"/>
        <v>0</v>
      </c>
      <c r="O32" s="3">
        <f t="shared" si="5"/>
        <v>0</v>
      </c>
      <c r="P32" s="3"/>
    </row>
    <row r="33" spans="1:16" x14ac:dyDescent="0.35">
      <c r="A33" t="s">
        <v>12</v>
      </c>
      <c r="B33" s="3">
        <f>_xlfn.IFNA(_xlfn.XLOOKUP(A33,'Price list'!A:A,'Price list'!B:B),0)</f>
        <v>49000</v>
      </c>
      <c r="C33" t="s">
        <v>9</v>
      </c>
      <c r="E33" s="3"/>
      <c r="F33" s="3"/>
      <c r="G33" s="3"/>
      <c r="H33" s="3" t="str">
        <f>IF(G33=0,"",_xlfn.XLOOKUP(G33,List_item!A:A,List_item!B:B))</f>
        <v/>
      </c>
      <c r="I33" s="3">
        <v>0</v>
      </c>
      <c r="J33" s="26">
        <f t="shared" si="4"/>
        <v>0</v>
      </c>
      <c r="K33" s="3">
        <f t="shared" si="0"/>
        <v>0</v>
      </c>
      <c r="L33" s="27">
        <f t="shared" si="1"/>
        <v>0</v>
      </c>
      <c r="M33" s="3">
        <f t="shared" si="2"/>
        <v>0</v>
      </c>
      <c r="N33" s="3">
        <f t="shared" si="3"/>
        <v>0</v>
      </c>
      <c r="O33" s="3">
        <f t="shared" si="5"/>
        <v>0</v>
      </c>
      <c r="P33" s="3"/>
    </row>
    <row r="34" spans="1:16" x14ac:dyDescent="0.35">
      <c r="A34" t="s">
        <v>2159</v>
      </c>
      <c r="B34" s="3">
        <f>_xlfn.IFNA(_xlfn.XLOOKUP(A34,'Price list'!A:A,'Price list'!B:B),0)</f>
        <v>5500</v>
      </c>
      <c r="C34" t="s">
        <v>9</v>
      </c>
      <c r="E34" s="3"/>
      <c r="F34" s="3"/>
      <c r="G34" s="3"/>
      <c r="H34" s="3" t="str">
        <f>IF(G34=0,"",_xlfn.XLOOKUP(G34,List_item!A:A,List_item!B:B))</f>
        <v/>
      </c>
      <c r="I34" s="3">
        <v>0</v>
      </c>
      <c r="J34" s="26">
        <f t="shared" si="4"/>
        <v>0</v>
      </c>
      <c r="K34" s="3">
        <f t="shared" si="0"/>
        <v>0</v>
      </c>
      <c r="L34" s="27">
        <f t="shared" si="1"/>
        <v>0</v>
      </c>
      <c r="M34" s="3">
        <f t="shared" si="2"/>
        <v>0</v>
      </c>
      <c r="N34" s="3">
        <f t="shared" si="3"/>
        <v>0</v>
      </c>
      <c r="O34" s="3">
        <f t="shared" si="5"/>
        <v>0</v>
      </c>
      <c r="P34" s="3"/>
    </row>
    <row r="35" spans="1:16" x14ac:dyDescent="0.35">
      <c r="A35" t="s">
        <v>3891</v>
      </c>
      <c r="B35" s="3">
        <f>_xlfn.IFNA(_xlfn.XLOOKUP(A35,'Price list'!A:A,'Price list'!B:B),0)</f>
        <v>20000</v>
      </c>
      <c r="C35" t="s">
        <v>9</v>
      </c>
      <c r="E35" s="3"/>
      <c r="F35" s="3"/>
      <c r="G35" s="3"/>
      <c r="H35" s="3" t="str">
        <f>IF(G35=0,"",_xlfn.XLOOKUP(G35,List_item!A:A,List_item!B:B))</f>
        <v/>
      </c>
      <c r="I35" s="3">
        <v>0</v>
      </c>
      <c r="J35" s="26">
        <f t="shared" si="4"/>
        <v>0</v>
      </c>
      <c r="K35" s="3">
        <f t="shared" si="0"/>
        <v>0</v>
      </c>
      <c r="L35" s="27">
        <f t="shared" si="1"/>
        <v>0</v>
      </c>
      <c r="M35" s="3">
        <f t="shared" si="2"/>
        <v>0</v>
      </c>
      <c r="N35" s="3">
        <f t="shared" si="3"/>
        <v>0</v>
      </c>
      <c r="O35" s="3">
        <f t="shared" si="5"/>
        <v>0</v>
      </c>
      <c r="P35" s="3"/>
    </row>
    <row r="36" spans="1:16" x14ac:dyDescent="0.35">
      <c r="A36" t="s">
        <v>3892</v>
      </c>
      <c r="B36" s="3">
        <f>_xlfn.IFNA(_xlfn.XLOOKUP(A36,'Price list'!A:A,'Price list'!B:B),0)</f>
        <v>22000</v>
      </c>
      <c r="C36" t="s">
        <v>9</v>
      </c>
      <c r="E36" s="3"/>
      <c r="F36" s="3"/>
      <c r="G36" s="3"/>
      <c r="H36" s="3" t="str">
        <f>IF(G36=0,"",_xlfn.XLOOKUP(G36,List_item!A:A,List_item!B:B))</f>
        <v/>
      </c>
      <c r="I36" s="3">
        <v>0</v>
      </c>
      <c r="J36" s="26">
        <f t="shared" si="4"/>
        <v>0</v>
      </c>
      <c r="K36" s="3">
        <f t="shared" si="0"/>
        <v>0</v>
      </c>
      <c r="L36" s="27">
        <f t="shared" si="1"/>
        <v>0</v>
      </c>
      <c r="M36" s="3">
        <f t="shared" si="2"/>
        <v>0</v>
      </c>
      <c r="N36" s="3">
        <f t="shared" si="3"/>
        <v>0</v>
      </c>
      <c r="O36" s="3">
        <f t="shared" si="5"/>
        <v>0</v>
      </c>
      <c r="P36" s="3"/>
    </row>
    <row r="37" spans="1:16" x14ac:dyDescent="0.35">
      <c r="A37" t="s">
        <v>3852</v>
      </c>
      <c r="B37" s="3">
        <f>_xlfn.IFNA(_xlfn.XLOOKUP(A37,'Price list'!A:A,'Price list'!B:B),0)</f>
        <v>18000</v>
      </c>
      <c r="C37" t="s">
        <v>9</v>
      </c>
      <c r="E37" s="3"/>
      <c r="F37" s="3"/>
      <c r="G37" s="3"/>
      <c r="H37" s="3" t="str">
        <f>IF(G37=0,"",_xlfn.XLOOKUP(G37,List_item!A:A,List_item!B:B))</f>
        <v/>
      </c>
      <c r="I37" s="3">
        <v>0</v>
      </c>
      <c r="J37" s="26">
        <f t="shared" si="4"/>
        <v>0</v>
      </c>
      <c r="K37" s="3">
        <f t="shared" si="0"/>
        <v>0</v>
      </c>
      <c r="L37" s="27">
        <f t="shared" si="1"/>
        <v>0</v>
      </c>
      <c r="M37" s="3">
        <f t="shared" si="2"/>
        <v>0</v>
      </c>
      <c r="N37" s="3">
        <f t="shared" si="3"/>
        <v>0</v>
      </c>
      <c r="O37" s="3">
        <f t="shared" si="5"/>
        <v>0</v>
      </c>
      <c r="P37" s="3"/>
    </row>
    <row r="38" spans="1:16" x14ac:dyDescent="0.35">
      <c r="A38" t="s">
        <v>17</v>
      </c>
      <c r="B38" s="3">
        <f>_xlfn.IFNA(_xlfn.XLOOKUP(A38,'Price list'!A:A,'Price list'!B:B),0)</f>
        <v>3500</v>
      </c>
      <c r="C38" t="s">
        <v>9</v>
      </c>
      <c r="E38" s="3"/>
      <c r="F38" s="3"/>
      <c r="G38" s="3"/>
      <c r="H38" s="3" t="str">
        <f>IF(G38=0,"",_xlfn.XLOOKUP(G38,List_item!A:A,List_item!B:B))</f>
        <v/>
      </c>
      <c r="I38" s="3">
        <v>0</v>
      </c>
      <c r="J38" s="26">
        <f t="shared" si="4"/>
        <v>0</v>
      </c>
      <c r="K38" s="3">
        <f t="shared" si="0"/>
        <v>0</v>
      </c>
      <c r="L38" s="27">
        <f t="shared" si="1"/>
        <v>0</v>
      </c>
      <c r="M38" s="3">
        <f t="shared" si="2"/>
        <v>0</v>
      </c>
      <c r="N38" s="3">
        <f t="shared" si="3"/>
        <v>0</v>
      </c>
      <c r="O38" s="3">
        <f t="shared" si="5"/>
        <v>0</v>
      </c>
      <c r="P38" s="3"/>
    </row>
    <row r="39" spans="1:16" x14ac:dyDescent="0.35">
      <c r="A39" t="s">
        <v>2199</v>
      </c>
      <c r="B39" s="3">
        <f>_xlfn.IFNA(_xlfn.XLOOKUP(A39,'Price list'!A:A,'Price list'!B:B),0)</f>
        <v>38000</v>
      </c>
      <c r="C39" t="s">
        <v>9</v>
      </c>
      <c r="E39" s="3"/>
      <c r="F39" s="3"/>
      <c r="G39" s="3"/>
      <c r="H39" s="3" t="str">
        <f>IF(G39=0,"",_xlfn.XLOOKUP(G39,List_item!A:A,List_item!B:B))</f>
        <v/>
      </c>
      <c r="I39" s="3">
        <v>0</v>
      </c>
      <c r="J39" s="26">
        <f t="shared" si="4"/>
        <v>0</v>
      </c>
      <c r="K39" s="3">
        <f t="shared" si="0"/>
        <v>0</v>
      </c>
      <c r="L39" s="27">
        <f t="shared" si="1"/>
        <v>0</v>
      </c>
      <c r="M39" s="3">
        <f t="shared" si="2"/>
        <v>0</v>
      </c>
      <c r="N39" s="3">
        <f t="shared" si="3"/>
        <v>0</v>
      </c>
      <c r="O39" s="3">
        <f t="shared" si="5"/>
        <v>0</v>
      </c>
      <c r="P39" s="3"/>
    </row>
    <row r="40" spans="1:16" s="196" customFormat="1" x14ac:dyDescent="0.35">
      <c r="A40" s="196" t="s">
        <v>2161</v>
      </c>
      <c r="B40" s="197">
        <f>_xlfn.IFNA(_xlfn.XLOOKUP(A40,'Price list'!A:A,'Price list'!B:B),0)</f>
        <v>18000</v>
      </c>
      <c r="C40" s="196" t="s">
        <v>9</v>
      </c>
      <c r="E40" s="197"/>
      <c r="F40" s="197"/>
      <c r="G40" s="197" t="s">
        <v>19</v>
      </c>
      <c r="H40" s="197" t="str">
        <f>IF(G40=0,"",_xlfn.XLOOKUP(G40,List_item!A:A,List_item!B:B))</f>
        <v>Boneless BL Frozen Lemak</v>
      </c>
      <c r="I40" s="197">
        <v>43.8</v>
      </c>
      <c r="J40" s="198">
        <f t="shared" si="4"/>
        <v>2.8095653512598142E-3</v>
      </c>
      <c r="K40" s="197">
        <f t="shared" si="0"/>
        <v>788400</v>
      </c>
      <c r="L40" s="199">
        <f t="shared" si="1"/>
        <v>18692.69317318554</v>
      </c>
      <c r="M40" s="197">
        <f t="shared" si="2"/>
        <v>818739.96098552656</v>
      </c>
      <c r="N40" s="197">
        <f t="shared" si="3"/>
        <v>-692.69317318554022</v>
      </c>
      <c r="O40" s="197">
        <f t="shared" si="5"/>
        <v>-30339.960985526559</v>
      </c>
      <c r="P40" s="197"/>
    </row>
    <row r="41" spans="1:16" s="196" customFormat="1" x14ac:dyDescent="0.35">
      <c r="A41" s="196" t="s">
        <v>2162</v>
      </c>
      <c r="B41" s="197">
        <f>_xlfn.IFNA(_xlfn.XLOOKUP(A41,'Price list'!A:A,'Price list'!B:B),0)</f>
        <v>8000</v>
      </c>
      <c r="C41" s="196" t="s">
        <v>9</v>
      </c>
      <c r="E41" s="197"/>
      <c r="F41" s="197"/>
      <c r="G41" s="197" t="s">
        <v>20</v>
      </c>
      <c r="H41" s="197" t="str">
        <f>IF(G41=0,"",_xlfn.XLOOKUP(G41,List_item!A:A,List_item!B:B))</f>
        <v>Boneless BL Fresh Kepala</v>
      </c>
      <c r="I41" s="197">
        <v>717.1</v>
      </c>
      <c r="J41" s="198">
        <f t="shared" si="4"/>
        <v>4.5998614460922675E-2</v>
      </c>
      <c r="K41" s="197">
        <f t="shared" si="0"/>
        <v>5736800</v>
      </c>
      <c r="L41" s="199">
        <f t="shared" si="1"/>
        <v>8307.8636325269072</v>
      </c>
      <c r="M41" s="197">
        <f t="shared" si="2"/>
        <v>5957569.0108850449</v>
      </c>
      <c r="N41" s="197">
        <f t="shared" si="3"/>
        <v>-307.86363252690717</v>
      </c>
      <c r="O41" s="197">
        <f t="shared" si="5"/>
        <v>-220769.01088504493</v>
      </c>
      <c r="P41" s="197"/>
    </row>
    <row r="42" spans="1:16" s="196" customFormat="1" x14ac:dyDescent="0.35">
      <c r="A42" s="196" t="s">
        <v>0</v>
      </c>
      <c r="B42" s="197">
        <f>_xlfn.IFNA(_xlfn.XLOOKUP(A42,'Price list'!A:A,'Price list'!B:B),0)</f>
        <v>10000</v>
      </c>
      <c r="C42" s="196" t="s">
        <v>9</v>
      </c>
      <c r="E42" s="197"/>
      <c r="F42" s="197"/>
      <c r="G42" s="197" t="s">
        <v>21</v>
      </c>
      <c r="H42" s="197" t="str">
        <f>IF(G42=0,"",_xlfn.XLOOKUP(G42,List_item!A:A,List_item!B:B))</f>
        <v>Boneless BL Fresh Ceker</v>
      </c>
      <c r="I42" s="197">
        <v>461.7</v>
      </c>
      <c r="J42" s="198">
        <f t="shared" si="4"/>
        <v>2.9615897778005853E-2</v>
      </c>
      <c r="K42" s="197">
        <f t="shared" si="0"/>
        <v>4617000</v>
      </c>
      <c r="L42" s="199">
        <f t="shared" si="1"/>
        <v>10384.829540658635</v>
      </c>
      <c r="M42" s="197">
        <f t="shared" si="2"/>
        <v>4794675.7989220917</v>
      </c>
      <c r="N42" s="197">
        <f t="shared" si="3"/>
        <v>-384.82954065863487</v>
      </c>
      <c r="O42" s="197">
        <f t="shared" si="5"/>
        <v>-177675.79892209172</v>
      </c>
      <c r="P42" s="197"/>
    </row>
    <row r="43" spans="1:16" x14ac:dyDescent="0.35">
      <c r="A43" t="s">
        <v>24</v>
      </c>
      <c r="B43" s="3">
        <f>_xlfn.IFNA(_xlfn.XLOOKUP(A43,'Price list'!A:A,'Price list'!B:B),0)</f>
        <v>4000</v>
      </c>
      <c r="C43" t="s">
        <v>9</v>
      </c>
      <c r="E43" s="3"/>
      <c r="F43" s="3"/>
      <c r="G43" s="3"/>
      <c r="H43" s="3" t="str">
        <f>IF(G43=0,"",_xlfn.XLOOKUP(G43,List_item!A:A,List_item!B:B))</f>
        <v/>
      </c>
      <c r="I43" s="3">
        <v>0</v>
      </c>
      <c r="J43" s="26">
        <f t="shared" si="4"/>
        <v>0</v>
      </c>
      <c r="K43" s="3">
        <f t="shared" si="0"/>
        <v>0</v>
      </c>
      <c r="L43" s="27">
        <f t="shared" ref="L43:L74" si="16">IFERROR(((K43/SUM($K$11:$K$80))*$F$10)/(F43+I43),0)</f>
        <v>0</v>
      </c>
      <c r="M43" s="3">
        <f t="shared" si="2"/>
        <v>0</v>
      </c>
      <c r="N43" s="3">
        <f t="shared" si="3"/>
        <v>0</v>
      </c>
      <c r="O43" s="3">
        <f t="shared" si="5"/>
        <v>0</v>
      </c>
      <c r="P43" s="3"/>
    </row>
    <row r="44" spans="1:16" s="196" customFormat="1" x14ac:dyDescent="0.35">
      <c r="A44" s="196" t="s">
        <v>3893</v>
      </c>
      <c r="B44" s="197">
        <v>5000</v>
      </c>
      <c r="C44" s="196" t="s">
        <v>9</v>
      </c>
      <c r="E44" s="197"/>
      <c r="F44" s="197"/>
      <c r="G44" s="197" t="s">
        <v>25</v>
      </c>
      <c r="H44" s="197" t="str">
        <f>IF(G44=0,"",_xlfn.XLOOKUP(G44,List_item!A:A,List_item!B:B))</f>
        <v>Boneless BL Fresh Usus Kotor</v>
      </c>
      <c r="I44" s="197">
        <v>738</v>
      </c>
      <c r="J44" s="198">
        <f t="shared" si="4"/>
        <v>4.7339251808898246E-2</v>
      </c>
      <c r="K44" s="197">
        <f t="shared" si="0"/>
        <v>3690000</v>
      </c>
      <c r="L44" s="199">
        <f t="shared" si="16"/>
        <v>5192.4147703293165</v>
      </c>
      <c r="M44" s="197">
        <f t="shared" si="2"/>
        <v>3832002.1005030358</v>
      </c>
      <c r="N44" s="197">
        <f t="shared" si="3"/>
        <v>-192.41477032931653</v>
      </c>
      <c r="O44" s="197">
        <f t="shared" si="5"/>
        <v>-142002.10050303582</v>
      </c>
      <c r="P44" s="197" t="s">
        <v>3947</v>
      </c>
    </row>
    <row r="45" spans="1:16" x14ac:dyDescent="0.35">
      <c r="A45" t="s">
        <v>2167</v>
      </c>
      <c r="B45" s="3">
        <f>_xlfn.IFNA(_xlfn.XLOOKUP(A45,'Price list'!A:A,'Price list'!B:B),0)</f>
        <v>16000</v>
      </c>
      <c r="C45" t="s">
        <v>9</v>
      </c>
      <c r="E45" s="3"/>
      <c r="F45" s="3"/>
      <c r="G45" s="3"/>
      <c r="H45" s="3" t="str">
        <f>IF(G45=0,"",_xlfn.XLOOKUP(G45,List_item!A:A,List_item!B:B))</f>
        <v/>
      </c>
      <c r="I45" s="3">
        <v>0</v>
      </c>
      <c r="J45" s="26">
        <f t="shared" si="4"/>
        <v>0</v>
      </c>
      <c r="K45" s="3">
        <f t="shared" si="0"/>
        <v>0</v>
      </c>
      <c r="L45" s="27">
        <f t="shared" si="16"/>
        <v>0</v>
      </c>
      <c r="M45" s="3">
        <f t="shared" si="2"/>
        <v>0</v>
      </c>
      <c r="N45" s="3">
        <f t="shared" si="3"/>
        <v>0</v>
      </c>
      <c r="O45" s="3">
        <f t="shared" si="5"/>
        <v>0</v>
      </c>
      <c r="P45" s="3"/>
    </row>
    <row r="46" spans="1:16" x14ac:dyDescent="0.35">
      <c r="A46" t="s">
        <v>2168</v>
      </c>
      <c r="B46" s="3">
        <f>_xlfn.IFNA(_xlfn.XLOOKUP(A46,'Price list'!A:A,'Price list'!B:B),0)</f>
        <v>10000</v>
      </c>
      <c r="C46" t="s">
        <v>9</v>
      </c>
      <c r="E46" s="3"/>
      <c r="F46" s="3"/>
      <c r="G46" s="3"/>
      <c r="H46" s="3" t="str">
        <f>IF(G46=0,"",_xlfn.XLOOKUP(G46,List_item!A:A,List_item!B:B))</f>
        <v/>
      </c>
      <c r="I46" s="3">
        <v>0</v>
      </c>
      <c r="J46" s="26">
        <f t="shared" si="4"/>
        <v>0</v>
      </c>
      <c r="K46" s="3">
        <f t="shared" si="0"/>
        <v>0</v>
      </c>
      <c r="L46" s="27">
        <f t="shared" si="16"/>
        <v>0</v>
      </c>
      <c r="M46" s="3">
        <f t="shared" si="2"/>
        <v>0</v>
      </c>
      <c r="N46" s="3">
        <f t="shared" si="3"/>
        <v>0</v>
      </c>
      <c r="O46" s="3">
        <f t="shared" si="5"/>
        <v>0</v>
      </c>
      <c r="P46" s="3"/>
    </row>
    <row r="47" spans="1:16" x14ac:dyDescent="0.35">
      <c r="A47" t="s">
        <v>2169</v>
      </c>
      <c r="B47" s="3">
        <f>_xlfn.IFNA(_xlfn.XLOOKUP(A47,'Price list'!A:A,'Price list'!B:B),0)</f>
        <v>5000</v>
      </c>
      <c r="C47" t="s">
        <v>9</v>
      </c>
      <c r="E47" s="3"/>
      <c r="F47" s="3"/>
      <c r="G47" s="3"/>
      <c r="H47" s="3" t="str">
        <f>IF(G47=0,"",_xlfn.XLOOKUP(G47,List_item!A:A,List_item!B:B))</f>
        <v/>
      </c>
      <c r="I47" s="3">
        <v>0</v>
      </c>
      <c r="J47" s="26">
        <f t="shared" si="4"/>
        <v>0</v>
      </c>
      <c r="K47" s="3">
        <f t="shared" si="0"/>
        <v>0</v>
      </c>
      <c r="L47" s="27">
        <f t="shared" si="16"/>
        <v>0</v>
      </c>
      <c r="M47" s="3">
        <f t="shared" si="2"/>
        <v>0</v>
      </c>
      <c r="N47" s="3">
        <f t="shared" si="3"/>
        <v>0</v>
      </c>
      <c r="O47" s="3">
        <f t="shared" si="5"/>
        <v>0</v>
      </c>
      <c r="P47" s="3"/>
    </row>
    <row r="48" spans="1:16" s="196" customFormat="1" x14ac:dyDescent="0.35">
      <c r="A48" s="196" t="s">
        <v>3894</v>
      </c>
      <c r="B48" s="197">
        <f>_xlfn.IFNA(_xlfn.XLOOKUP(A48,'Price list'!A:A,'Price list'!B:B),0)</f>
        <v>5000</v>
      </c>
      <c r="C48" s="196" t="s">
        <v>9</v>
      </c>
      <c r="E48" s="197"/>
      <c r="F48" s="197"/>
      <c r="G48" s="197" t="s">
        <v>23</v>
      </c>
      <c r="H48" s="197" t="str">
        <f>IF(G48=0,"",_xlfn.XLOOKUP(G48,List_item!A:A,List_item!B:B))</f>
        <v>Boneless BL Fresh HJA</v>
      </c>
      <c r="I48" s="197">
        <v>854.4</v>
      </c>
      <c r="J48" s="198">
        <f t="shared" si="4"/>
        <v>5.4805767947862682E-2</v>
      </c>
      <c r="K48" s="197">
        <f t="shared" si="0"/>
        <v>4272000</v>
      </c>
      <c r="L48" s="199">
        <f t="shared" si="16"/>
        <v>5192.4147703293165</v>
      </c>
      <c r="M48" s="197">
        <f t="shared" si="2"/>
        <v>4436399.1797693679</v>
      </c>
      <c r="N48" s="197">
        <f t="shared" si="3"/>
        <v>-192.41477032931653</v>
      </c>
      <c r="O48" s="197">
        <f t="shared" si="5"/>
        <v>-164399.17976936791</v>
      </c>
      <c r="P48" s="197"/>
    </row>
    <row r="49" spans="1:16" x14ac:dyDescent="0.35">
      <c r="A49" t="s">
        <v>2170</v>
      </c>
      <c r="B49" s="3">
        <f>_xlfn.IFNA(_xlfn.XLOOKUP(A49,'Price list'!A:A,'Price list'!B:B),0)</f>
        <v>45000</v>
      </c>
      <c r="C49" t="s">
        <v>9</v>
      </c>
      <c r="E49" s="3"/>
      <c r="F49" s="3"/>
      <c r="G49" s="3"/>
      <c r="H49" s="3" t="str">
        <f>IF(G49=0,"",_xlfn.XLOOKUP(G49,List_item!A:A,List_item!B:B))</f>
        <v/>
      </c>
      <c r="I49" s="3">
        <v>0</v>
      </c>
      <c r="J49" s="26">
        <f t="shared" si="4"/>
        <v>0</v>
      </c>
      <c r="K49" s="3">
        <f t="shared" si="0"/>
        <v>0</v>
      </c>
      <c r="L49" s="27">
        <f t="shared" si="16"/>
        <v>0</v>
      </c>
      <c r="M49" s="3">
        <f t="shared" si="2"/>
        <v>0</v>
      </c>
      <c r="N49" s="3">
        <f t="shared" si="3"/>
        <v>0</v>
      </c>
      <c r="O49" s="3">
        <f t="shared" si="5"/>
        <v>0</v>
      </c>
      <c r="P49" s="3"/>
    </row>
    <row r="50" spans="1:16" x14ac:dyDescent="0.35">
      <c r="A50" t="s">
        <v>2171</v>
      </c>
      <c r="B50" s="3">
        <f>_xlfn.IFNA(_xlfn.XLOOKUP(A50,'Price list'!A:A,'Price list'!B:B),0)</f>
        <v>44000</v>
      </c>
      <c r="C50" t="s">
        <v>9</v>
      </c>
      <c r="E50" s="3"/>
      <c r="F50" s="3"/>
      <c r="G50" s="3"/>
      <c r="H50" s="3" t="str">
        <f>IF(G50=0,"",_xlfn.XLOOKUP(G50,List_item!A:A,List_item!B:B))</f>
        <v/>
      </c>
      <c r="I50" s="3">
        <v>0</v>
      </c>
      <c r="J50" s="26">
        <f t="shared" si="4"/>
        <v>0</v>
      </c>
      <c r="K50" s="3">
        <f t="shared" si="0"/>
        <v>0</v>
      </c>
      <c r="L50" s="27">
        <f t="shared" si="16"/>
        <v>0</v>
      </c>
      <c r="M50" s="3">
        <f t="shared" si="2"/>
        <v>0</v>
      </c>
      <c r="N50" s="3">
        <f t="shared" si="3"/>
        <v>0</v>
      </c>
      <c r="O50" s="3">
        <f t="shared" si="5"/>
        <v>0</v>
      </c>
      <c r="P50" s="3"/>
    </row>
    <row r="51" spans="1:16" x14ac:dyDescent="0.35">
      <c r="A51" t="s">
        <v>3895</v>
      </c>
      <c r="B51" s="3">
        <f>_xlfn.IFNA(_xlfn.XLOOKUP(A51,'Price list'!A:A,'Price list'!B:B),0)</f>
        <v>0</v>
      </c>
      <c r="C51" t="s">
        <v>9</v>
      </c>
      <c r="E51" s="3"/>
      <c r="F51" s="3"/>
      <c r="G51" s="3"/>
      <c r="H51" s="3" t="str">
        <f>IF(G51=0,"",_xlfn.XLOOKUP(G51,List_item!A:A,List_item!B:B))</f>
        <v/>
      </c>
      <c r="I51" s="3">
        <v>0</v>
      </c>
      <c r="J51" s="26">
        <f t="shared" si="4"/>
        <v>0</v>
      </c>
      <c r="K51" s="3">
        <f t="shared" si="0"/>
        <v>0</v>
      </c>
      <c r="L51" s="27">
        <f t="shared" si="16"/>
        <v>0</v>
      </c>
      <c r="M51" s="3">
        <f t="shared" si="2"/>
        <v>0</v>
      </c>
      <c r="N51" s="3">
        <f t="shared" si="3"/>
        <v>0</v>
      </c>
      <c r="O51" s="3">
        <f t="shared" si="5"/>
        <v>0</v>
      </c>
      <c r="P51" s="3"/>
    </row>
    <row r="52" spans="1:16" x14ac:dyDescent="0.35">
      <c r="A52" t="s">
        <v>3896</v>
      </c>
      <c r="B52" s="3">
        <f>_xlfn.IFNA(_xlfn.XLOOKUP(A52,'Price list'!A:A,'Price list'!B:B),0)</f>
        <v>35000</v>
      </c>
      <c r="C52" t="s">
        <v>9</v>
      </c>
      <c r="E52" s="3"/>
      <c r="F52" s="3"/>
      <c r="G52" s="3"/>
      <c r="H52" s="3" t="str">
        <f>IF(G52=0,"",_xlfn.XLOOKUP(G52,List_item!A:A,List_item!B:B))</f>
        <v/>
      </c>
      <c r="I52" s="3">
        <v>0</v>
      </c>
      <c r="J52" s="26">
        <f t="shared" si="4"/>
        <v>0</v>
      </c>
      <c r="K52" s="3">
        <f t="shared" si="0"/>
        <v>0</v>
      </c>
      <c r="L52" s="27">
        <f t="shared" si="16"/>
        <v>0</v>
      </c>
      <c r="M52" s="3">
        <f t="shared" si="2"/>
        <v>0</v>
      </c>
      <c r="N52" s="3">
        <f t="shared" si="3"/>
        <v>0</v>
      </c>
      <c r="O52" s="3">
        <f t="shared" si="5"/>
        <v>0</v>
      </c>
      <c r="P52" s="3"/>
    </row>
    <row r="53" spans="1:16" x14ac:dyDescent="0.35">
      <c r="A53" t="s">
        <v>3897</v>
      </c>
      <c r="B53" s="3">
        <f>_xlfn.IFNA(_xlfn.XLOOKUP(A53,'Price list'!A:A,'Price list'!B:B),0)</f>
        <v>35000</v>
      </c>
      <c r="C53" t="s">
        <v>9</v>
      </c>
      <c r="E53" s="3"/>
      <c r="F53" s="3"/>
      <c r="G53" s="3"/>
      <c r="H53" s="3" t="str">
        <f>IF(G53=0,"",_xlfn.XLOOKUP(G53,List_item!A:A,List_item!B:B))</f>
        <v/>
      </c>
      <c r="I53" s="3">
        <v>0</v>
      </c>
      <c r="J53" s="26">
        <f t="shared" si="4"/>
        <v>0</v>
      </c>
      <c r="K53" s="3">
        <f t="shared" si="0"/>
        <v>0</v>
      </c>
      <c r="L53" s="27">
        <f t="shared" si="16"/>
        <v>0</v>
      </c>
      <c r="M53" s="3">
        <f t="shared" si="2"/>
        <v>0</v>
      </c>
      <c r="N53" s="3">
        <f t="shared" si="3"/>
        <v>0</v>
      </c>
      <c r="O53" s="3">
        <f t="shared" si="5"/>
        <v>0</v>
      </c>
      <c r="P53" s="3"/>
    </row>
    <row r="54" spans="1:16" s="196" customFormat="1" x14ac:dyDescent="0.35">
      <c r="A54" s="196" t="s">
        <v>3898</v>
      </c>
      <c r="B54" s="197">
        <f>_xlfn.IFNA(_xlfn.XLOOKUP(A54,'Price list'!A:A,'Price list'!B:B),0)</f>
        <v>35000</v>
      </c>
      <c r="C54" s="196" t="s">
        <v>9</v>
      </c>
      <c r="E54" s="197"/>
      <c r="F54" s="197"/>
      <c r="G54" s="197" t="s">
        <v>636</v>
      </c>
      <c r="H54" s="197" t="str">
        <f>IF(G54=0,"",_xlfn.XLOOKUP(G54,List_item!A:A,List_item!B:B))</f>
        <v>Karkas Uk 0.6 Karkas Uk 0.6 Frozen Grade A</v>
      </c>
      <c r="I54" s="197">
        <v>11.2</v>
      </c>
      <c r="J54" s="198">
        <f t="shared" si="4"/>
        <v>7.1842766972853695E-4</v>
      </c>
      <c r="K54" s="197">
        <f t="shared" si="0"/>
        <v>392000</v>
      </c>
      <c r="L54" s="199">
        <f t="shared" si="16"/>
        <v>36346.903392305219</v>
      </c>
      <c r="M54" s="197">
        <f t="shared" si="2"/>
        <v>407085.31799381843</v>
      </c>
      <c r="N54" s="197">
        <f t="shared" si="3"/>
        <v>-1346.9033923052193</v>
      </c>
      <c r="O54" s="197">
        <f t="shared" si="5"/>
        <v>-15085.317993818433</v>
      </c>
      <c r="P54" s="197"/>
    </row>
    <row r="55" spans="1:16" s="196" customFormat="1" x14ac:dyDescent="0.35">
      <c r="A55" s="196" t="s">
        <v>3899</v>
      </c>
      <c r="B55" s="197">
        <f>_xlfn.IFNA(_xlfn.XLOOKUP(A55,'Price list'!A:A,'Price list'!B:B),0)</f>
        <v>35000</v>
      </c>
      <c r="C55" s="196" t="s">
        <v>9</v>
      </c>
      <c r="E55" s="197"/>
      <c r="F55" s="197"/>
      <c r="G55" s="197" t="s">
        <v>701</v>
      </c>
      <c r="H55" s="197" t="str">
        <f>IF(G55=0,"",_xlfn.XLOOKUP(G55,List_item!A:A,List_item!B:B))</f>
        <v>Karkas Uk 0.7 Karkas Uk 0.7 Frozen Grade A</v>
      </c>
      <c r="I55" s="197">
        <v>14</v>
      </c>
      <c r="J55" s="198">
        <f t="shared" si="4"/>
        <v>8.9803458716067135E-4</v>
      </c>
      <c r="K55" s="197">
        <f t="shared" si="0"/>
        <v>490000</v>
      </c>
      <c r="L55" s="199">
        <f t="shared" si="16"/>
        <v>36346.903392305219</v>
      </c>
      <c r="M55" s="197">
        <f t="shared" si="2"/>
        <v>508856.64749227307</v>
      </c>
      <c r="N55" s="197">
        <f t="shared" si="3"/>
        <v>-1346.9033923052193</v>
      </c>
      <c r="O55" s="197">
        <f t="shared" si="5"/>
        <v>-18856.64749227307</v>
      </c>
      <c r="P55" s="197"/>
    </row>
    <row r="56" spans="1:16" s="196" customFormat="1" x14ac:dyDescent="0.35">
      <c r="A56" s="196" t="s">
        <v>3900</v>
      </c>
      <c r="B56" s="197">
        <f>_xlfn.IFNA(_xlfn.XLOOKUP(A56,'Price list'!A:A,'Price list'!B:B),0)</f>
        <v>35000</v>
      </c>
      <c r="C56" s="196" t="s">
        <v>9</v>
      </c>
      <c r="E56" s="197"/>
      <c r="F56" s="197"/>
      <c r="G56" s="197" t="s">
        <v>766</v>
      </c>
      <c r="H56" s="197" t="str">
        <f>IF(G56=0,"",_xlfn.XLOOKUP(G56,List_item!A:A,List_item!B:B))</f>
        <v>Karkas Uk 0.8 Karkas Uk 0.8 Frozen Grade A</v>
      </c>
      <c r="I56" s="197">
        <v>44.6</v>
      </c>
      <c r="J56" s="198">
        <f t="shared" si="4"/>
        <v>2.8608816133832817E-3</v>
      </c>
      <c r="K56" s="197">
        <f t="shared" si="0"/>
        <v>1561000</v>
      </c>
      <c r="L56" s="199">
        <f t="shared" si="16"/>
        <v>36346.903392305219</v>
      </c>
      <c r="M56" s="197">
        <f t="shared" si="2"/>
        <v>1621071.8912968128</v>
      </c>
      <c r="N56" s="197">
        <f t="shared" si="3"/>
        <v>-1346.9033923052193</v>
      </c>
      <c r="O56" s="197">
        <f t="shared" si="5"/>
        <v>-60071.891296812799</v>
      </c>
      <c r="P56" s="197"/>
    </row>
    <row r="57" spans="1:16" s="196" customFormat="1" x14ac:dyDescent="0.35">
      <c r="A57" s="196" t="s">
        <v>3901</v>
      </c>
      <c r="B57" s="197">
        <f>_xlfn.IFNA(_xlfn.XLOOKUP(A57,'Price list'!A:A,'Price list'!B:B),0)</f>
        <v>35000</v>
      </c>
      <c r="C57" s="196" t="s">
        <v>9</v>
      </c>
      <c r="E57" s="197"/>
      <c r="F57" s="197"/>
      <c r="G57" s="197" t="s">
        <v>831</v>
      </c>
      <c r="H57" s="197" t="str">
        <f>IF(G57=0,"",_xlfn.XLOOKUP(G57,List_item!A:A,List_item!B:B))</f>
        <v>Karkas Uk 0.9 Karkas Uk 0.9 Frozen Grade A</v>
      </c>
      <c r="I57" s="197">
        <v>68.400000000000006</v>
      </c>
      <c r="J57" s="198">
        <f t="shared" si="4"/>
        <v>4.3875404115564232E-3</v>
      </c>
      <c r="K57" s="197">
        <f t="shared" si="0"/>
        <v>2394000</v>
      </c>
      <c r="L57" s="199">
        <f t="shared" si="16"/>
        <v>36346.903392305212</v>
      </c>
      <c r="M57" s="197">
        <f t="shared" si="2"/>
        <v>2486128.1920336769</v>
      </c>
      <c r="N57" s="197">
        <f t="shared" si="3"/>
        <v>-1346.903392305212</v>
      </c>
      <c r="O57" s="197">
        <f t="shared" si="5"/>
        <v>-92128.192033676896</v>
      </c>
      <c r="P57" s="197"/>
    </row>
    <row r="58" spans="1:16" s="196" customFormat="1" x14ac:dyDescent="0.35">
      <c r="A58" s="196" t="s">
        <v>3902</v>
      </c>
      <c r="B58" s="197">
        <f>_xlfn.IFNA(_xlfn.XLOOKUP(A58,'Price list'!A:A,'Price list'!B:B),0)</f>
        <v>35000</v>
      </c>
      <c r="C58" s="196" t="s">
        <v>9</v>
      </c>
      <c r="E58" s="197"/>
      <c r="F58" s="197"/>
      <c r="G58" s="197" t="s">
        <v>896</v>
      </c>
      <c r="H58" s="197" t="str">
        <f>IF(G58=0,"",_xlfn.XLOOKUP(G58,List_item!A:A,List_item!B:B))</f>
        <v>Karkas Uk 1.0 Karkas Uk 1.0 Frozen Grade A</v>
      </c>
      <c r="I58" s="197">
        <v>85.1</v>
      </c>
      <c r="J58" s="198">
        <f t="shared" si="4"/>
        <v>5.4587673833837941E-3</v>
      </c>
      <c r="K58" s="197">
        <f t="shared" si="0"/>
        <v>2978500</v>
      </c>
      <c r="L58" s="199">
        <f t="shared" si="16"/>
        <v>36346.903392305219</v>
      </c>
      <c r="M58" s="197">
        <f t="shared" si="2"/>
        <v>3093121.4786851741</v>
      </c>
      <c r="N58" s="197">
        <f t="shared" si="3"/>
        <v>-1346.9033923052193</v>
      </c>
      <c r="O58" s="197">
        <f t="shared" si="5"/>
        <v>-114621.47868517414</v>
      </c>
      <c r="P58" s="197"/>
    </row>
    <row r="59" spans="1:16" s="196" customFormat="1" x14ac:dyDescent="0.35">
      <c r="A59" s="196" t="s">
        <v>3903</v>
      </c>
      <c r="B59" s="197">
        <f>_xlfn.IFNA(_xlfn.XLOOKUP(A59,'Price list'!A:A,'Price list'!B:B),0)</f>
        <v>35000</v>
      </c>
      <c r="C59" s="196" t="s">
        <v>9</v>
      </c>
      <c r="E59" s="197"/>
      <c r="F59" s="197"/>
      <c r="G59" s="197" t="s">
        <v>962</v>
      </c>
      <c r="H59" s="197" t="str">
        <f>IF(G59=0,"",_xlfn.XLOOKUP(G59,List_item!A:A,List_item!B:B))</f>
        <v>Karkas Uk 1.1 Karkas Uk 1.1 Frozen Grade A</v>
      </c>
      <c r="I59" s="197">
        <v>57</v>
      </c>
      <c r="J59" s="198">
        <f t="shared" si="4"/>
        <v>3.656283676297019E-3</v>
      </c>
      <c r="K59" s="197">
        <f t="shared" si="0"/>
        <v>1995000</v>
      </c>
      <c r="L59" s="199">
        <f t="shared" si="16"/>
        <v>36346.903392305219</v>
      </c>
      <c r="M59" s="197">
        <f t="shared" si="2"/>
        <v>2071773.4933613974</v>
      </c>
      <c r="N59" s="197">
        <f t="shared" si="3"/>
        <v>-1346.9033923052193</v>
      </c>
      <c r="O59" s="197">
        <f t="shared" si="5"/>
        <v>-76773.493361397414</v>
      </c>
      <c r="P59" s="197"/>
    </row>
    <row r="60" spans="1:16" s="196" customFormat="1" x14ac:dyDescent="0.35">
      <c r="A60" s="196" t="s">
        <v>3904</v>
      </c>
      <c r="B60" s="197">
        <f>_xlfn.IFNA(_xlfn.XLOOKUP(A60,'Price list'!A:A,'Price list'!B:B),0)</f>
        <v>35000</v>
      </c>
      <c r="C60" s="196" t="s">
        <v>9</v>
      </c>
      <c r="E60" s="197"/>
      <c r="F60" s="197"/>
      <c r="G60" s="197" t="s">
        <v>1028</v>
      </c>
      <c r="H60" s="197" t="str">
        <f>IF(G60=0,"",_xlfn.XLOOKUP(G60,List_item!A:A,List_item!B:B))</f>
        <v>Karkas Uk 1.2 Karkas Uk 1.2 Frozen Grade A</v>
      </c>
      <c r="I60" s="197">
        <v>48</v>
      </c>
      <c r="J60" s="198">
        <f t="shared" si="4"/>
        <v>3.0789757274080161E-3</v>
      </c>
      <c r="K60" s="197">
        <f t="shared" si="0"/>
        <v>1680000</v>
      </c>
      <c r="L60" s="199">
        <f t="shared" si="16"/>
        <v>36346.903392305212</v>
      </c>
      <c r="M60" s="197">
        <f t="shared" si="2"/>
        <v>1744651.3628306501</v>
      </c>
      <c r="N60" s="197">
        <f t="shared" si="3"/>
        <v>-1346.903392305212</v>
      </c>
      <c r="O60" s="197">
        <f t="shared" si="5"/>
        <v>-64651.362830650061</v>
      </c>
      <c r="P60" s="197"/>
    </row>
    <row r="61" spans="1:16" s="196" customFormat="1" x14ac:dyDescent="0.35">
      <c r="A61" s="196" t="s">
        <v>3905</v>
      </c>
      <c r="B61" s="197">
        <f>_xlfn.IFNA(_xlfn.XLOOKUP(A61,'Price list'!A:A,'Price list'!B:B),0)</f>
        <v>35000</v>
      </c>
      <c r="C61" s="196" t="s">
        <v>9</v>
      </c>
      <c r="E61" s="197"/>
      <c r="F61" s="197"/>
      <c r="G61" s="197" t="s">
        <v>1094</v>
      </c>
      <c r="H61" s="197" t="str">
        <f>IF(G61=0,"",_xlfn.XLOOKUP(G61,List_item!A:A,List_item!B:B))</f>
        <v>Karkas Uk 1.3 Karkas Uk 1.3 Frozen Grade A</v>
      </c>
      <c r="I61" s="197">
        <v>52.9</v>
      </c>
      <c r="J61" s="198">
        <f t="shared" si="4"/>
        <v>3.3932878329142506E-3</v>
      </c>
      <c r="K61" s="197">
        <f t="shared" si="0"/>
        <v>1851500</v>
      </c>
      <c r="L61" s="199">
        <f t="shared" si="16"/>
        <v>36346.903392305219</v>
      </c>
      <c r="M61" s="197">
        <f t="shared" si="2"/>
        <v>1922751.189452946</v>
      </c>
      <c r="N61" s="197">
        <f t="shared" si="3"/>
        <v>-1346.9033923052193</v>
      </c>
      <c r="O61" s="197">
        <f t="shared" si="5"/>
        <v>-71251.189452945953</v>
      </c>
      <c r="P61" s="197"/>
    </row>
    <row r="62" spans="1:16" s="196" customFormat="1" x14ac:dyDescent="0.35">
      <c r="A62" s="196" t="s">
        <v>3906</v>
      </c>
      <c r="B62" s="197">
        <f>_xlfn.IFNA(_xlfn.XLOOKUP(A62,'Price list'!A:A,'Price list'!B:B),0)</f>
        <v>35000</v>
      </c>
      <c r="C62" s="196" t="s">
        <v>9</v>
      </c>
      <c r="E62" s="197"/>
      <c r="F62" s="197"/>
      <c r="G62" s="197" t="s">
        <v>1160</v>
      </c>
      <c r="H62" s="197" t="str">
        <f>IF(G62=0,"",_xlfn.XLOOKUP(G62,List_item!A:A,List_item!B:B))</f>
        <v>Karkas Uk 1.4 Karkas Uk 1.4 Frozen Grade A</v>
      </c>
      <c r="I62" s="197">
        <v>70.8</v>
      </c>
      <c r="J62" s="198">
        <f t="shared" si="4"/>
        <v>4.5414891979268235E-3</v>
      </c>
      <c r="K62" s="197">
        <f t="shared" si="0"/>
        <v>2478000</v>
      </c>
      <c r="L62" s="199">
        <f t="shared" si="16"/>
        <v>36346.903392305219</v>
      </c>
      <c r="M62" s="197">
        <f t="shared" si="2"/>
        <v>2573360.7601752095</v>
      </c>
      <c r="N62" s="197">
        <f t="shared" si="3"/>
        <v>-1346.9033923052193</v>
      </c>
      <c r="O62" s="197">
        <f t="shared" si="5"/>
        <v>-95360.760175209492</v>
      </c>
      <c r="P62" s="197"/>
    </row>
    <row r="63" spans="1:16" s="196" customFormat="1" x14ac:dyDescent="0.35">
      <c r="A63" s="196" t="s">
        <v>3907</v>
      </c>
      <c r="B63" s="197">
        <f>_xlfn.IFNA(_xlfn.XLOOKUP(A63,'Price list'!A:A,'Price list'!B:B),0)</f>
        <v>35000</v>
      </c>
      <c r="C63" s="196" t="s">
        <v>9</v>
      </c>
      <c r="E63" s="197"/>
      <c r="F63" s="197"/>
      <c r="G63" s="197" t="s">
        <v>1166</v>
      </c>
      <c r="H63" s="197" t="str">
        <f>IF(G63=0,"",_xlfn.XLOOKUP(G63,List_item!A:A,List_item!B:B))</f>
        <v>Karkas Uk 1.4 Karkas Uk 1.4 Frozen HJA - Ampela Grade</v>
      </c>
      <c r="I63" s="197">
        <v>42.1</v>
      </c>
      <c r="J63" s="198">
        <f t="shared" si="4"/>
        <v>2.7005182942474474E-3</v>
      </c>
      <c r="K63" s="197">
        <f t="shared" si="0"/>
        <v>1473500</v>
      </c>
      <c r="L63" s="199">
        <f t="shared" si="16"/>
        <v>36346.903392305219</v>
      </c>
      <c r="M63" s="197">
        <f t="shared" si="2"/>
        <v>1530204.6328160497</v>
      </c>
      <c r="N63" s="197">
        <f t="shared" si="3"/>
        <v>-1346.9033923052193</v>
      </c>
      <c r="O63" s="197">
        <f t="shared" si="5"/>
        <v>-56704.632816049736</v>
      </c>
      <c r="P63" s="197"/>
    </row>
    <row r="64" spans="1:16" s="196" customFormat="1" x14ac:dyDescent="0.35">
      <c r="A64" s="196" t="s">
        <v>3908</v>
      </c>
      <c r="B64" s="197">
        <f>_xlfn.IFNA(_xlfn.XLOOKUP(A64,'Price list'!A:A,'Price list'!B:B),0)</f>
        <v>35000</v>
      </c>
      <c r="C64" s="196" t="s">
        <v>9</v>
      </c>
      <c r="E64" s="197"/>
      <c r="F64" s="197"/>
      <c r="G64" s="197" t="s">
        <v>1291</v>
      </c>
      <c r="H64" s="197" t="str">
        <f>IF(G64=0,"",_xlfn.XLOOKUP(G64,List_item!A:A,List_item!B:B))</f>
        <v>Karkas Uk 1.6 Karkas Uk 1.6 Frozen Grade A</v>
      </c>
      <c r="I64" s="197">
        <v>32</v>
      </c>
      <c r="J64" s="198">
        <f t="shared" si="4"/>
        <v>2.0526504849386774E-3</v>
      </c>
      <c r="K64" s="197">
        <f t="shared" si="0"/>
        <v>1120000</v>
      </c>
      <c r="L64" s="199">
        <f t="shared" si="16"/>
        <v>36346.903392305219</v>
      </c>
      <c r="M64" s="197">
        <f t="shared" si="2"/>
        <v>1163100.908553767</v>
      </c>
      <c r="N64" s="197">
        <f t="shared" si="3"/>
        <v>-1346.9033923052193</v>
      </c>
      <c r="O64" s="197">
        <f t="shared" si="5"/>
        <v>-43100.908553767018</v>
      </c>
      <c r="P64" s="197"/>
    </row>
    <row r="65" spans="1:16" s="196" customFormat="1" x14ac:dyDescent="0.35">
      <c r="A65" s="196" t="s">
        <v>3909</v>
      </c>
      <c r="B65" s="197">
        <f>_xlfn.IFNA(_xlfn.XLOOKUP(A65,'Price list'!A:A,'Price list'!B:B),0)</f>
        <v>35000</v>
      </c>
      <c r="C65" s="196" t="s">
        <v>9</v>
      </c>
      <c r="E65" s="197"/>
      <c r="F65" s="197"/>
      <c r="G65" s="197" t="s">
        <v>1357</v>
      </c>
      <c r="H65" s="197" t="str">
        <f>IF(G65=0,"",_xlfn.XLOOKUP(G65,List_item!A:A,List_item!B:B))</f>
        <v>Karkas Uk 1.7 Karkas Uk 1.7 Frozen Grade A</v>
      </c>
      <c r="I65" s="197">
        <v>17.8</v>
      </c>
      <c r="J65" s="198">
        <f t="shared" si="4"/>
        <v>1.1417868322471394E-3</v>
      </c>
      <c r="K65" s="197">
        <f t="shared" si="0"/>
        <v>623000</v>
      </c>
      <c r="L65" s="199">
        <f t="shared" si="16"/>
        <v>36346.903392305219</v>
      </c>
      <c r="M65" s="197">
        <f t="shared" si="2"/>
        <v>646974.88038303296</v>
      </c>
      <c r="N65" s="197">
        <f t="shared" si="3"/>
        <v>-1346.9033923052193</v>
      </c>
      <c r="O65" s="197">
        <f t="shared" si="5"/>
        <v>-23974.880383032956</v>
      </c>
      <c r="P65" s="197"/>
    </row>
    <row r="66" spans="1:16" s="196" customFormat="1" x14ac:dyDescent="0.35">
      <c r="A66" s="196" t="s">
        <v>3945</v>
      </c>
      <c r="B66" s="197">
        <f>_xlfn.IFNA(_xlfn.XLOOKUP(A66,'Price list'!A:A,'Price list'!B:B),0)</f>
        <v>35000</v>
      </c>
      <c r="C66" s="196" t="s">
        <v>9</v>
      </c>
      <c r="E66" s="197"/>
      <c r="F66" s="197"/>
      <c r="G66" s="197" t="s">
        <v>1424</v>
      </c>
      <c r="H66" s="197" t="str">
        <f>IF(G66=0,"",_xlfn.XLOOKUP(G66,List_item!A:A,List_item!B:B))</f>
        <v>Karkas Uk 1.8 Karkas Uk 1.8 Frozen Grade A</v>
      </c>
      <c r="I66" s="197">
        <v>11.3</v>
      </c>
      <c r="J66" s="198">
        <f t="shared" si="4"/>
        <v>7.2484220249397044E-4</v>
      </c>
      <c r="K66" s="197">
        <f t="shared" si="0"/>
        <v>395500</v>
      </c>
      <c r="L66" s="199">
        <f t="shared" si="16"/>
        <v>36346.903392305212</v>
      </c>
      <c r="M66" s="197">
        <f t="shared" si="2"/>
        <v>410720.0083330489</v>
      </c>
      <c r="N66" s="197">
        <f t="shared" si="3"/>
        <v>-1346.903392305212</v>
      </c>
      <c r="O66" s="197">
        <f t="shared" si="5"/>
        <v>-15220.0083330489</v>
      </c>
      <c r="P66" s="197"/>
    </row>
    <row r="67" spans="1:16" x14ac:dyDescent="0.35">
      <c r="A67" t="s">
        <v>3911</v>
      </c>
      <c r="B67" s="3">
        <f>_xlfn.IFNA(_xlfn.XLOOKUP(A67,'Price list'!A:A,'Price list'!B:B),0)</f>
        <v>35000</v>
      </c>
      <c r="C67" t="s">
        <v>9</v>
      </c>
      <c r="E67" s="3"/>
      <c r="F67" s="3"/>
      <c r="G67" s="3"/>
      <c r="H67" s="3" t="str">
        <f>IF(G67=0,"",_xlfn.XLOOKUP(G67,List_item!A:A,List_item!B:B))</f>
        <v/>
      </c>
      <c r="I67" s="3">
        <v>0</v>
      </c>
      <c r="J67" s="26">
        <f t="shared" si="4"/>
        <v>0</v>
      </c>
      <c r="K67" s="3">
        <f t="shared" si="0"/>
        <v>0</v>
      </c>
      <c r="L67" s="27">
        <f t="shared" si="16"/>
        <v>0</v>
      </c>
      <c r="M67" s="3">
        <f t="shared" si="2"/>
        <v>0</v>
      </c>
      <c r="N67" s="3">
        <f t="shared" si="3"/>
        <v>0</v>
      </c>
      <c r="O67" s="3">
        <f t="shared" si="5"/>
        <v>0</v>
      </c>
      <c r="P67" s="3"/>
    </row>
    <row r="68" spans="1:16" x14ac:dyDescent="0.35">
      <c r="A68" t="s">
        <v>3912</v>
      </c>
      <c r="B68" s="3">
        <f>_xlfn.IFNA(_xlfn.XLOOKUP(A68,'Price list'!A:A,'Price list'!B:B),0)</f>
        <v>35000</v>
      </c>
      <c r="C68" t="s">
        <v>9</v>
      </c>
      <c r="E68" s="3"/>
      <c r="F68" s="3"/>
      <c r="G68" s="3"/>
      <c r="H68" s="3" t="str">
        <f>IF(G68=0,"",_xlfn.XLOOKUP(G68,List_item!A:A,List_item!B:B))</f>
        <v/>
      </c>
      <c r="I68" s="3">
        <v>0</v>
      </c>
      <c r="J68" s="26">
        <f t="shared" si="4"/>
        <v>0</v>
      </c>
      <c r="K68" s="3">
        <f t="shared" si="0"/>
        <v>0</v>
      </c>
      <c r="L68" s="27">
        <f t="shared" si="16"/>
        <v>0</v>
      </c>
      <c r="M68" s="3">
        <f t="shared" si="2"/>
        <v>0</v>
      </c>
      <c r="N68" s="3">
        <f t="shared" si="3"/>
        <v>0</v>
      </c>
      <c r="O68" s="3">
        <f t="shared" si="5"/>
        <v>0</v>
      </c>
      <c r="P68" s="3"/>
    </row>
    <row r="69" spans="1:16" x14ac:dyDescent="0.35">
      <c r="A69" t="s">
        <v>3913</v>
      </c>
      <c r="B69" s="3">
        <f>_xlfn.IFNA(_xlfn.XLOOKUP(A69,'Price list'!A:A,'Price list'!B:B),0)</f>
        <v>0</v>
      </c>
      <c r="C69" t="s">
        <v>9</v>
      </c>
      <c r="E69" s="3"/>
      <c r="F69" s="3"/>
      <c r="G69" s="3"/>
      <c r="H69" s="3" t="str">
        <f>IF(G69=0,"",_xlfn.XLOOKUP(G69,List_item!A:A,List_item!B:B))</f>
        <v/>
      </c>
      <c r="I69" s="3">
        <v>0</v>
      </c>
      <c r="J69" s="26">
        <f t="shared" si="4"/>
        <v>0</v>
      </c>
      <c r="K69" s="3">
        <f t="shared" si="0"/>
        <v>0</v>
      </c>
      <c r="L69" s="27">
        <f t="shared" si="16"/>
        <v>0</v>
      </c>
      <c r="M69" s="3">
        <f t="shared" si="2"/>
        <v>0</v>
      </c>
      <c r="N69" s="3">
        <f t="shared" si="3"/>
        <v>0</v>
      </c>
      <c r="O69" s="3">
        <f t="shared" si="5"/>
        <v>0</v>
      </c>
      <c r="P69" s="3"/>
    </row>
    <row r="70" spans="1:16" x14ac:dyDescent="0.35">
      <c r="A70" t="s">
        <v>3914</v>
      </c>
      <c r="B70" s="3">
        <f>_xlfn.IFNA(_xlfn.XLOOKUP(A70,'Price list'!A:A,'Price list'!B:B),0)</f>
        <v>0</v>
      </c>
      <c r="C70" t="s">
        <v>9</v>
      </c>
      <c r="E70" s="3"/>
      <c r="F70" s="3"/>
      <c r="G70" s="3"/>
      <c r="H70" s="3" t="str">
        <f>IF(G70=0,"",_xlfn.XLOOKUP(G70,List_item!A:A,List_item!B:B))</f>
        <v/>
      </c>
      <c r="I70" s="3">
        <v>0</v>
      </c>
      <c r="J70" s="26">
        <f t="shared" si="4"/>
        <v>0</v>
      </c>
      <c r="K70" s="3">
        <f t="shared" si="0"/>
        <v>0</v>
      </c>
      <c r="L70" s="27">
        <f t="shared" si="16"/>
        <v>0</v>
      </c>
      <c r="M70" s="3">
        <f t="shared" si="2"/>
        <v>0</v>
      </c>
      <c r="N70" s="3">
        <f t="shared" si="3"/>
        <v>0</v>
      </c>
      <c r="O70" s="3">
        <f t="shared" si="5"/>
        <v>0</v>
      </c>
      <c r="P70" s="3"/>
    </row>
    <row r="71" spans="1:16" x14ac:dyDescent="0.35">
      <c r="A71" t="s">
        <v>3915</v>
      </c>
      <c r="B71" s="3">
        <f>_xlfn.IFNA(_xlfn.XLOOKUP(A71,'Price list'!A:A,'Price list'!B:B),0)</f>
        <v>0</v>
      </c>
      <c r="C71" t="s">
        <v>9</v>
      </c>
      <c r="E71" s="3"/>
      <c r="F71" s="3"/>
      <c r="G71" s="3"/>
      <c r="H71" s="3" t="str">
        <f>IF(G71=0,"",_xlfn.XLOOKUP(G71,List_item!A:A,List_item!B:B))</f>
        <v/>
      </c>
      <c r="I71" s="3">
        <v>0</v>
      </c>
      <c r="J71" s="26">
        <f t="shared" si="4"/>
        <v>0</v>
      </c>
      <c r="K71" s="3">
        <f t="shared" si="0"/>
        <v>0</v>
      </c>
      <c r="L71" s="27">
        <f t="shared" si="16"/>
        <v>0</v>
      </c>
      <c r="M71" s="3">
        <f t="shared" si="2"/>
        <v>0</v>
      </c>
      <c r="N71" s="3">
        <f t="shared" si="3"/>
        <v>0</v>
      </c>
      <c r="O71" s="3">
        <f t="shared" si="5"/>
        <v>0</v>
      </c>
      <c r="P71" s="3"/>
    </row>
    <row r="72" spans="1:16" x14ac:dyDescent="0.35">
      <c r="A72" t="s">
        <v>3916</v>
      </c>
      <c r="B72" s="3">
        <f>_xlfn.IFNA(_xlfn.XLOOKUP(A72,'Price list'!A:A,'Price list'!B:B),0)</f>
        <v>0</v>
      </c>
      <c r="C72" t="s">
        <v>9</v>
      </c>
      <c r="E72" s="3"/>
      <c r="F72" s="3"/>
      <c r="G72" s="3"/>
      <c r="H72" s="3" t="str">
        <f>IF(G72=0,"",_xlfn.XLOOKUP(G72,List_item!A:A,List_item!B:B))</f>
        <v/>
      </c>
      <c r="I72" s="3">
        <v>0</v>
      </c>
      <c r="J72" s="26">
        <f t="shared" si="4"/>
        <v>0</v>
      </c>
      <c r="K72" s="3">
        <f t="shared" si="0"/>
        <v>0</v>
      </c>
      <c r="L72" s="27">
        <f t="shared" si="16"/>
        <v>0</v>
      </c>
      <c r="M72" s="3">
        <f t="shared" si="2"/>
        <v>0</v>
      </c>
      <c r="N72" s="3">
        <f t="shared" si="3"/>
        <v>0</v>
      </c>
      <c r="O72" s="3">
        <f t="shared" si="5"/>
        <v>0</v>
      </c>
      <c r="P72" s="3"/>
    </row>
    <row r="73" spans="1:16" x14ac:dyDescent="0.35">
      <c r="A73" t="s">
        <v>3917</v>
      </c>
      <c r="B73" s="3">
        <f>_xlfn.IFNA(_xlfn.XLOOKUP(A73,'Price list'!A:A,'Price list'!B:B),0)</f>
        <v>0</v>
      </c>
      <c r="C73" t="s">
        <v>9</v>
      </c>
      <c r="E73" s="3"/>
      <c r="F73" s="3"/>
      <c r="G73" s="3"/>
      <c r="H73" s="3" t="str">
        <f>IF(G73=0,"",_xlfn.XLOOKUP(G73,List_item!A:A,List_item!B:B))</f>
        <v/>
      </c>
      <c r="I73" s="3">
        <v>0</v>
      </c>
      <c r="J73" s="26">
        <f t="shared" si="4"/>
        <v>0</v>
      </c>
      <c r="K73" s="3">
        <f t="shared" si="0"/>
        <v>0</v>
      </c>
      <c r="L73" s="27">
        <f t="shared" si="16"/>
        <v>0</v>
      </c>
      <c r="M73" s="3">
        <f t="shared" si="2"/>
        <v>0</v>
      </c>
      <c r="N73" s="3">
        <f t="shared" si="3"/>
        <v>0</v>
      </c>
      <c r="O73" s="3">
        <f t="shared" si="5"/>
        <v>0</v>
      </c>
      <c r="P73" s="3"/>
    </row>
    <row r="74" spans="1:16" x14ac:dyDescent="0.35">
      <c r="A74" t="s">
        <v>3918</v>
      </c>
      <c r="B74" s="3">
        <f>_xlfn.IFNA(_xlfn.XLOOKUP(A74,'Price list'!A:A,'Price list'!B:B),0)</f>
        <v>0</v>
      </c>
      <c r="C74" t="s">
        <v>9</v>
      </c>
      <c r="E74" s="3"/>
      <c r="F74" s="3"/>
      <c r="G74" s="3"/>
      <c r="H74" s="3" t="str">
        <f>IF(G74=0,"",_xlfn.XLOOKUP(G74,List_item!A:A,List_item!B:B))</f>
        <v/>
      </c>
      <c r="I74" s="3">
        <v>0</v>
      </c>
      <c r="J74" s="26">
        <f t="shared" si="4"/>
        <v>0</v>
      </c>
      <c r="K74" s="3">
        <f t="shared" si="0"/>
        <v>0</v>
      </c>
      <c r="L74" s="27">
        <f t="shared" si="16"/>
        <v>0</v>
      </c>
      <c r="M74" s="3">
        <f t="shared" si="2"/>
        <v>0</v>
      </c>
      <c r="N74" s="3">
        <f t="shared" si="3"/>
        <v>0</v>
      </c>
      <c r="O74" s="3">
        <f t="shared" si="5"/>
        <v>0</v>
      </c>
      <c r="P74" s="3"/>
    </row>
    <row r="75" spans="1:16" x14ac:dyDescent="0.35">
      <c r="A75" t="s">
        <v>3919</v>
      </c>
      <c r="B75" s="3">
        <f>_xlfn.IFNA(_xlfn.XLOOKUP(A75,'Price list'!A:A,'Price list'!B:B),0)</f>
        <v>0</v>
      </c>
      <c r="C75" t="s">
        <v>9</v>
      </c>
      <c r="E75" s="3"/>
      <c r="F75" s="3"/>
      <c r="G75" s="3"/>
      <c r="H75" s="3" t="str">
        <f>IF(G75=0,"",_xlfn.XLOOKUP(G75,List_item!A:A,List_item!B:B))</f>
        <v/>
      </c>
      <c r="I75" s="3">
        <v>0</v>
      </c>
      <c r="J75" s="26">
        <f t="shared" si="4"/>
        <v>0</v>
      </c>
      <c r="K75" s="3">
        <f t="shared" si="0"/>
        <v>0</v>
      </c>
      <c r="L75" s="27">
        <f t="shared" ref="L75:L80" si="17">IFERROR(((K75/SUM($K$11:$K$80))*$F$10)/(F75+I75),0)</f>
        <v>0</v>
      </c>
      <c r="M75" s="3">
        <f t="shared" si="2"/>
        <v>0</v>
      </c>
      <c r="N75" s="3">
        <f t="shared" si="3"/>
        <v>0</v>
      </c>
      <c r="O75" s="3">
        <f t="shared" si="5"/>
        <v>0</v>
      </c>
      <c r="P75" s="3"/>
    </row>
    <row r="76" spans="1:16" x14ac:dyDescent="0.35">
      <c r="A76" t="s">
        <v>3920</v>
      </c>
      <c r="B76" s="3">
        <f>_xlfn.IFNA(_xlfn.XLOOKUP(A76,'Price list'!A:A,'Price list'!B:B),0)</f>
        <v>0</v>
      </c>
      <c r="C76" t="s">
        <v>9</v>
      </c>
      <c r="E76" s="3"/>
      <c r="F76" s="3"/>
      <c r="G76" s="3"/>
      <c r="H76" s="3" t="str">
        <f>IF(G76=0,"",_xlfn.XLOOKUP(G76,List_item!A:A,List_item!B:B))</f>
        <v/>
      </c>
      <c r="I76" s="3">
        <v>0</v>
      </c>
      <c r="J76" s="26">
        <f t="shared" si="4"/>
        <v>0</v>
      </c>
      <c r="K76" s="3">
        <f t="shared" ref="K76:K80" si="18">+B76*(F76+I76)</f>
        <v>0</v>
      </c>
      <c r="L76" s="27">
        <f t="shared" si="17"/>
        <v>0</v>
      </c>
      <c r="M76" s="3">
        <f t="shared" ref="M76:M80" si="19">+L76*(F76+I76)</f>
        <v>0</v>
      </c>
      <c r="N76" s="3">
        <f t="shared" ref="N76:N80" si="20">IF(L76=0,0,B76-L76)</f>
        <v>0</v>
      </c>
      <c r="O76" s="3">
        <f t="shared" si="5"/>
        <v>0</v>
      </c>
      <c r="P76" s="3"/>
    </row>
    <row r="77" spans="1:16" x14ac:dyDescent="0.35">
      <c r="A77" t="s">
        <v>3921</v>
      </c>
      <c r="B77" s="3">
        <f>_xlfn.IFNA(_xlfn.XLOOKUP(A77,'Price list'!A:A,'Price list'!B:B),0)</f>
        <v>0</v>
      </c>
      <c r="C77" t="s">
        <v>9</v>
      </c>
      <c r="E77" s="3"/>
      <c r="F77" s="3"/>
      <c r="G77" s="3"/>
      <c r="H77" s="3" t="str">
        <f>IF(G77=0,"",_xlfn.XLOOKUP(G77,List_item!A:A,List_item!B:B))</f>
        <v/>
      </c>
      <c r="I77" s="3">
        <v>0</v>
      </c>
      <c r="J77" s="26">
        <f t="shared" ref="J77:J80" si="21">IF(F77/J$5&gt;0,F77/J$5,I77/J$5)</f>
        <v>0</v>
      </c>
      <c r="K77" s="3">
        <f t="shared" si="18"/>
        <v>0</v>
      </c>
      <c r="L77" s="27">
        <f t="shared" si="17"/>
        <v>0</v>
      </c>
      <c r="M77" s="3">
        <f t="shared" si="19"/>
        <v>0</v>
      </c>
      <c r="N77" s="3">
        <f t="shared" si="20"/>
        <v>0</v>
      </c>
      <c r="O77" s="3">
        <f t="shared" ref="O77:O80" si="22">+K77-M77</f>
        <v>0</v>
      </c>
      <c r="P77" s="3"/>
    </row>
    <row r="78" spans="1:16" x14ac:dyDescent="0.35">
      <c r="A78" t="s">
        <v>3922</v>
      </c>
      <c r="B78" s="3">
        <f>_xlfn.IFNA(_xlfn.XLOOKUP(A78,'Price list'!A:A,'Price list'!B:B),0)</f>
        <v>0</v>
      </c>
      <c r="C78" t="s">
        <v>9</v>
      </c>
      <c r="E78" s="3"/>
      <c r="F78" s="3"/>
      <c r="G78" s="3"/>
      <c r="H78" s="3" t="str">
        <f>IF(G78=0,"",_xlfn.XLOOKUP(G78,List_item!A:A,List_item!B:B))</f>
        <v/>
      </c>
      <c r="I78" s="3">
        <v>0</v>
      </c>
      <c r="J78" s="26">
        <f t="shared" si="21"/>
        <v>0</v>
      </c>
      <c r="K78" s="3">
        <f t="shared" si="18"/>
        <v>0</v>
      </c>
      <c r="L78" s="27">
        <f t="shared" si="17"/>
        <v>0</v>
      </c>
      <c r="M78" s="3">
        <f t="shared" si="19"/>
        <v>0</v>
      </c>
      <c r="N78" s="3">
        <f t="shared" si="20"/>
        <v>0</v>
      </c>
      <c r="O78" s="3">
        <f t="shared" si="22"/>
        <v>0</v>
      </c>
      <c r="P78" s="3"/>
    </row>
    <row r="79" spans="1:16" x14ac:dyDescent="0.35">
      <c r="A79" t="s">
        <v>3923</v>
      </c>
      <c r="B79" s="3">
        <f>_xlfn.IFNA(_xlfn.XLOOKUP(A79,'Price list'!A:A,'Price list'!B:B),0)</f>
        <v>0</v>
      </c>
      <c r="C79" t="s">
        <v>9</v>
      </c>
      <c r="E79" s="3"/>
      <c r="F79" s="3"/>
      <c r="G79" s="3"/>
      <c r="H79" s="3" t="str">
        <f>IF(G79=0,"",_xlfn.XLOOKUP(G79,List_item!A:A,List_item!B:B))</f>
        <v/>
      </c>
      <c r="I79" s="3">
        <v>0</v>
      </c>
      <c r="J79" s="26">
        <f t="shared" si="21"/>
        <v>0</v>
      </c>
      <c r="K79" s="3">
        <f t="shared" si="18"/>
        <v>0</v>
      </c>
      <c r="L79" s="27">
        <f t="shared" si="17"/>
        <v>0</v>
      </c>
      <c r="M79" s="3">
        <f t="shared" si="19"/>
        <v>0</v>
      </c>
      <c r="N79" s="3">
        <f t="shared" si="20"/>
        <v>0</v>
      </c>
      <c r="O79" s="3">
        <f t="shared" si="22"/>
        <v>0</v>
      </c>
      <c r="P79" s="3"/>
    </row>
    <row r="80" spans="1:16" x14ac:dyDescent="0.35">
      <c r="A80" t="s">
        <v>3924</v>
      </c>
      <c r="B80" s="3">
        <f>_xlfn.IFNA(_xlfn.XLOOKUP(A80,'Price list'!A:A,'Price list'!B:B),0)</f>
        <v>0</v>
      </c>
      <c r="C80" t="s">
        <v>9</v>
      </c>
      <c r="E80" s="3"/>
      <c r="F80" s="3"/>
      <c r="G80" s="3"/>
      <c r="H80" s="3" t="str">
        <f>IF(G80=0,"",_xlfn.XLOOKUP(G80,List_item!A:A,List_item!B:B))</f>
        <v/>
      </c>
      <c r="I80" s="3">
        <v>0</v>
      </c>
      <c r="J80" s="26">
        <f t="shared" si="21"/>
        <v>0</v>
      </c>
      <c r="K80" s="3">
        <f t="shared" si="18"/>
        <v>0</v>
      </c>
      <c r="L80" s="27">
        <f t="shared" si="17"/>
        <v>0</v>
      </c>
      <c r="M80" s="3">
        <f t="shared" si="19"/>
        <v>0</v>
      </c>
      <c r="N80" s="3">
        <f t="shared" si="20"/>
        <v>0</v>
      </c>
      <c r="O80" s="3">
        <f t="shared" si="22"/>
        <v>0</v>
      </c>
      <c r="P80" s="3"/>
    </row>
    <row r="83" spans="1:7" x14ac:dyDescent="0.35">
      <c r="A83" t="s">
        <v>3929</v>
      </c>
      <c r="B83"/>
      <c r="E83"/>
      <c r="F83" s="117"/>
      <c r="G83" t="s">
        <v>3930</v>
      </c>
    </row>
    <row r="84" spans="1:7" x14ac:dyDescent="0.35">
      <c r="B84"/>
      <c r="E84"/>
      <c r="F84" s="117"/>
      <c r="G84"/>
    </row>
    <row r="85" spans="1:7" x14ac:dyDescent="0.35">
      <c r="B85"/>
      <c r="E85"/>
      <c r="F85" s="117"/>
      <c r="G85"/>
    </row>
    <row r="86" spans="1:7" x14ac:dyDescent="0.35">
      <c r="B86"/>
      <c r="E86"/>
      <c r="F86" s="117"/>
      <c r="G86"/>
    </row>
    <row r="87" spans="1:7" x14ac:dyDescent="0.35">
      <c r="B87"/>
      <c r="E87"/>
      <c r="F87" s="117"/>
      <c r="G87"/>
    </row>
    <row r="88" spans="1:7" x14ac:dyDescent="0.35">
      <c r="B88"/>
      <c r="E88"/>
      <c r="F88" s="117"/>
      <c r="G88"/>
    </row>
    <row r="89" spans="1:7" x14ac:dyDescent="0.35">
      <c r="A89" s="118"/>
      <c r="B89"/>
      <c r="E89"/>
      <c r="F89" s="117"/>
      <c r="G89" s="118"/>
    </row>
    <row r="90" spans="1:7" x14ac:dyDescent="0.35">
      <c r="B90"/>
      <c r="E90"/>
      <c r="F90" s="117"/>
      <c r="G90"/>
    </row>
  </sheetData>
  <autoFilter ref="A10:P80" xr:uid="{9E3D57EB-0D9F-40FE-B4FE-C94EEFF00F8F}"/>
  <conditionalFormatting sqref="O10">
    <cfRule type="cellIs" dxfId="1" priority="1" operator="lessThan">
      <formula>0</formula>
    </cfRule>
  </conditionalFormatting>
  <pageMargins left="0.7" right="0.7" top="0.75" bottom="0.75" header="0.3" footer="0.3"/>
  <pageSetup paperSize="9" scale="43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F902-6C9A-463D-88F4-F77E7A3E106C}">
  <sheetPr filterMode="1"/>
  <dimension ref="A1:G1911"/>
  <sheetViews>
    <sheetView topLeftCell="A4" workbookViewId="0">
      <selection activeCell="A5" sqref="A5"/>
    </sheetView>
  </sheetViews>
  <sheetFormatPr defaultRowHeight="14.5" x14ac:dyDescent="0.35"/>
  <cols>
    <col min="1" max="1" width="31.1796875" bestFit="1" customWidth="1"/>
    <col min="2" max="2" width="60.1796875" bestFit="1" customWidth="1"/>
    <col min="3" max="3" width="7.81640625" bestFit="1" customWidth="1"/>
    <col min="4" max="4" width="8.81640625" bestFit="1" customWidth="1"/>
    <col min="5" max="5" width="13.81640625" bestFit="1" customWidth="1"/>
    <col min="6" max="6" width="16.7265625" bestFit="1" customWidth="1"/>
    <col min="257" max="257" width="31.1796875" bestFit="1" customWidth="1"/>
    <col min="258" max="258" width="60.1796875" bestFit="1" customWidth="1"/>
    <col min="259" max="259" width="7.81640625" bestFit="1" customWidth="1"/>
    <col min="260" max="260" width="8.81640625" bestFit="1" customWidth="1"/>
    <col min="261" max="261" width="13.81640625" bestFit="1" customWidth="1"/>
    <col min="262" max="262" width="16.7265625" bestFit="1" customWidth="1"/>
    <col min="513" max="513" width="31.1796875" bestFit="1" customWidth="1"/>
    <col min="514" max="514" width="60.1796875" bestFit="1" customWidth="1"/>
    <col min="515" max="515" width="7.81640625" bestFit="1" customWidth="1"/>
    <col min="516" max="516" width="8.81640625" bestFit="1" customWidth="1"/>
    <col min="517" max="517" width="13.81640625" bestFit="1" customWidth="1"/>
    <col min="518" max="518" width="16.7265625" bestFit="1" customWidth="1"/>
    <col min="769" max="769" width="31.1796875" bestFit="1" customWidth="1"/>
    <col min="770" max="770" width="60.1796875" bestFit="1" customWidth="1"/>
    <col min="771" max="771" width="7.81640625" bestFit="1" customWidth="1"/>
    <col min="772" max="772" width="8.81640625" bestFit="1" customWidth="1"/>
    <col min="773" max="773" width="13.81640625" bestFit="1" customWidth="1"/>
    <col min="774" max="774" width="16.7265625" bestFit="1" customWidth="1"/>
    <col min="1025" max="1025" width="31.1796875" bestFit="1" customWidth="1"/>
    <col min="1026" max="1026" width="60.1796875" bestFit="1" customWidth="1"/>
    <col min="1027" max="1027" width="7.81640625" bestFit="1" customWidth="1"/>
    <col min="1028" max="1028" width="8.81640625" bestFit="1" customWidth="1"/>
    <col min="1029" max="1029" width="13.81640625" bestFit="1" customWidth="1"/>
    <col min="1030" max="1030" width="16.7265625" bestFit="1" customWidth="1"/>
    <col min="1281" max="1281" width="31.1796875" bestFit="1" customWidth="1"/>
    <col min="1282" max="1282" width="60.1796875" bestFit="1" customWidth="1"/>
    <col min="1283" max="1283" width="7.81640625" bestFit="1" customWidth="1"/>
    <col min="1284" max="1284" width="8.81640625" bestFit="1" customWidth="1"/>
    <col min="1285" max="1285" width="13.81640625" bestFit="1" customWidth="1"/>
    <col min="1286" max="1286" width="16.7265625" bestFit="1" customWidth="1"/>
    <col min="1537" max="1537" width="31.1796875" bestFit="1" customWidth="1"/>
    <col min="1538" max="1538" width="60.1796875" bestFit="1" customWidth="1"/>
    <col min="1539" max="1539" width="7.81640625" bestFit="1" customWidth="1"/>
    <col min="1540" max="1540" width="8.81640625" bestFit="1" customWidth="1"/>
    <col min="1541" max="1541" width="13.81640625" bestFit="1" customWidth="1"/>
    <col min="1542" max="1542" width="16.7265625" bestFit="1" customWidth="1"/>
    <col min="1793" max="1793" width="31.1796875" bestFit="1" customWidth="1"/>
    <col min="1794" max="1794" width="60.1796875" bestFit="1" customWidth="1"/>
    <col min="1795" max="1795" width="7.81640625" bestFit="1" customWidth="1"/>
    <col min="1796" max="1796" width="8.81640625" bestFit="1" customWidth="1"/>
    <col min="1797" max="1797" width="13.81640625" bestFit="1" customWidth="1"/>
    <col min="1798" max="1798" width="16.7265625" bestFit="1" customWidth="1"/>
    <col min="2049" max="2049" width="31.1796875" bestFit="1" customWidth="1"/>
    <col min="2050" max="2050" width="60.1796875" bestFit="1" customWidth="1"/>
    <col min="2051" max="2051" width="7.81640625" bestFit="1" customWidth="1"/>
    <col min="2052" max="2052" width="8.81640625" bestFit="1" customWidth="1"/>
    <col min="2053" max="2053" width="13.81640625" bestFit="1" customWidth="1"/>
    <col min="2054" max="2054" width="16.7265625" bestFit="1" customWidth="1"/>
    <col min="2305" max="2305" width="31.1796875" bestFit="1" customWidth="1"/>
    <col min="2306" max="2306" width="60.1796875" bestFit="1" customWidth="1"/>
    <col min="2307" max="2307" width="7.81640625" bestFit="1" customWidth="1"/>
    <col min="2308" max="2308" width="8.81640625" bestFit="1" customWidth="1"/>
    <col min="2309" max="2309" width="13.81640625" bestFit="1" customWidth="1"/>
    <col min="2310" max="2310" width="16.7265625" bestFit="1" customWidth="1"/>
    <col min="2561" max="2561" width="31.1796875" bestFit="1" customWidth="1"/>
    <col min="2562" max="2562" width="60.1796875" bestFit="1" customWidth="1"/>
    <col min="2563" max="2563" width="7.81640625" bestFit="1" customWidth="1"/>
    <col min="2564" max="2564" width="8.81640625" bestFit="1" customWidth="1"/>
    <col min="2565" max="2565" width="13.81640625" bestFit="1" customWidth="1"/>
    <col min="2566" max="2566" width="16.7265625" bestFit="1" customWidth="1"/>
    <col min="2817" max="2817" width="31.1796875" bestFit="1" customWidth="1"/>
    <col min="2818" max="2818" width="60.1796875" bestFit="1" customWidth="1"/>
    <col min="2819" max="2819" width="7.81640625" bestFit="1" customWidth="1"/>
    <col min="2820" max="2820" width="8.81640625" bestFit="1" customWidth="1"/>
    <col min="2821" max="2821" width="13.81640625" bestFit="1" customWidth="1"/>
    <col min="2822" max="2822" width="16.7265625" bestFit="1" customWidth="1"/>
    <col min="3073" max="3073" width="31.1796875" bestFit="1" customWidth="1"/>
    <col min="3074" max="3074" width="60.1796875" bestFit="1" customWidth="1"/>
    <col min="3075" max="3075" width="7.81640625" bestFit="1" customWidth="1"/>
    <col min="3076" max="3076" width="8.81640625" bestFit="1" customWidth="1"/>
    <col min="3077" max="3077" width="13.81640625" bestFit="1" customWidth="1"/>
    <col min="3078" max="3078" width="16.7265625" bestFit="1" customWidth="1"/>
    <col min="3329" max="3329" width="31.1796875" bestFit="1" customWidth="1"/>
    <col min="3330" max="3330" width="60.1796875" bestFit="1" customWidth="1"/>
    <col min="3331" max="3331" width="7.81640625" bestFit="1" customWidth="1"/>
    <col min="3332" max="3332" width="8.81640625" bestFit="1" customWidth="1"/>
    <col min="3333" max="3333" width="13.81640625" bestFit="1" customWidth="1"/>
    <col min="3334" max="3334" width="16.7265625" bestFit="1" customWidth="1"/>
    <col min="3585" max="3585" width="31.1796875" bestFit="1" customWidth="1"/>
    <col min="3586" max="3586" width="60.1796875" bestFit="1" customWidth="1"/>
    <col min="3587" max="3587" width="7.81640625" bestFit="1" customWidth="1"/>
    <col min="3588" max="3588" width="8.81640625" bestFit="1" customWidth="1"/>
    <col min="3589" max="3589" width="13.81640625" bestFit="1" customWidth="1"/>
    <col min="3590" max="3590" width="16.7265625" bestFit="1" customWidth="1"/>
    <col min="3841" max="3841" width="31.1796875" bestFit="1" customWidth="1"/>
    <col min="3842" max="3842" width="60.1796875" bestFit="1" customWidth="1"/>
    <col min="3843" max="3843" width="7.81640625" bestFit="1" customWidth="1"/>
    <col min="3844" max="3844" width="8.81640625" bestFit="1" customWidth="1"/>
    <col min="3845" max="3845" width="13.81640625" bestFit="1" customWidth="1"/>
    <col min="3846" max="3846" width="16.7265625" bestFit="1" customWidth="1"/>
    <col min="4097" max="4097" width="31.1796875" bestFit="1" customWidth="1"/>
    <col min="4098" max="4098" width="60.1796875" bestFit="1" customWidth="1"/>
    <col min="4099" max="4099" width="7.81640625" bestFit="1" customWidth="1"/>
    <col min="4100" max="4100" width="8.81640625" bestFit="1" customWidth="1"/>
    <col min="4101" max="4101" width="13.81640625" bestFit="1" customWidth="1"/>
    <col min="4102" max="4102" width="16.7265625" bestFit="1" customWidth="1"/>
    <col min="4353" max="4353" width="31.1796875" bestFit="1" customWidth="1"/>
    <col min="4354" max="4354" width="60.1796875" bestFit="1" customWidth="1"/>
    <col min="4355" max="4355" width="7.81640625" bestFit="1" customWidth="1"/>
    <col min="4356" max="4356" width="8.81640625" bestFit="1" customWidth="1"/>
    <col min="4357" max="4357" width="13.81640625" bestFit="1" customWidth="1"/>
    <col min="4358" max="4358" width="16.7265625" bestFit="1" customWidth="1"/>
    <col min="4609" max="4609" width="31.1796875" bestFit="1" customWidth="1"/>
    <col min="4610" max="4610" width="60.1796875" bestFit="1" customWidth="1"/>
    <col min="4611" max="4611" width="7.81640625" bestFit="1" customWidth="1"/>
    <col min="4612" max="4612" width="8.81640625" bestFit="1" customWidth="1"/>
    <col min="4613" max="4613" width="13.81640625" bestFit="1" customWidth="1"/>
    <col min="4614" max="4614" width="16.7265625" bestFit="1" customWidth="1"/>
    <col min="4865" max="4865" width="31.1796875" bestFit="1" customWidth="1"/>
    <col min="4866" max="4866" width="60.1796875" bestFit="1" customWidth="1"/>
    <col min="4867" max="4867" width="7.81640625" bestFit="1" customWidth="1"/>
    <col min="4868" max="4868" width="8.81640625" bestFit="1" customWidth="1"/>
    <col min="4869" max="4869" width="13.81640625" bestFit="1" customWidth="1"/>
    <col min="4870" max="4870" width="16.7265625" bestFit="1" customWidth="1"/>
    <col min="5121" max="5121" width="31.1796875" bestFit="1" customWidth="1"/>
    <col min="5122" max="5122" width="60.1796875" bestFit="1" customWidth="1"/>
    <col min="5123" max="5123" width="7.81640625" bestFit="1" customWidth="1"/>
    <col min="5124" max="5124" width="8.81640625" bestFit="1" customWidth="1"/>
    <col min="5125" max="5125" width="13.81640625" bestFit="1" customWidth="1"/>
    <col min="5126" max="5126" width="16.7265625" bestFit="1" customWidth="1"/>
    <col min="5377" max="5377" width="31.1796875" bestFit="1" customWidth="1"/>
    <col min="5378" max="5378" width="60.1796875" bestFit="1" customWidth="1"/>
    <col min="5379" max="5379" width="7.81640625" bestFit="1" customWidth="1"/>
    <col min="5380" max="5380" width="8.81640625" bestFit="1" customWidth="1"/>
    <col min="5381" max="5381" width="13.81640625" bestFit="1" customWidth="1"/>
    <col min="5382" max="5382" width="16.7265625" bestFit="1" customWidth="1"/>
    <col min="5633" max="5633" width="31.1796875" bestFit="1" customWidth="1"/>
    <col min="5634" max="5634" width="60.1796875" bestFit="1" customWidth="1"/>
    <col min="5635" max="5635" width="7.81640625" bestFit="1" customWidth="1"/>
    <col min="5636" max="5636" width="8.81640625" bestFit="1" customWidth="1"/>
    <col min="5637" max="5637" width="13.81640625" bestFit="1" customWidth="1"/>
    <col min="5638" max="5638" width="16.7265625" bestFit="1" customWidth="1"/>
    <col min="5889" max="5889" width="31.1796875" bestFit="1" customWidth="1"/>
    <col min="5890" max="5890" width="60.1796875" bestFit="1" customWidth="1"/>
    <col min="5891" max="5891" width="7.81640625" bestFit="1" customWidth="1"/>
    <col min="5892" max="5892" width="8.81640625" bestFit="1" customWidth="1"/>
    <col min="5893" max="5893" width="13.81640625" bestFit="1" customWidth="1"/>
    <col min="5894" max="5894" width="16.7265625" bestFit="1" customWidth="1"/>
    <col min="6145" max="6145" width="31.1796875" bestFit="1" customWidth="1"/>
    <col min="6146" max="6146" width="60.1796875" bestFit="1" customWidth="1"/>
    <col min="6147" max="6147" width="7.81640625" bestFit="1" customWidth="1"/>
    <col min="6148" max="6148" width="8.81640625" bestFit="1" customWidth="1"/>
    <col min="6149" max="6149" width="13.81640625" bestFit="1" customWidth="1"/>
    <col min="6150" max="6150" width="16.7265625" bestFit="1" customWidth="1"/>
    <col min="6401" max="6401" width="31.1796875" bestFit="1" customWidth="1"/>
    <col min="6402" max="6402" width="60.1796875" bestFit="1" customWidth="1"/>
    <col min="6403" max="6403" width="7.81640625" bestFit="1" customWidth="1"/>
    <col min="6404" max="6404" width="8.81640625" bestFit="1" customWidth="1"/>
    <col min="6405" max="6405" width="13.81640625" bestFit="1" customWidth="1"/>
    <col min="6406" max="6406" width="16.7265625" bestFit="1" customWidth="1"/>
    <col min="6657" max="6657" width="31.1796875" bestFit="1" customWidth="1"/>
    <col min="6658" max="6658" width="60.1796875" bestFit="1" customWidth="1"/>
    <col min="6659" max="6659" width="7.81640625" bestFit="1" customWidth="1"/>
    <col min="6660" max="6660" width="8.81640625" bestFit="1" customWidth="1"/>
    <col min="6661" max="6661" width="13.81640625" bestFit="1" customWidth="1"/>
    <col min="6662" max="6662" width="16.7265625" bestFit="1" customWidth="1"/>
    <col min="6913" max="6913" width="31.1796875" bestFit="1" customWidth="1"/>
    <col min="6914" max="6914" width="60.1796875" bestFit="1" customWidth="1"/>
    <col min="6915" max="6915" width="7.81640625" bestFit="1" customWidth="1"/>
    <col min="6916" max="6916" width="8.81640625" bestFit="1" customWidth="1"/>
    <col min="6917" max="6917" width="13.81640625" bestFit="1" customWidth="1"/>
    <col min="6918" max="6918" width="16.7265625" bestFit="1" customWidth="1"/>
    <col min="7169" max="7169" width="31.1796875" bestFit="1" customWidth="1"/>
    <col min="7170" max="7170" width="60.1796875" bestFit="1" customWidth="1"/>
    <col min="7171" max="7171" width="7.81640625" bestFit="1" customWidth="1"/>
    <col min="7172" max="7172" width="8.81640625" bestFit="1" customWidth="1"/>
    <col min="7173" max="7173" width="13.81640625" bestFit="1" customWidth="1"/>
    <col min="7174" max="7174" width="16.7265625" bestFit="1" customWidth="1"/>
    <col min="7425" max="7425" width="31.1796875" bestFit="1" customWidth="1"/>
    <col min="7426" max="7426" width="60.1796875" bestFit="1" customWidth="1"/>
    <col min="7427" max="7427" width="7.81640625" bestFit="1" customWidth="1"/>
    <col min="7428" max="7428" width="8.81640625" bestFit="1" customWidth="1"/>
    <col min="7429" max="7429" width="13.81640625" bestFit="1" customWidth="1"/>
    <col min="7430" max="7430" width="16.7265625" bestFit="1" customWidth="1"/>
    <col min="7681" max="7681" width="31.1796875" bestFit="1" customWidth="1"/>
    <col min="7682" max="7682" width="60.1796875" bestFit="1" customWidth="1"/>
    <col min="7683" max="7683" width="7.81640625" bestFit="1" customWidth="1"/>
    <col min="7684" max="7684" width="8.81640625" bestFit="1" customWidth="1"/>
    <col min="7685" max="7685" width="13.81640625" bestFit="1" customWidth="1"/>
    <col min="7686" max="7686" width="16.7265625" bestFit="1" customWidth="1"/>
    <col min="7937" max="7937" width="31.1796875" bestFit="1" customWidth="1"/>
    <col min="7938" max="7938" width="60.1796875" bestFit="1" customWidth="1"/>
    <col min="7939" max="7939" width="7.81640625" bestFit="1" customWidth="1"/>
    <col min="7940" max="7940" width="8.81640625" bestFit="1" customWidth="1"/>
    <col min="7941" max="7941" width="13.81640625" bestFit="1" customWidth="1"/>
    <col min="7942" max="7942" width="16.7265625" bestFit="1" customWidth="1"/>
    <col min="8193" max="8193" width="31.1796875" bestFit="1" customWidth="1"/>
    <col min="8194" max="8194" width="60.1796875" bestFit="1" customWidth="1"/>
    <col min="8195" max="8195" width="7.81640625" bestFit="1" customWidth="1"/>
    <col min="8196" max="8196" width="8.81640625" bestFit="1" customWidth="1"/>
    <col min="8197" max="8197" width="13.81640625" bestFit="1" customWidth="1"/>
    <col min="8198" max="8198" width="16.7265625" bestFit="1" customWidth="1"/>
    <col min="8449" max="8449" width="31.1796875" bestFit="1" customWidth="1"/>
    <col min="8450" max="8450" width="60.1796875" bestFit="1" customWidth="1"/>
    <col min="8451" max="8451" width="7.81640625" bestFit="1" customWidth="1"/>
    <col min="8452" max="8452" width="8.81640625" bestFit="1" customWidth="1"/>
    <col min="8453" max="8453" width="13.81640625" bestFit="1" customWidth="1"/>
    <col min="8454" max="8454" width="16.7265625" bestFit="1" customWidth="1"/>
    <col min="8705" max="8705" width="31.1796875" bestFit="1" customWidth="1"/>
    <col min="8706" max="8706" width="60.1796875" bestFit="1" customWidth="1"/>
    <col min="8707" max="8707" width="7.81640625" bestFit="1" customWidth="1"/>
    <col min="8708" max="8708" width="8.81640625" bestFit="1" customWidth="1"/>
    <col min="8709" max="8709" width="13.81640625" bestFit="1" customWidth="1"/>
    <col min="8710" max="8710" width="16.7265625" bestFit="1" customWidth="1"/>
    <col min="8961" max="8961" width="31.1796875" bestFit="1" customWidth="1"/>
    <col min="8962" max="8962" width="60.1796875" bestFit="1" customWidth="1"/>
    <col min="8963" max="8963" width="7.81640625" bestFit="1" customWidth="1"/>
    <col min="8964" max="8964" width="8.81640625" bestFit="1" customWidth="1"/>
    <col min="8965" max="8965" width="13.81640625" bestFit="1" customWidth="1"/>
    <col min="8966" max="8966" width="16.7265625" bestFit="1" customWidth="1"/>
    <col min="9217" max="9217" width="31.1796875" bestFit="1" customWidth="1"/>
    <col min="9218" max="9218" width="60.1796875" bestFit="1" customWidth="1"/>
    <col min="9219" max="9219" width="7.81640625" bestFit="1" customWidth="1"/>
    <col min="9220" max="9220" width="8.81640625" bestFit="1" customWidth="1"/>
    <col min="9221" max="9221" width="13.81640625" bestFit="1" customWidth="1"/>
    <col min="9222" max="9222" width="16.7265625" bestFit="1" customWidth="1"/>
    <col min="9473" max="9473" width="31.1796875" bestFit="1" customWidth="1"/>
    <col min="9474" max="9474" width="60.1796875" bestFit="1" customWidth="1"/>
    <col min="9475" max="9475" width="7.81640625" bestFit="1" customWidth="1"/>
    <col min="9476" max="9476" width="8.81640625" bestFit="1" customWidth="1"/>
    <col min="9477" max="9477" width="13.81640625" bestFit="1" customWidth="1"/>
    <col min="9478" max="9478" width="16.7265625" bestFit="1" customWidth="1"/>
    <col min="9729" max="9729" width="31.1796875" bestFit="1" customWidth="1"/>
    <col min="9730" max="9730" width="60.1796875" bestFit="1" customWidth="1"/>
    <col min="9731" max="9731" width="7.81640625" bestFit="1" customWidth="1"/>
    <col min="9732" max="9732" width="8.81640625" bestFit="1" customWidth="1"/>
    <col min="9733" max="9733" width="13.81640625" bestFit="1" customWidth="1"/>
    <col min="9734" max="9734" width="16.7265625" bestFit="1" customWidth="1"/>
    <col min="9985" max="9985" width="31.1796875" bestFit="1" customWidth="1"/>
    <col min="9986" max="9986" width="60.1796875" bestFit="1" customWidth="1"/>
    <col min="9987" max="9987" width="7.81640625" bestFit="1" customWidth="1"/>
    <col min="9988" max="9988" width="8.81640625" bestFit="1" customWidth="1"/>
    <col min="9989" max="9989" width="13.81640625" bestFit="1" customWidth="1"/>
    <col min="9990" max="9990" width="16.7265625" bestFit="1" customWidth="1"/>
    <col min="10241" max="10241" width="31.1796875" bestFit="1" customWidth="1"/>
    <col min="10242" max="10242" width="60.1796875" bestFit="1" customWidth="1"/>
    <col min="10243" max="10243" width="7.81640625" bestFit="1" customWidth="1"/>
    <col min="10244" max="10244" width="8.81640625" bestFit="1" customWidth="1"/>
    <col min="10245" max="10245" width="13.81640625" bestFit="1" customWidth="1"/>
    <col min="10246" max="10246" width="16.7265625" bestFit="1" customWidth="1"/>
    <col min="10497" max="10497" width="31.1796875" bestFit="1" customWidth="1"/>
    <col min="10498" max="10498" width="60.1796875" bestFit="1" customWidth="1"/>
    <col min="10499" max="10499" width="7.81640625" bestFit="1" customWidth="1"/>
    <col min="10500" max="10500" width="8.81640625" bestFit="1" customWidth="1"/>
    <col min="10501" max="10501" width="13.81640625" bestFit="1" customWidth="1"/>
    <col min="10502" max="10502" width="16.7265625" bestFit="1" customWidth="1"/>
    <col min="10753" max="10753" width="31.1796875" bestFit="1" customWidth="1"/>
    <col min="10754" max="10754" width="60.1796875" bestFit="1" customWidth="1"/>
    <col min="10755" max="10755" width="7.81640625" bestFit="1" customWidth="1"/>
    <col min="10756" max="10756" width="8.81640625" bestFit="1" customWidth="1"/>
    <col min="10757" max="10757" width="13.81640625" bestFit="1" customWidth="1"/>
    <col min="10758" max="10758" width="16.7265625" bestFit="1" customWidth="1"/>
    <col min="11009" max="11009" width="31.1796875" bestFit="1" customWidth="1"/>
    <col min="11010" max="11010" width="60.1796875" bestFit="1" customWidth="1"/>
    <col min="11011" max="11011" width="7.81640625" bestFit="1" customWidth="1"/>
    <col min="11012" max="11012" width="8.81640625" bestFit="1" customWidth="1"/>
    <col min="11013" max="11013" width="13.81640625" bestFit="1" customWidth="1"/>
    <col min="11014" max="11014" width="16.7265625" bestFit="1" customWidth="1"/>
    <col min="11265" max="11265" width="31.1796875" bestFit="1" customWidth="1"/>
    <col min="11266" max="11266" width="60.1796875" bestFit="1" customWidth="1"/>
    <col min="11267" max="11267" width="7.81640625" bestFit="1" customWidth="1"/>
    <col min="11268" max="11268" width="8.81640625" bestFit="1" customWidth="1"/>
    <col min="11269" max="11269" width="13.81640625" bestFit="1" customWidth="1"/>
    <col min="11270" max="11270" width="16.7265625" bestFit="1" customWidth="1"/>
    <col min="11521" max="11521" width="31.1796875" bestFit="1" customWidth="1"/>
    <col min="11522" max="11522" width="60.1796875" bestFit="1" customWidth="1"/>
    <col min="11523" max="11523" width="7.81640625" bestFit="1" customWidth="1"/>
    <col min="11524" max="11524" width="8.81640625" bestFit="1" customWidth="1"/>
    <col min="11525" max="11525" width="13.81640625" bestFit="1" customWidth="1"/>
    <col min="11526" max="11526" width="16.7265625" bestFit="1" customWidth="1"/>
    <col min="11777" max="11777" width="31.1796875" bestFit="1" customWidth="1"/>
    <col min="11778" max="11778" width="60.1796875" bestFit="1" customWidth="1"/>
    <col min="11779" max="11779" width="7.81640625" bestFit="1" customWidth="1"/>
    <col min="11780" max="11780" width="8.81640625" bestFit="1" customWidth="1"/>
    <col min="11781" max="11781" width="13.81640625" bestFit="1" customWidth="1"/>
    <col min="11782" max="11782" width="16.7265625" bestFit="1" customWidth="1"/>
    <col min="12033" max="12033" width="31.1796875" bestFit="1" customWidth="1"/>
    <col min="12034" max="12034" width="60.1796875" bestFit="1" customWidth="1"/>
    <col min="12035" max="12035" width="7.81640625" bestFit="1" customWidth="1"/>
    <col min="12036" max="12036" width="8.81640625" bestFit="1" customWidth="1"/>
    <col min="12037" max="12037" width="13.81640625" bestFit="1" customWidth="1"/>
    <col min="12038" max="12038" width="16.7265625" bestFit="1" customWidth="1"/>
    <col min="12289" max="12289" width="31.1796875" bestFit="1" customWidth="1"/>
    <col min="12290" max="12290" width="60.1796875" bestFit="1" customWidth="1"/>
    <col min="12291" max="12291" width="7.81640625" bestFit="1" customWidth="1"/>
    <col min="12292" max="12292" width="8.81640625" bestFit="1" customWidth="1"/>
    <col min="12293" max="12293" width="13.81640625" bestFit="1" customWidth="1"/>
    <col min="12294" max="12294" width="16.7265625" bestFit="1" customWidth="1"/>
    <col min="12545" max="12545" width="31.1796875" bestFit="1" customWidth="1"/>
    <col min="12546" max="12546" width="60.1796875" bestFit="1" customWidth="1"/>
    <col min="12547" max="12547" width="7.81640625" bestFit="1" customWidth="1"/>
    <col min="12548" max="12548" width="8.81640625" bestFit="1" customWidth="1"/>
    <col min="12549" max="12549" width="13.81640625" bestFit="1" customWidth="1"/>
    <col min="12550" max="12550" width="16.7265625" bestFit="1" customWidth="1"/>
    <col min="12801" max="12801" width="31.1796875" bestFit="1" customWidth="1"/>
    <col min="12802" max="12802" width="60.1796875" bestFit="1" customWidth="1"/>
    <col min="12803" max="12803" width="7.81640625" bestFit="1" customWidth="1"/>
    <col min="12804" max="12804" width="8.81640625" bestFit="1" customWidth="1"/>
    <col min="12805" max="12805" width="13.81640625" bestFit="1" customWidth="1"/>
    <col min="12806" max="12806" width="16.7265625" bestFit="1" customWidth="1"/>
    <col min="13057" max="13057" width="31.1796875" bestFit="1" customWidth="1"/>
    <col min="13058" max="13058" width="60.1796875" bestFit="1" customWidth="1"/>
    <col min="13059" max="13059" width="7.81640625" bestFit="1" customWidth="1"/>
    <col min="13060" max="13060" width="8.81640625" bestFit="1" customWidth="1"/>
    <col min="13061" max="13061" width="13.81640625" bestFit="1" customWidth="1"/>
    <col min="13062" max="13062" width="16.7265625" bestFit="1" customWidth="1"/>
    <col min="13313" max="13313" width="31.1796875" bestFit="1" customWidth="1"/>
    <col min="13314" max="13314" width="60.1796875" bestFit="1" customWidth="1"/>
    <col min="13315" max="13315" width="7.81640625" bestFit="1" customWidth="1"/>
    <col min="13316" max="13316" width="8.81640625" bestFit="1" customWidth="1"/>
    <col min="13317" max="13317" width="13.81640625" bestFit="1" customWidth="1"/>
    <col min="13318" max="13318" width="16.7265625" bestFit="1" customWidth="1"/>
    <col min="13569" max="13569" width="31.1796875" bestFit="1" customWidth="1"/>
    <col min="13570" max="13570" width="60.1796875" bestFit="1" customWidth="1"/>
    <col min="13571" max="13571" width="7.81640625" bestFit="1" customWidth="1"/>
    <col min="13572" max="13572" width="8.81640625" bestFit="1" customWidth="1"/>
    <col min="13573" max="13573" width="13.81640625" bestFit="1" customWidth="1"/>
    <col min="13574" max="13574" width="16.7265625" bestFit="1" customWidth="1"/>
    <col min="13825" max="13825" width="31.1796875" bestFit="1" customWidth="1"/>
    <col min="13826" max="13826" width="60.1796875" bestFit="1" customWidth="1"/>
    <col min="13827" max="13827" width="7.81640625" bestFit="1" customWidth="1"/>
    <col min="13828" max="13828" width="8.81640625" bestFit="1" customWidth="1"/>
    <col min="13829" max="13829" width="13.81640625" bestFit="1" customWidth="1"/>
    <col min="13830" max="13830" width="16.7265625" bestFit="1" customWidth="1"/>
    <col min="14081" max="14081" width="31.1796875" bestFit="1" customWidth="1"/>
    <col min="14082" max="14082" width="60.1796875" bestFit="1" customWidth="1"/>
    <col min="14083" max="14083" width="7.81640625" bestFit="1" customWidth="1"/>
    <col min="14084" max="14084" width="8.81640625" bestFit="1" customWidth="1"/>
    <col min="14085" max="14085" width="13.81640625" bestFit="1" customWidth="1"/>
    <col min="14086" max="14086" width="16.7265625" bestFit="1" customWidth="1"/>
    <col min="14337" max="14337" width="31.1796875" bestFit="1" customWidth="1"/>
    <col min="14338" max="14338" width="60.1796875" bestFit="1" customWidth="1"/>
    <col min="14339" max="14339" width="7.81640625" bestFit="1" customWidth="1"/>
    <col min="14340" max="14340" width="8.81640625" bestFit="1" customWidth="1"/>
    <col min="14341" max="14341" width="13.81640625" bestFit="1" customWidth="1"/>
    <col min="14342" max="14342" width="16.7265625" bestFit="1" customWidth="1"/>
    <col min="14593" max="14593" width="31.1796875" bestFit="1" customWidth="1"/>
    <col min="14594" max="14594" width="60.1796875" bestFit="1" customWidth="1"/>
    <col min="14595" max="14595" width="7.81640625" bestFit="1" customWidth="1"/>
    <col min="14596" max="14596" width="8.81640625" bestFit="1" customWidth="1"/>
    <col min="14597" max="14597" width="13.81640625" bestFit="1" customWidth="1"/>
    <col min="14598" max="14598" width="16.7265625" bestFit="1" customWidth="1"/>
    <col min="14849" max="14849" width="31.1796875" bestFit="1" customWidth="1"/>
    <col min="14850" max="14850" width="60.1796875" bestFit="1" customWidth="1"/>
    <col min="14851" max="14851" width="7.81640625" bestFit="1" customWidth="1"/>
    <col min="14852" max="14852" width="8.81640625" bestFit="1" customWidth="1"/>
    <col min="14853" max="14853" width="13.81640625" bestFit="1" customWidth="1"/>
    <col min="14854" max="14854" width="16.7265625" bestFit="1" customWidth="1"/>
    <col min="15105" max="15105" width="31.1796875" bestFit="1" customWidth="1"/>
    <col min="15106" max="15106" width="60.1796875" bestFit="1" customWidth="1"/>
    <col min="15107" max="15107" width="7.81640625" bestFit="1" customWidth="1"/>
    <col min="15108" max="15108" width="8.81640625" bestFit="1" customWidth="1"/>
    <col min="15109" max="15109" width="13.81640625" bestFit="1" customWidth="1"/>
    <col min="15110" max="15110" width="16.7265625" bestFit="1" customWidth="1"/>
    <col min="15361" max="15361" width="31.1796875" bestFit="1" customWidth="1"/>
    <col min="15362" max="15362" width="60.1796875" bestFit="1" customWidth="1"/>
    <col min="15363" max="15363" width="7.81640625" bestFit="1" customWidth="1"/>
    <col min="15364" max="15364" width="8.81640625" bestFit="1" customWidth="1"/>
    <col min="15365" max="15365" width="13.81640625" bestFit="1" customWidth="1"/>
    <col min="15366" max="15366" width="16.7265625" bestFit="1" customWidth="1"/>
    <col min="15617" max="15617" width="31.1796875" bestFit="1" customWidth="1"/>
    <col min="15618" max="15618" width="60.1796875" bestFit="1" customWidth="1"/>
    <col min="15619" max="15619" width="7.81640625" bestFit="1" customWidth="1"/>
    <col min="15620" max="15620" width="8.81640625" bestFit="1" customWidth="1"/>
    <col min="15621" max="15621" width="13.81640625" bestFit="1" customWidth="1"/>
    <col min="15622" max="15622" width="16.7265625" bestFit="1" customWidth="1"/>
    <col min="15873" max="15873" width="31.1796875" bestFit="1" customWidth="1"/>
    <col min="15874" max="15874" width="60.1796875" bestFit="1" customWidth="1"/>
    <col min="15875" max="15875" width="7.81640625" bestFit="1" customWidth="1"/>
    <col min="15876" max="15876" width="8.81640625" bestFit="1" customWidth="1"/>
    <col min="15877" max="15877" width="13.81640625" bestFit="1" customWidth="1"/>
    <col min="15878" max="15878" width="16.7265625" bestFit="1" customWidth="1"/>
    <col min="16129" max="16129" width="31.1796875" bestFit="1" customWidth="1"/>
    <col min="16130" max="16130" width="60.1796875" bestFit="1" customWidth="1"/>
    <col min="16131" max="16131" width="7.81640625" bestFit="1" customWidth="1"/>
    <col min="16132" max="16132" width="8.81640625" bestFit="1" customWidth="1"/>
    <col min="16133" max="16133" width="13.81640625" bestFit="1" customWidth="1"/>
    <col min="16134" max="16134" width="16.7265625" bestFit="1" customWidth="1"/>
  </cols>
  <sheetData>
    <row r="1" spans="1:7" ht="11.5" customHeight="1" x14ac:dyDescent="0.35">
      <c r="A1" s="9" t="s">
        <v>2181</v>
      </c>
      <c r="B1" s="10"/>
      <c r="C1" s="10"/>
      <c r="D1" s="10"/>
      <c r="E1" s="10"/>
      <c r="F1" s="10"/>
    </row>
    <row r="2" spans="1:7" ht="11.5" customHeight="1" x14ac:dyDescent="0.35">
      <c r="A2" s="11" t="s">
        <v>34</v>
      </c>
      <c r="B2" s="12"/>
      <c r="C2" s="12"/>
      <c r="D2" s="12"/>
      <c r="E2" s="12"/>
      <c r="F2" s="12"/>
    </row>
    <row r="3" spans="1:7" ht="11.5" customHeight="1" x14ac:dyDescent="0.35">
      <c r="A3" s="13" t="s">
        <v>35</v>
      </c>
      <c r="B3" s="14"/>
      <c r="C3" s="14"/>
      <c r="D3" s="14"/>
      <c r="E3" s="14"/>
      <c r="F3" s="14"/>
    </row>
    <row r="4" spans="1:7" ht="11.5" customHeight="1" x14ac:dyDescent="0.35">
      <c r="A4" s="15" t="s">
        <v>36</v>
      </c>
      <c r="B4" s="16"/>
      <c r="C4" s="16"/>
      <c r="D4" s="16"/>
      <c r="E4" s="16"/>
      <c r="F4" s="16"/>
    </row>
    <row r="5" spans="1:7" ht="11.5" customHeight="1" x14ac:dyDescent="0.35">
      <c r="A5" s="17" t="s">
        <v>3864</v>
      </c>
      <c r="B5" s="17" t="s">
        <v>37</v>
      </c>
      <c r="C5" s="17" t="s">
        <v>38</v>
      </c>
      <c r="D5" s="17" t="s">
        <v>39</v>
      </c>
      <c r="E5" s="17" t="s">
        <v>40</v>
      </c>
      <c r="F5" s="17" t="s">
        <v>41</v>
      </c>
    </row>
    <row r="6" spans="1:7" ht="11.5" hidden="1" customHeight="1" x14ac:dyDescent="0.35">
      <c r="A6" s="29" t="s">
        <v>44</v>
      </c>
      <c r="B6" s="29" t="s">
        <v>2224</v>
      </c>
      <c r="C6" s="16">
        <v>0</v>
      </c>
      <c r="D6" s="16">
        <v>0</v>
      </c>
      <c r="E6" s="29" t="s">
        <v>42</v>
      </c>
      <c r="F6" s="29" t="s">
        <v>43</v>
      </c>
      <c r="G6" t="e">
        <v>#N/A</v>
      </c>
    </row>
    <row r="7" spans="1:7" ht="11.5" hidden="1" customHeight="1" x14ac:dyDescent="0.35">
      <c r="A7" s="29" t="s">
        <v>45</v>
      </c>
      <c r="B7" s="29" t="s">
        <v>2225</v>
      </c>
      <c r="C7" s="16">
        <v>0</v>
      </c>
      <c r="D7" s="16">
        <v>0</v>
      </c>
      <c r="E7" s="29" t="s">
        <v>42</v>
      </c>
      <c r="F7" s="29" t="s">
        <v>43</v>
      </c>
      <c r="G7" t="e">
        <v>#N/A</v>
      </c>
    </row>
    <row r="8" spans="1:7" ht="11.5" hidden="1" customHeight="1" x14ac:dyDescent="0.35">
      <c r="A8" s="29" t="s">
        <v>46</v>
      </c>
      <c r="B8" s="29" t="s">
        <v>2225</v>
      </c>
      <c r="C8" s="16">
        <v>0</v>
      </c>
      <c r="D8" s="16">
        <v>0</v>
      </c>
      <c r="E8" s="29" t="s">
        <v>42</v>
      </c>
      <c r="F8" s="29" t="s">
        <v>43</v>
      </c>
      <c r="G8" t="e">
        <v>#N/A</v>
      </c>
    </row>
    <row r="9" spans="1:7" ht="11.5" hidden="1" customHeight="1" x14ac:dyDescent="0.35">
      <c r="A9" s="29" t="s">
        <v>47</v>
      </c>
      <c r="B9" s="29" t="s">
        <v>2226</v>
      </c>
      <c r="C9" s="16">
        <v>0</v>
      </c>
      <c r="D9" s="16">
        <v>0</v>
      </c>
      <c r="E9" s="29" t="s">
        <v>42</v>
      </c>
      <c r="F9" s="29" t="s">
        <v>43</v>
      </c>
      <c r="G9" t="e">
        <v>#N/A</v>
      </c>
    </row>
    <row r="10" spans="1:7" ht="11.5" hidden="1" customHeight="1" x14ac:dyDescent="0.35">
      <c r="A10" s="29" t="s">
        <v>48</v>
      </c>
      <c r="B10" s="29" t="s">
        <v>2227</v>
      </c>
      <c r="C10" s="16">
        <v>0</v>
      </c>
      <c r="D10" s="16">
        <v>0</v>
      </c>
      <c r="E10" s="29" t="s">
        <v>42</v>
      </c>
      <c r="F10" s="29" t="s">
        <v>43</v>
      </c>
      <c r="G10" t="e">
        <v>#N/A</v>
      </c>
    </row>
    <row r="11" spans="1:7" ht="11.5" hidden="1" customHeight="1" x14ac:dyDescent="0.35">
      <c r="A11" s="29" t="s">
        <v>49</v>
      </c>
      <c r="B11" s="29" t="s">
        <v>2228</v>
      </c>
      <c r="C11" s="16">
        <v>0</v>
      </c>
      <c r="D11" s="16">
        <v>0</v>
      </c>
      <c r="E11" s="29" t="s">
        <v>42</v>
      </c>
      <c r="F11" s="29" t="s">
        <v>43</v>
      </c>
      <c r="G11" t="e">
        <v>#N/A</v>
      </c>
    </row>
    <row r="12" spans="1:7" ht="11.5" hidden="1" customHeight="1" x14ac:dyDescent="0.35">
      <c r="A12" s="29" t="s">
        <v>50</v>
      </c>
      <c r="B12" s="29" t="s">
        <v>2229</v>
      </c>
      <c r="C12" s="16">
        <v>0</v>
      </c>
      <c r="D12" s="16">
        <v>0</v>
      </c>
      <c r="E12" s="29" t="s">
        <v>42</v>
      </c>
      <c r="F12" s="29" t="s">
        <v>43</v>
      </c>
      <c r="G12" t="e">
        <v>#N/A</v>
      </c>
    </row>
    <row r="13" spans="1:7" ht="11.5" hidden="1" customHeight="1" x14ac:dyDescent="0.35">
      <c r="A13" s="29" t="s">
        <v>51</v>
      </c>
      <c r="B13" s="29" t="s">
        <v>2230</v>
      </c>
      <c r="C13" s="16">
        <v>0</v>
      </c>
      <c r="D13" s="16">
        <v>0</v>
      </c>
      <c r="E13" s="29" t="s">
        <v>42</v>
      </c>
      <c r="F13" s="29" t="s">
        <v>43</v>
      </c>
      <c r="G13" t="e">
        <v>#N/A</v>
      </c>
    </row>
    <row r="14" spans="1:7" ht="11.5" hidden="1" customHeight="1" x14ac:dyDescent="0.35">
      <c r="A14" s="29" t="s">
        <v>52</v>
      </c>
      <c r="B14" s="29" t="s">
        <v>2231</v>
      </c>
      <c r="C14" s="16">
        <v>0</v>
      </c>
      <c r="D14" s="16">
        <v>0</v>
      </c>
      <c r="E14" s="29" t="s">
        <v>42</v>
      </c>
      <c r="F14" s="29" t="s">
        <v>43</v>
      </c>
      <c r="G14" t="e">
        <v>#N/A</v>
      </c>
    </row>
    <row r="15" spans="1:7" ht="11.5" hidden="1" customHeight="1" x14ac:dyDescent="0.35">
      <c r="A15" s="29" t="s">
        <v>53</v>
      </c>
      <c r="B15" s="29" t="s">
        <v>2232</v>
      </c>
      <c r="C15" s="16">
        <v>0</v>
      </c>
      <c r="D15" s="16">
        <v>0</v>
      </c>
      <c r="E15" s="29" t="s">
        <v>42</v>
      </c>
      <c r="F15" s="29" t="s">
        <v>43</v>
      </c>
      <c r="G15" t="e">
        <v>#N/A</v>
      </c>
    </row>
    <row r="16" spans="1:7" ht="11.5" hidden="1" customHeight="1" x14ac:dyDescent="0.35">
      <c r="A16" s="29" t="s">
        <v>54</v>
      </c>
      <c r="B16" s="29" t="s">
        <v>2233</v>
      </c>
      <c r="C16" s="16">
        <v>0</v>
      </c>
      <c r="D16" s="16">
        <v>0</v>
      </c>
      <c r="E16" s="29" t="s">
        <v>42</v>
      </c>
      <c r="F16" s="29" t="s">
        <v>43</v>
      </c>
      <c r="G16" t="e">
        <v>#N/A</v>
      </c>
    </row>
    <row r="17" spans="1:7" ht="11.5" hidden="1" customHeight="1" x14ac:dyDescent="0.35">
      <c r="A17" s="29" t="s">
        <v>55</v>
      </c>
      <c r="B17" s="29" t="s">
        <v>2234</v>
      </c>
      <c r="C17" s="16">
        <v>0</v>
      </c>
      <c r="D17" s="16">
        <v>0</v>
      </c>
      <c r="E17" s="29" t="s">
        <v>42</v>
      </c>
      <c r="F17" s="29" t="s">
        <v>43</v>
      </c>
      <c r="G17" t="e">
        <v>#N/A</v>
      </c>
    </row>
    <row r="18" spans="1:7" ht="11.5" hidden="1" customHeight="1" x14ac:dyDescent="0.35">
      <c r="A18" s="29" t="s">
        <v>56</v>
      </c>
      <c r="B18" s="29" t="s">
        <v>2235</v>
      </c>
      <c r="C18" s="16">
        <v>0</v>
      </c>
      <c r="D18" s="16">
        <v>0</v>
      </c>
      <c r="E18" s="29" t="s">
        <v>42</v>
      </c>
      <c r="F18" s="29" t="s">
        <v>43</v>
      </c>
      <c r="G18" t="e">
        <v>#N/A</v>
      </c>
    </row>
    <row r="19" spans="1:7" ht="11.5" hidden="1" customHeight="1" x14ac:dyDescent="0.35">
      <c r="A19" s="29" t="s">
        <v>57</v>
      </c>
      <c r="B19" s="29" t="s">
        <v>2236</v>
      </c>
      <c r="C19" s="16">
        <v>0</v>
      </c>
      <c r="D19" s="16">
        <v>0</v>
      </c>
      <c r="E19" s="29" t="s">
        <v>42</v>
      </c>
      <c r="F19" s="29" t="s">
        <v>43</v>
      </c>
      <c r="G19" t="e">
        <v>#N/A</v>
      </c>
    </row>
    <row r="20" spans="1:7" ht="11.5" hidden="1" customHeight="1" x14ac:dyDescent="0.35">
      <c r="A20" s="29" t="s">
        <v>58</v>
      </c>
      <c r="B20" s="29" t="s">
        <v>2237</v>
      </c>
      <c r="C20" s="16">
        <v>0</v>
      </c>
      <c r="D20" s="16">
        <v>0</v>
      </c>
      <c r="E20" s="29" t="s">
        <v>42</v>
      </c>
      <c r="F20" s="29" t="s">
        <v>43</v>
      </c>
      <c r="G20" t="e">
        <v>#N/A</v>
      </c>
    </row>
    <row r="21" spans="1:7" ht="11.5" hidden="1" customHeight="1" x14ac:dyDescent="0.35">
      <c r="A21" s="29" t="s">
        <v>59</v>
      </c>
      <c r="B21" s="29" t="s">
        <v>2238</v>
      </c>
      <c r="C21" s="16">
        <v>0</v>
      </c>
      <c r="D21" s="16">
        <v>0</v>
      </c>
      <c r="E21" s="29" t="s">
        <v>42</v>
      </c>
      <c r="F21" s="29" t="s">
        <v>43</v>
      </c>
      <c r="G21" t="e">
        <v>#N/A</v>
      </c>
    </row>
    <row r="22" spans="1:7" ht="11.5" hidden="1" customHeight="1" x14ac:dyDescent="0.35">
      <c r="A22" s="29" t="s">
        <v>60</v>
      </c>
      <c r="B22" s="29" t="s">
        <v>2239</v>
      </c>
      <c r="C22" s="16">
        <v>0</v>
      </c>
      <c r="D22" s="16">
        <v>0</v>
      </c>
      <c r="E22" s="29" t="s">
        <v>42</v>
      </c>
      <c r="F22" s="29" t="s">
        <v>43</v>
      </c>
      <c r="G22" t="e">
        <v>#N/A</v>
      </c>
    </row>
    <row r="23" spans="1:7" ht="11.5" hidden="1" customHeight="1" x14ac:dyDescent="0.35">
      <c r="A23" s="29" t="s">
        <v>61</v>
      </c>
      <c r="B23" s="29" t="s">
        <v>2240</v>
      </c>
      <c r="C23" s="16">
        <v>0</v>
      </c>
      <c r="D23" s="16">
        <v>0</v>
      </c>
      <c r="E23" s="29" t="s">
        <v>42</v>
      </c>
      <c r="F23" s="29" t="s">
        <v>43</v>
      </c>
      <c r="G23" t="e">
        <v>#N/A</v>
      </c>
    </row>
    <row r="24" spans="1:7" ht="11.5" hidden="1" customHeight="1" x14ac:dyDescent="0.35">
      <c r="A24" s="29" t="s">
        <v>62</v>
      </c>
      <c r="B24" s="29" t="s">
        <v>2241</v>
      </c>
      <c r="C24" s="16">
        <v>0</v>
      </c>
      <c r="D24" s="16">
        <v>0</v>
      </c>
      <c r="E24" s="29" t="s">
        <v>42</v>
      </c>
      <c r="F24" s="29" t="s">
        <v>43</v>
      </c>
      <c r="G24" t="e">
        <v>#N/A</v>
      </c>
    </row>
    <row r="25" spans="1:7" ht="11.5" hidden="1" customHeight="1" x14ac:dyDescent="0.35">
      <c r="A25" s="29" t="s">
        <v>63</v>
      </c>
      <c r="B25" s="29" t="s">
        <v>2242</v>
      </c>
      <c r="C25" s="16">
        <v>0</v>
      </c>
      <c r="D25" s="16">
        <v>0</v>
      </c>
      <c r="E25" s="29" t="s">
        <v>42</v>
      </c>
      <c r="F25" s="29" t="s">
        <v>43</v>
      </c>
      <c r="G25" t="e">
        <v>#N/A</v>
      </c>
    </row>
    <row r="26" spans="1:7" ht="11.5" hidden="1" customHeight="1" x14ac:dyDescent="0.35">
      <c r="A26" s="29" t="s">
        <v>64</v>
      </c>
      <c r="B26" s="29" t="s">
        <v>2243</v>
      </c>
      <c r="C26" s="16">
        <v>0</v>
      </c>
      <c r="D26" s="16">
        <v>0</v>
      </c>
      <c r="E26" s="29" t="s">
        <v>42</v>
      </c>
      <c r="F26" s="29" t="s">
        <v>43</v>
      </c>
      <c r="G26" t="e">
        <v>#N/A</v>
      </c>
    </row>
    <row r="27" spans="1:7" ht="11.5" hidden="1" customHeight="1" x14ac:dyDescent="0.35">
      <c r="A27" s="29" t="s">
        <v>65</v>
      </c>
      <c r="B27" s="29" t="s">
        <v>2244</v>
      </c>
      <c r="C27" s="16">
        <v>0</v>
      </c>
      <c r="D27" s="16">
        <v>0</v>
      </c>
      <c r="E27" s="29" t="s">
        <v>42</v>
      </c>
      <c r="F27" s="29" t="s">
        <v>43</v>
      </c>
      <c r="G27" t="e">
        <v>#N/A</v>
      </c>
    </row>
    <row r="28" spans="1:7" ht="11.5" hidden="1" customHeight="1" x14ac:dyDescent="0.35">
      <c r="A28" s="29" t="s">
        <v>66</v>
      </c>
      <c r="B28" s="29" t="s">
        <v>67</v>
      </c>
      <c r="C28" s="16">
        <v>0</v>
      </c>
      <c r="D28" s="16">
        <v>0</v>
      </c>
      <c r="E28" s="29" t="s">
        <v>42</v>
      </c>
      <c r="F28" s="29" t="s">
        <v>43</v>
      </c>
      <c r="G28" t="e">
        <v>#N/A</v>
      </c>
    </row>
    <row r="29" spans="1:7" ht="11.5" hidden="1" customHeight="1" x14ac:dyDescent="0.35">
      <c r="A29" s="29" t="s">
        <v>68</v>
      </c>
      <c r="B29" s="29" t="s">
        <v>69</v>
      </c>
      <c r="C29" s="16">
        <v>0</v>
      </c>
      <c r="D29" s="16">
        <v>0</v>
      </c>
      <c r="E29" s="29" t="s">
        <v>42</v>
      </c>
      <c r="F29" s="29" t="s">
        <v>43</v>
      </c>
      <c r="G29" t="e">
        <v>#N/A</v>
      </c>
    </row>
    <row r="30" spans="1:7" ht="11.5" hidden="1" customHeight="1" x14ac:dyDescent="0.35">
      <c r="A30" s="29" t="s">
        <v>70</v>
      </c>
      <c r="B30" s="29" t="s">
        <v>71</v>
      </c>
      <c r="C30" s="16">
        <v>0</v>
      </c>
      <c r="D30" s="16">
        <v>0</v>
      </c>
      <c r="E30" s="29" t="s">
        <v>42</v>
      </c>
      <c r="F30" s="29" t="s">
        <v>43</v>
      </c>
      <c r="G30" t="e">
        <v>#N/A</v>
      </c>
    </row>
    <row r="31" spans="1:7" ht="11.5" hidden="1" customHeight="1" x14ac:dyDescent="0.35">
      <c r="A31" s="29" t="s">
        <v>72</v>
      </c>
      <c r="B31" s="29" t="s">
        <v>73</v>
      </c>
      <c r="C31" s="16">
        <v>0</v>
      </c>
      <c r="D31" s="16">
        <v>0</v>
      </c>
      <c r="E31" s="29" t="s">
        <v>42</v>
      </c>
      <c r="F31" s="29" t="s">
        <v>43</v>
      </c>
      <c r="G31" t="e">
        <v>#N/A</v>
      </c>
    </row>
    <row r="32" spans="1:7" ht="11.5" hidden="1" customHeight="1" x14ac:dyDescent="0.35">
      <c r="A32" s="29" t="s">
        <v>74</v>
      </c>
      <c r="B32" s="29" t="s">
        <v>75</v>
      </c>
      <c r="C32" s="16">
        <v>0</v>
      </c>
      <c r="D32" s="16">
        <v>0</v>
      </c>
      <c r="E32" s="29" t="s">
        <v>42</v>
      </c>
      <c r="F32" s="29" t="s">
        <v>43</v>
      </c>
      <c r="G32" t="e">
        <v>#N/A</v>
      </c>
    </row>
    <row r="33" spans="1:7" ht="11.5" hidden="1" customHeight="1" x14ac:dyDescent="0.35">
      <c r="A33" s="29" t="s">
        <v>76</v>
      </c>
      <c r="B33" s="29" t="s">
        <v>75</v>
      </c>
      <c r="C33" s="16">
        <v>0</v>
      </c>
      <c r="D33" s="16">
        <v>0</v>
      </c>
      <c r="E33" s="29" t="s">
        <v>42</v>
      </c>
      <c r="F33" s="29" t="s">
        <v>43</v>
      </c>
      <c r="G33" t="e">
        <v>#N/A</v>
      </c>
    </row>
    <row r="34" spans="1:7" ht="11.5" hidden="1" customHeight="1" x14ac:dyDescent="0.35">
      <c r="A34" s="29" t="s">
        <v>77</v>
      </c>
      <c r="B34" s="29" t="s">
        <v>78</v>
      </c>
      <c r="C34" s="16">
        <v>0</v>
      </c>
      <c r="D34" s="16">
        <v>0</v>
      </c>
      <c r="E34" s="29" t="s">
        <v>42</v>
      </c>
      <c r="F34" s="29" t="s">
        <v>43</v>
      </c>
      <c r="G34" t="e">
        <v>#N/A</v>
      </c>
    </row>
    <row r="35" spans="1:7" ht="11.5" hidden="1" customHeight="1" x14ac:dyDescent="0.35">
      <c r="A35" s="29" t="s">
        <v>79</v>
      </c>
      <c r="B35" s="29" t="s">
        <v>78</v>
      </c>
      <c r="C35" s="16">
        <v>0</v>
      </c>
      <c r="D35" s="16">
        <v>0</v>
      </c>
      <c r="E35" s="29" t="s">
        <v>42</v>
      </c>
      <c r="F35" s="29" t="s">
        <v>43</v>
      </c>
      <c r="G35" t="e">
        <v>#N/A</v>
      </c>
    </row>
    <row r="36" spans="1:7" ht="11.5" hidden="1" customHeight="1" x14ac:dyDescent="0.35">
      <c r="A36" s="29" t="s">
        <v>80</v>
      </c>
      <c r="B36" s="29" t="s">
        <v>81</v>
      </c>
      <c r="C36" s="16">
        <v>0</v>
      </c>
      <c r="D36" s="16">
        <v>0</v>
      </c>
      <c r="E36" s="29" t="s">
        <v>42</v>
      </c>
      <c r="F36" s="29" t="s">
        <v>43</v>
      </c>
      <c r="G36" t="e">
        <v>#N/A</v>
      </c>
    </row>
    <row r="37" spans="1:7" ht="11.5" hidden="1" customHeight="1" x14ac:dyDescent="0.35">
      <c r="A37" s="29" t="s">
        <v>82</v>
      </c>
      <c r="B37" s="29" t="s">
        <v>81</v>
      </c>
      <c r="C37" s="16">
        <v>0</v>
      </c>
      <c r="D37" s="16">
        <v>0</v>
      </c>
      <c r="E37" s="29" t="s">
        <v>42</v>
      </c>
      <c r="F37" s="29" t="s">
        <v>43</v>
      </c>
      <c r="G37" t="e">
        <v>#N/A</v>
      </c>
    </row>
    <row r="38" spans="1:7" ht="11.5" hidden="1" customHeight="1" x14ac:dyDescent="0.35">
      <c r="A38" s="29" t="s">
        <v>83</v>
      </c>
      <c r="B38" s="29" t="s">
        <v>84</v>
      </c>
      <c r="C38" s="16">
        <v>0</v>
      </c>
      <c r="D38" s="16">
        <v>0</v>
      </c>
      <c r="E38" s="29" t="s">
        <v>42</v>
      </c>
      <c r="F38" s="29" t="s">
        <v>43</v>
      </c>
      <c r="G38" t="e">
        <v>#N/A</v>
      </c>
    </row>
    <row r="39" spans="1:7" ht="11.5" hidden="1" customHeight="1" x14ac:dyDescent="0.35">
      <c r="A39" s="29" t="s">
        <v>85</v>
      </c>
      <c r="B39" s="29" t="s">
        <v>84</v>
      </c>
      <c r="C39" s="16">
        <v>0</v>
      </c>
      <c r="D39" s="16">
        <v>0</v>
      </c>
      <c r="E39" s="29" t="s">
        <v>42</v>
      </c>
      <c r="F39" s="29" t="s">
        <v>43</v>
      </c>
      <c r="G39" t="e">
        <v>#N/A</v>
      </c>
    </row>
    <row r="40" spans="1:7" ht="11.5" hidden="1" customHeight="1" x14ac:dyDescent="0.35">
      <c r="A40" s="29" t="s">
        <v>86</v>
      </c>
      <c r="B40" s="29" t="s">
        <v>87</v>
      </c>
      <c r="C40" s="16">
        <v>0</v>
      </c>
      <c r="D40" s="16">
        <v>0</v>
      </c>
      <c r="E40" s="29" t="s">
        <v>42</v>
      </c>
      <c r="F40" s="29" t="s">
        <v>43</v>
      </c>
      <c r="G40" t="e">
        <v>#N/A</v>
      </c>
    </row>
    <row r="41" spans="1:7" ht="11.5" hidden="1" customHeight="1" x14ac:dyDescent="0.35">
      <c r="A41" s="29" t="s">
        <v>88</v>
      </c>
      <c r="B41" s="29" t="s">
        <v>89</v>
      </c>
      <c r="C41" s="16">
        <v>0</v>
      </c>
      <c r="D41" s="16">
        <v>0</v>
      </c>
      <c r="E41" s="29" t="s">
        <v>42</v>
      </c>
      <c r="F41" s="29" t="s">
        <v>43</v>
      </c>
      <c r="G41" t="e">
        <v>#N/A</v>
      </c>
    </row>
    <row r="42" spans="1:7" ht="11.5" hidden="1" customHeight="1" x14ac:dyDescent="0.35">
      <c r="A42" s="29" t="s">
        <v>90</v>
      </c>
      <c r="B42" s="29" t="s">
        <v>91</v>
      </c>
      <c r="C42" s="16">
        <v>0</v>
      </c>
      <c r="D42" s="16">
        <v>0</v>
      </c>
      <c r="E42" s="29" t="s">
        <v>42</v>
      </c>
      <c r="F42" s="29" t="s">
        <v>43</v>
      </c>
      <c r="G42" t="e">
        <v>#N/A</v>
      </c>
    </row>
    <row r="43" spans="1:7" ht="11.5" hidden="1" customHeight="1" x14ac:dyDescent="0.35">
      <c r="A43" s="29" t="s">
        <v>92</v>
      </c>
      <c r="B43" s="29" t="s">
        <v>93</v>
      </c>
      <c r="C43" s="16">
        <v>0</v>
      </c>
      <c r="D43" s="16">
        <v>0</v>
      </c>
      <c r="E43" s="29" t="s">
        <v>42</v>
      </c>
      <c r="F43" s="29" t="s">
        <v>43</v>
      </c>
      <c r="G43" t="e">
        <v>#N/A</v>
      </c>
    </row>
    <row r="44" spans="1:7" ht="11.5" hidden="1" customHeight="1" x14ac:dyDescent="0.35">
      <c r="A44" s="29" t="s">
        <v>94</v>
      </c>
      <c r="B44" s="29" t="s">
        <v>95</v>
      </c>
      <c r="C44" s="16">
        <v>0</v>
      </c>
      <c r="D44" s="16">
        <v>0</v>
      </c>
      <c r="E44" s="29" t="s">
        <v>42</v>
      </c>
      <c r="F44" s="29" t="s">
        <v>43</v>
      </c>
      <c r="G44" t="e">
        <v>#N/A</v>
      </c>
    </row>
    <row r="45" spans="1:7" ht="11.5" hidden="1" customHeight="1" x14ac:dyDescent="0.35">
      <c r="A45" s="29" t="s">
        <v>96</v>
      </c>
      <c r="B45" s="29" t="s">
        <v>97</v>
      </c>
      <c r="C45" s="16">
        <v>0</v>
      </c>
      <c r="D45" s="16">
        <v>0</v>
      </c>
      <c r="E45" s="29" t="s">
        <v>42</v>
      </c>
      <c r="F45" s="29" t="s">
        <v>43</v>
      </c>
      <c r="G45" t="e">
        <v>#N/A</v>
      </c>
    </row>
    <row r="46" spans="1:7" ht="11.5" hidden="1" customHeight="1" x14ac:dyDescent="0.35">
      <c r="A46" s="29" t="s">
        <v>98</v>
      </c>
      <c r="B46" s="29" t="s">
        <v>99</v>
      </c>
      <c r="C46" s="16">
        <v>0</v>
      </c>
      <c r="D46" s="16">
        <v>0</v>
      </c>
      <c r="E46" s="29" t="s">
        <v>42</v>
      </c>
      <c r="F46" s="29" t="s">
        <v>43</v>
      </c>
      <c r="G46" t="e">
        <v>#N/A</v>
      </c>
    </row>
    <row r="47" spans="1:7" ht="11.5" hidden="1" customHeight="1" x14ac:dyDescent="0.35">
      <c r="A47" s="29" t="s">
        <v>100</v>
      </c>
      <c r="B47" s="29" t="s">
        <v>101</v>
      </c>
      <c r="C47" s="16">
        <v>0</v>
      </c>
      <c r="D47" s="16">
        <v>0</v>
      </c>
      <c r="E47" s="29" t="s">
        <v>42</v>
      </c>
      <c r="F47" s="29" t="s">
        <v>43</v>
      </c>
      <c r="G47" t="e">
        <v>#N/A</v>
      </c>
    </row>
    <row r="48" spans="1:7" ht="11.5" hidden="1" customHeight="1" x14ac:dyDescent="0.35">
      <c r="A48" s="29" t="s">
        <v>102</v>
      </c>
      <c r="B48" s="29" t="s">
        <v>103</v>
      </c>
      <c r="C48" s="16">
        <v>0</v>
      </c>
      <c r="D48" s="16">
        <v>0</v>
      </c>
      <c r="E48" s="29" t="s">
        <v>42</v>
      </c>
      <c r="F48" s="29" t="s">
        <v>43</v>
      </c>
      <c r="G48" t="e">
        <v>#N/A</v>
      </c>
    </row>
    <row r="49" spans="1:7" ht="11.5" hidden="1" customHeight="1" x14ac:dyDescent="0.35">
      <c r="A49" s="29" t="s">
        <v>104</v>
      </c>
      <c r="B49" s="29" t="s">
        <v>103</v>
      </c>
      <c r="C49" s="16">
        <v>0</v>
      </c>
      <c r="D49" s="16">
        <v>0</v>
      </c>
      <c r="E49" s="29" t="s">
        <v>42</v>
      </c>
      <c r="F49" s="29" t="s">
        <v>43</v>
      </c>
      <c r="G49" t="e">
        <v>#N/A</v>
      </c>
    </row>
    <row r="50" spans="1:7" ht="11.5" hidden="1" customHeight="1" x14ac:dyDescent="0.35">
      <c r="A50" s="29" t="s">
        <v>105</v>
      </c>
      <c r="B50" s="29" t="s">
        <v>106</v>
      </c>
      <c r="C50" s="16">
        <v>0</v>
      </c>
      <c r="D50" s="16">
        <v>0</v>
      </c>
      <c r="E50" s="29" t="s">
        <v>42</v>
      </c>
      <c r="F50" s="29" t="s">
        <v>43</v>
      </c>
      <c r="G50" t="e">
        <v>#N/A</v>
      </c>
    </row>
    <row r="51" spans="1:7" ht="11.5" hidden="1" customHeight="1" x14ac:dyDescent="0.35">
      <c r="A51" s="29" t="s">
        <v>107</v>
      </c>
      <c r="B51" s="29" t="s">
        <v>106</v>
      </c>
      <c r="C51" s="16">
        <v>0</v>
      </c>
      <c r="D51" s="16">
        <v>0</v>
      </c>
      <c r="E51" s="29" t="s">
        <v>42</v>
      </c>
      <c r="F51" s="29" t="s">
        <v>43</v>
      </c>
      <c r="G51" t="e">
        <v>#N/A</v>
      </c>
    </row>
    <row r="52" spans="1:7" ht="11.5" hidden="1" customHeight="1" x14ac:dyDescent="0.35">
      <c r="A52" s="29" t="s">
        <v>108</v>
      </c>
      <c r="B52" s="29" t="s">
        <v>109</v>
      </c>
      <c r="C52" s="16">
        <v>0</v>
      </c>
      <c r="D52" s="16">
        <v>0</v>
      </c>
      <c r="E52" s="29" t="s">
        <v>42</v>
      </c>
      <c r="F52" s="29" t="s">
        <v>43</v>
      </c>
      <c r="G52" t="e">
        <v>#N/A</v>
      </c>
    </row>
    <row r="53" spans="1:7" ht="11.5" hidden="1" customHeight="1" x14ac:dyDescent="0.35">
      <c r="A53" s="29" t="s">
        <v>110</v>
      </c>
      <c r="B53" s="29" t="s">
        <v>111</v>
      </c>
      <c r="C53" s="16">
        <v>0</v>
      </c>
      <c r="D53" s="16">
        <v>0</v>
      </c>
      <c r="E53" s="29" t="s">
        <v>42</v>
      </c>
      <c r="F53" s="29" t="s">
        <v>43</v>
      </c>
      <c r="G53" t="e">
        <v>#N/A</v>
      </c>
    </row>
    <row r="54" spans="1:7" ht="11.5" hidden="1" customHeight="1" x14ac:dyDescent="0.35">
      <c r="A54" s="29" t="s">
        <v>112</v>
      </c>
      <c r="B54" s="29" t="s">
        <v>113</v>
      </c>
      <c r="C54" s="16">
        <v>0</v>
      </c>
      <c r="D54" s="16">
        <v>0</v>
      </c>
      <c r="E54" s="29" t="s">
        <v>42</v>
      </c>
      <c r="F54" s="29" t="s">
        <v>43</v>
      </c>
      <c r="G54" t="e">
        <v>#N/A</v>
      </c>
    </row>
    <row r="55" spans="1:7" ht="11.5" hidden="1" customHeight="1" x14ac:dyDescent="0.35">
      <c r="A55" s="29" t="s">
        <v>114</v>
      </c>
      <c r="B55" s="29" t="s">
        <v>115</v>
      </c>
      <c r="C55" s="16">
        <v>0</v>
      </c>
      <c r="D55" s="16">
        <v>0</v>
      </c>
      <c r="E55" s="29" t="s">
        <v>42</v>
      </c>
      <c r="F55" s="29" t="s">
        <v>43</v>
      </c>
      <c r="G55" t="e">
        <v>#N/A</v>
      </c>
    </row>
    <row r="56" spans="1:7" ht="11.5" hidden="1" customHeight="1" x14ac:dyDescent="0.35">
      <c r="A56" s="29" t="s">
        <v>116</v>
      </c>
      <c r="B56" s="29" t="s">
        <v>117</v>
      </c>
      <c r="C56" s="16">
        <v>0</v>
      </c>
      <c r="D56" s="16">
        <v>0</v>
      </c>
      <c r="E56" s="29" t="s">
        <v>42</v>
      </c>
      <c r="F56" s="29" t="s">
        <v>43</v>
      </c>
      <c r="G56" t="e">
        <v>#N/A</v>
      </c>
    </row>
    <row r="57" spans="1:7" ht="11.5" hidden="1" customHeight="1" x14ac:dyDescent="0.35">
      <c r="A57" s="29" t="s">
        <v>118</v>
      </c>
      <c r="B57" s="29" t="s">
        <v>119</v>
      </c>
      <c r="C57" s="16">
        <v>0</v>
      </c>
      <c r="D57" s="16">
        <v>0</v>
      </c>
      <c r="E57" s="29" t="s">
        <v>42</v>
      </c>
      <c r="F57" s="29" t="s">
        <v>43</v>
      </c>
      <c r="G57" t="e">
        <v>#N/A</v>
      </c>
    </row>
    <row r="58" spans="1:7" ht="11.5" hidden="1" customHeight="1" x14ac:dyDescent="0.35">
      <c r="A58" s="29" t="s">
        <v>120</v>
      </c>
      <c r="B58" s="29" t="s">
        <v>121</v>
      </c>
      <c r="C58" s="16">
        <v>0</v>
      </c>
      <c r="D58" s="16">
        <v>0</v>
      </c>
      <c r="E58" s="29" t="s">
        <v>42</v>
      </c>
      <c r="F58" s="29" t="s">
        <v>43</v>
      </c>
      <c r="G58" t="e">
        <v>#N/A</v>
      </c>
    </row>
    <row r="59" spans="1:7" ht="11.5" hidden="1" customHeight="1" x14ac:dyDescent="0.35">
      <c r="A59" s="29" t="s">
        <v>122</v>
      </c>
      <c r="B59" s="29" t="s">
        <v>123</v>
      </c>
      <c r="C59" s="16">
        <v>0</v>
      </c>
      <c r="D59" s="16">
        <v>0</v>
      </c>
      <c r="E59" s="29" t="s">
        <v>42</v>
      </c>
      <c r="F59" s="29" t="s">
        <v>43</v>
      </c>
      <c r="G59" t="e">
        <v>#N/A</v>
      </c>
    </row>
    <row r="60" spans="1:7" ht="11.5" hidden="1" customHeight="1" x14ac:dyDescent="0.35">
      <c r="A60" s="29" t="s">
        <v>124</v>
      </c>
      <c r="B60" s="29" t="s">
        <v>125</v>
      </c>
      <c r="C60" s="16">
        <v>0</v>
      </c>
      <c r="D60" s="16">
        <v>0</v>
      </c>
      <c r="E60" s="29" t="s">
        <v>42</v>
      </c>
      <c r="F60" s="29" t="s">
        <v>43</v>
      </c>
      <c r="G60" t="e">
        <v>#N/A</v>
      </c>
    </row>
    <row r="61" spans="1:7" ht="11.5" hidden="1" customHeight="1" x14ac:dyDescent="0.35">
      <c r="A61" s="29" t="s">
        <v>126</v>
      </c>
      <c r="B61" s="29" t="s">
        <v>127</v>
      </c>
      <c r="C61" s="16">
        <v>0</v>
      </c>
      <c r="D61" s="16">
        <v>0</v>
      </c>
      <c r="E61" s="29" t="s">
        <v>42</v>
      </c>
      <c r="F61" s="29" t="s">
        <v>43</v>
      </c>
      <c r="G61" t="e">
        <v>#N/A</v>
      </c>
    </row>
    <row r="62" spans="1:7" ht="11.5" hidden="1" customHeight="1" x14ac:dyDescent="0.35">
      <c r="A62" s="29" t="s">
        <v>128</v>
      </c>
      <c r="B62" s="29" t="s">
        <v>129</v>
      </c>
      <c r="C62" s="16">
        <v>0</v>
      </c>
      <c r="D62" s="16">
        <v>0</v>
      </c>
      <c r="E62" s="29" t="s">
        <v>42</v>
      </c>
      <c r="F62" s="29" t="s">
        <v>43</v>
      </c>
      <c r="G62" t="e">
        <v>#N/A</v>
      </c>
    </row>
    <row r="63" spans="1:7" ht="11.5" hidden="1" customHeight="1" x14ac:dyDescent="0.35">
      <c r="A63" s="29" t="s">
        <v>130</v>
      </c>
      <c r="B63" s="29" t="s">
        <v>131</v>
      </c>
      <c r="C63" s="16">
        <v>0</v>
      </c>
      <c r="D63" s="16">
        <v>0</v>
      </c>
      <c r="E63" s="29" t="s">
        <v>42</v>
      </c>
      <c r="F63" s="29" t="s">
        <v>43</v>
      </c>
      <c r="G63" t="e">
        <v>#N/A</v>
      </c>
    </row>
    <row r="64" spans="1:7" ht="11.5" hidden="1" customHeight="1" x14ac:dyDescent="0.35">
      <c r="A64" s="29" t="s">
        <v>132</v>
      </c>
      <c r="B64" s="29" t="s">
        <v>133</v>
      </c>
      <c r="C64" s="16">
        <v>0</v>
      </c>
      <c r="D64" s="16">
        <v>0</v>
      </c>
      <c r="E64" s="29" t="s">
        <v>42</v>
      </c>
      <c r="F64" s="29" t="s">
        <v>43</v>
      </c>
      <c r="G64" t="e">
        <v>#N/A</v>
      </c>
    </row>
    <row r="65" spans="1:7" ht="11.5" hidden="1" customHeight="1" x14ac:dyDescent="0.35">
      <c r="A65" s="29" t="s">
        <v>134</v>
      </c>
      <c r="B65" s="29" t="s">
        <v>135</v>
      </c>
      <c r="C65" s="16">
        <v>0</v>
      </c>
      <c r="D65" s="16">
        <v>0</v>
      </c>
      <c r="E65" s="29" t="s">
        <v>42</v>
      </c>
      <c r="F65" s="29" t="s">
        <v>43</v>
      </c>
      <c r="G65" t="e">
        <v>#N/A</v>
      </c>
    </row>
    <row r="66" spans="1:7" ht="11.5" hidden="1" customHeight="1" x14ac:dyDescent="0.35">
      <c r="A66" s="29" t="s">
        <v>136</v>
      </c>
      <c r="B66" s="29" t="s">
        <v>137</v>
      </c>
      <c r="C66" s="16">
        <v>0</v>
      </c>
      <c r="D66" s="16">
        <v>0</v>
      </c>
      <c r="E66" s="29" t="s">
        <v>42</v>
      </c>
      <c r="F66" s="29" t="s">
        <v>43</v>
      </c>
      <c r="G66" t="e">
        <v>#N/A</v>
      </c>
    </row>
    <row r="67" spans="1:7" ht="11.5" hidden="1" customHeight="1" x14ac:dyDescent="0.35">
      <c r="A67" s="29" t="s">
        <v>138</v>
      </c>
      <c r="B67" s="29" t="s">
        <v>139</v>
      </c>
      <c r="C67" s="16">
        <v>0</v>
      </c>
      <c r="D67" s="16">
        <v>0</v>
      </c>
      <c r="E67" s="29" t="s">
        <v>42</v>
      </c>
      <c r="F67" s="29" t="s">
        <v>43</v>
      </c>
      <c r="G67" t="e">
        <v>#N/A</v>
      </c>
    </row>
    <row r="68" spans="1:7" ht="11.5" hidden="1" customHeight="1" x14ac:dyDescent="0.35">
      <c r="A68" s="29" t="s">
        <v>140</v>
      </c>
      <c r="B68" s="29" t="s">
        <v>141</v>
      </c>
      <c r="C68" s="16">
        <v>0</v>
      </c>
      <c r="D68" s="16">
        <v>0</v>
      </c>
      <c r="E68" s="29" t="s">
        <v>42</v>
      </c>
      <c r="F68" s="29" t="s">
        <v>43</v>
      </c>
      <c r="G68" t="e">
        <v>#N/A</v>
      </c>
    </row>
    <row r="69" spans="1:7" ht="11.5" hidden="1" customHeight="1" x14ac:dyDescent="0.35">
      <c r="A69" s="29" t="s">
        <v>142</v>
      </c>
      <c r="B69" s="29" t="s">
        <v>143</v>
      </c>
      <c r="C69" s="16">
        <v>0</v>
      </c>
      <c r="D69" s="16">
        <v>0</v>
      </c>
      <c r="E69" s="29" t="s">
        <v>42</v>
      </c>
      <c r="F69" s="29" t="s">
        <v>43</v>
      </c>
      <c r="G69" t="e">
        <v>#N/A</v>
      </c>
    </row>
    <row r="70" spans="1:7" ht="11.5" hidden="1" customHeight="1" x14ac:dyDescent="0.35">
      <c r="A70" s="29" t="s">
        <v>144</v>
      </c>
      <c r="B70" s="29" t="s">
        <v>145</v>
      </c>
      <c r="C70" s="16">
        <v>0</v>
      </c>
      <c r="D70" s="16">
        <v>0</v>
      </c>
      <c r="E70" s="29" t="s">
        <v>42</v>
      </c>
      <c r="F70" s="29" t="s">
        <v>43</v>
      </c>
      <c r="G70" t="e">
        <v>#N/A</v>
      </c>
    </row>
    <row r="71" spans="1:7" ht="11.5" hidden="1" customHeight="1" x14ac:dyDescent="0.35">
      <c r="A71" s="29" t="s">
        <v>146</v>
      </c>
      <c r="B71" s="29" t="s">
        <v>147</v>
      </c>
      <c r="C71" s="16">
        <v>0</v>
      </c>
      <c r="D71" s="16">
        <v>0</v>
      </c>
      <c r="E71" s="29" t="s">
        <v>42</v>
      </c>
      <c r="F71" s="29" t="s">
        <v>43</v>
      </c>
      <c r="G71" t="e">
        <v>#N/A</v>
      </c>
    </row>
    <row r="72" spans="1:7" ht="11.5" hidden="1" customHeight="1" x14ac:dyDescent="0.35">
      <c r="A72" s="29" t="s">
        <v>148</v>
      </c>
      <c r="B72" s="29" t="s">
        <v>149</v>
      </c>
      <c r="C72" s="16">
        <v>0</v>
      </c>
      <c r="D72" s="16">
        <v>0</v>
      </c>
      <c r="E72" s="29" t="s">
        <v>42</v>
      </c>
      <c r="F72" s="29" t="s">
        <v>43</v>
      </c>
      <c r="G72" t="e">
        <v>#N/A</v>
      </c>
    </row>
    <row r="73" spans="1:7" ht="11.5" hidden="1" customHeight="1" x14ac:dyDescent="0.35">
      <c r="A73" s="29" t="s">
        <v>150</v>
      </c>
      <c r="B73" s="29" t="s">
        <v>151</v>
      </c>
      <c r="C73" s="16">
        <v>0</v>
      </c>
      <c r="D73" s="16">
        <v>0</v>
      </c>
      <c r="E73" s="29" t="s">
        <v>42</v>
      </c>
      <c r="F73" s="29" t="s">
        <v>43</v>
      </c>
      <c r="G73" t="e">
        <v>#N/A</v>
      </c>
    </row>
    <row r="74" spans="1:7" ht="11.5" hidden="1" customHeight="1" x14ac:dyDescent="0.35">
      <c r="A74" s="29" t="s">
        <v>152</v>
      </c>
      <c r="B74" s="29" t="s">
        <v>153</v>
      </c>
      <c r="C74" s="16">
        <v>0</v>
      </c>
      <c r="D74" s="16">
        <v>0</v>
      </c>
      <c r="E74" s="29" t="s">
        <v>42</v>
      </c>
      <c r="F74" s="29" t="s">
        <v>43</v>
      </c>
      <c r="G74" t="e">
        <v>#N/A</v>
      </c>
    </row>
    <row r="75" spans="1:7" ht="11.5" hidden="1" customHeight="1" x14ac:dyDescent="0.35">
      <c r="A75" s="29" t="s">
        <v>154</v>
      </c>
      <c r="B75" s="29" t="s">
        <v>155</v>
      </c>
      <c r="C75" s="16">
        <v>0</v>
      </c>
      <c r="D75" s="16">
        <v>0</v>
      </c>
      <c r="E75" s="29" t="s">
        <v>42</v>
      </c>
      <c r="F75" s="29" t="s">
        <v>43</v>
      </c>
      <c r="G75" t="e">
        <v>#N/A</v>
      </c>
    </row>
    <row r="76" spans="1:7" ht="11.5" hidden="1" customHeight="1" x14ac:dyDescent="0.35">
      <c r="A76" s="29" t="s">
        <v>156</v>
      </c>
      <c r="B76" s="29" t="s">
        <v>157</v>
      </c>
      <c r="C76" s="16">
        <v>0</v>
      </c>
      <c r="D76" s="16">
        <v>0</v>
      </c>
      <c r="E76" s="29" t="s">
        <v>42</v>
      </c>
      <c r="F76" s="29" t="s">
        <v>43</v>
      </c>
      <c r="G76" t="e">
        <v>#N/A</v>
      </c>
    </row>
    <row r="77" spans="1:7" ht="11.5" hidden="1" customHeight="1" x14ac:dyDescent="0.35">
      <c r="A77" s="29" t="s">
        <v>158</v>
      </c>
      <c r="B77" s="29" t="s">
        <v>159</v>
      </c>
      <c r="C77" s="16">
        <v>0</v>
      </c>
      <c r="D77" s="16">
        <v>0</v>
      </c>
      <c r="E77" s="29" t="s">
        <v>42</v>
      </c>
      <c r="F77" s="29" t="s">
        <v>43</v>
      </c>
      <c r="G77" t="e">
        <v>#N/A</v>
      </c>
    </row>
    <row r="78" spans="1:7" ht="11.5" hidden="1" customHeight="1" x14ac:dyDescent="0.35">
      <c r="A78" s="29" t="s">
        <v>160</v>
      </c>
      <c r="B78" s="29" t="s">
        <v>161</v>
      </c>
      <c r="C78" s="16">
        <v>0</v>
      </c>
      <c r="D78" s="16">
        <v>0</v>
      </c>
      <c r="E78" s="29" t="s">
        <v>42</v>
      </c>
      <c r="F78" s="29" t="s">
        <v>43</v>
      </c>
      <c r="G78" t="e">
        <v>#N/A</v>
      </c>
    </row>
    <row r="79" spans="1:7" ht="11.5" hidden="1" customHeight="1" x14ac:dyDescent="0.35">
      <c r="A79" s="29" t="s">
        <v>162</v>
      </c>
      <c r="B79" s="29" t="s">
        <v>163</v>
      </c>
      <c r="C79" s="16">
        <v>0</v>
      </c>
      <c r="D79" s="16">
        <v>0</v>
      </c>
      <c r="E79" s="29" t="s">
        <v>42</v>
      </c>
      <c r="F79" s="29" t="s">
        <v>43</v>
      </c>
      <c r="G79" t="e">
        <v>#N/A</v>
      </c>
    </row>
    <row r="80" spans="1:7" ht="11.5" hidden="1" customHeight="1" x14ac:dyDescent="0.35">
      <c r="A80" s="29" t="s">
        <v>164</v>
      </c>
      <c r="B80" s="29" t="s">
        <v>165</v>
      </c>
      <c r="C80" s="16">
        <v>0</v>
      </c>
      <c r="D80" s="16">
        <v>0</v>
      </c>
      <c r="E80" s="29" t="s">
        <v>42</v>
      </c>
      <c r="F80" s="29" t="s">
        <v>43</v>
      </c>
      <c r="G80" t="e">
        <v>#N/A</v>
      </c>
    </row>
    <row r="81" spans="1:7" ht="11.5" hidden="1" customHeight="1" x14ac:dyDescent="0.35">
      <c r="A81" s="29" t="s">
        <v>166</v>
      </c>
      <c r="B81" s="29" t="s">
        <v>167</v>
      </c>
      <c r="C81" s="16">
        <v>0</v>
      </c>
      <c r="D81" s="16">
        <v>0</v>
      </c>
      <c r="E81" s="29" t="s">
        <v>42</v>
      </c>
      <c r="F81" s="29" t="s">
        <v>43</v>
      </c>
      <c r="G81" t="e">
        <v>#N/A</v>
      </c>
    </row>
    <row r="82" spans="1:7" ht="11.5" hidden="1" customHeight="1" x14ac:dyDescent="0.35">
      <c r="A82" s="29" t="s">
        <v>168</v>
      </c>
      <c r="B82" s="29" t="s">
        <v>169</v>
      </c>
      <c r="C82" s="16">
        <v>0</v>
      </c>
      <c r="D82" s="16">
        <v>0</v>
      </c>
      <c r="E82" s="29" t="s">
        <v>42</v>
      </c>
      <c r="F82" s="29" t="s">
        <v>43</v>
      </c>
      <c r="G82" t="e">
        <v>#N/A</v>
      </c>
    </row>
    <row r="83" spans="1:7" ht="11.5" hidden="1" customHeight="1" x14ac:dyDescent="0.35">
      <c r="A83" s="29" t="s">
        <v>21</v>
      </c>
      <c r="B83" s="29" t="s">
        <v>170</v>
      </c>
      <c r="C83" s="16">
        <v>0</v>
      </c>
      <c r="D83" s="16">
        <v>0</v>
      </c>
      <c r="E83" s="29" t="s">
        <v>42</v>
      </c>
      <c r="F83" s="29" t="s">
        <v>43</v>
      </c>
      <c r="G83" t="s">
        <v>0</v>
      </c>
    </row>
    <row r="84" spans="1:7" ht="11.5" hidden="1" customHeight="1" x14ac:dyDescent="0.35">
      <c r="A84" s="29" t="s">
        <v>171</v>
      </c>
      <c r="B84" s="29" t="s">
        <v>172</v>
      </c>
      <c r="C84" s="16">
        <v>0</v>
      </c>
      <c r="D84" s="16">
        <v>0</v>
      </c>
      <c r="E84" s="29" t="s">
        <v>42</v>
      </c>
      <c r="F84" s="29" t="s">
        <v>43</v>
      </c>
      <c r="G84" t="e">
        <v>#N/A</v>
      </c>
    </row>
    <row r="85" spans="1:7" ht="11.5" hidden="1" customHeight="1" x14ac:dyDescent="0.35">
      <c r="A85" s="29" t="s">
        <v>23</v>
      </c>
      <c r="B85" s="29" t="s">
        <v>173</v>
      </c>
      <c r="C85" s="16">
        <v>0</v>
      </c>
      <c r="D85" s="16">
        <v>0</v>
      </c>
      <c r="E85" s="29" t="s">
        <v>42</v>
      </c>
      <c r="F85" s="29" t="s">
        <v>43</v>
      </c>
      <c r="G85" t="s">
        <v>3894</v>
      </c>
    </row>
    <row r="86" spans="1:7" ht="11.5" hidden="1" customHeight="1" x14ac:dyDescent="0.35">
      <c r="A86" s="29" t="s">
        <v>174</v>
      </c>
      <c r="B86" s="29" t="s">
        <v>175</v>
      </c>
      <c r="C86" s="16">
        <v>0</v>
      </c>
      <c r="D86" s="16">
        <v>0</v>
      </c>
      <c r="E86" s="29" t="s">
        <v>42</v>
      </c>
      <c r="F86" s="29" t="s">
        <v>43</v>
      </c>
      <c r="G86" t="e">
        <v>#N/A</v>
      </c>
    </row>
    <row r="87" spans="1:7" ht="11.5" hidden="1" customHeight="1" x14ac:dyDescent="0.35">
      <c r="A87" s="29" t="s">
        <v>176</v>
      </c>
      <c r="B87" s="29" t="s">
        <v>177</v>
      </c>
      <c r="C87" s="16">
        <v>0</v>
      </c>
      <c r="D87" s="16">
        <v>0</v>
      </c>
      <c r="E87" s="29" t="s">
        <v>42</v>
      </c>
      <c r="F87" s="29" t="s">
        <v>43</v>
      </c>
      <c r="G87" t="e">
        <v>#N/A</v>
      </c>
    </row>
    <row r="88" spans="1:7" ht="11.5" hidden="1" customHeight="1" x14ac:dyDescent="0.35">
      <c r="A88" s="29" t="s">
        <v>178</v>
      </c>
      <c r="B88" s="29" t="s">
        <v>179</v>
      </c>
      <c r="C88" s="16">
        <v>0</v>
      </c>
      <c r="D88" s="16">
        <v>0</v>
      </c>
      <c r="E88" s="29" t="s">
        <v>42</v>
      </c>
      <c r="F88" s="29" t="s">
        <v>43</v>
      </c>
      <c r="G88" t="e">
        <v>#N/A</v>
      </c>
    </row>
    <row r="89" spans="1:7" ht="11.5" hidden="1" customHeight="1" x14ac:dyDescent="0.35">
      <c r="A89" s="29" t="s">
        <v>180</v>
      </c>
      <c r="B89" s="29" t="s">
        <v>181</v>
      </c>
      <c r="C89" s="16">
        <v>0</v>
      </c>
      <c r="D89" s="16">
        <v>0</v>
      </c>
      <c r="E89" s="29" t="s">
        <v>42</v>
      </c>
      <c r="F89" s="29" t="s">
        <v>43</v>
      </c>
      <c r="G89" t="e">
        <v>#N/A</v>
      </c>
    </row>
    <row r="90" spans="1:7" ht="11.5" hidden="1" customHeight="1" x14ac:dyDescent="0.35">
      <c r="A90" s="29" t="s">
        <v>182</v>
      </c>
      <c r="B90" s="29" t="s">
        <v>183</v>
      </c>
      <c r="C90" s="16">
        <v>0</v>
      </c>
      <c r="D90" s="16">
        <v>0</v>
      </c>
      <c r="E90" s="29" t="s">
        <v>42</v>
      </c>
      <c r="F90" s="29" t="s">
        <v>43</v>
      </c>
      <c r="G90" t="e">
        <v>#N/A</v>
      </c>
    </row>
    <row r="91" spans="1:7" ht="11.5" hidden="1" customHeight="1" x14ac:dyDescent="0.35">
      <c r="A91" s="29" t="s">
        <v>184</v>
      </c>
      <c r="B91" s="29" t="s">
        <v>185</v>
      </c>
      <c r="C91" s="16">
        <v>0</v>
      </c>
      <c r="D91" s="16">
        <v>0</v>
      </c>
      <c r="E91" s="29" t="s">
        <v>42</v>
      </c>
      <c r="F91" s="29" t="s">
        <v>43</v>
      </c>
      <c r="G91" t="e">
        <v>#N/A</v>
      </c>
    </row>
    <row r="92" spans="1:7" ht="11.5" hidden="1" customHeight="1" x14ac:dyDescent="0.35">
      <c r="A92" s="29" t="s">
        <v>186</v>
      </c>
      <c r="B92" s="29" t="s">
        <v>187</v>
      </c>
      <c r="C92" s="16">
        <v>0</v>
      </c>
      <c r="D92" s="16">
        <v>0</v>
      </c>
      <c r="E92" s="29" t="s">
        <v>42</v>
      </c>
      <c r="F92" s="29" t="s">
        <v>43</v>
      </c>
      <c r="G92" t="e">
        <v>#N/A</v>
      </c>
    </row>
    <row r="93" spans="1:7" ht="11.5" hidden="1" customHeight="1" x14ac:dyDescent="0.35">
      <c r="A93" s="29" t="s">
        <v>188</v>
      </c>
      <c r="B93" s="29" t="s">
        <v>189</v>
      </c>
      <c r="C93" s="16">
        <v>0</v>
      </c>
      <c r="D93" s="16">
        <v>0</v>
      </c>
      <c r="E93" s="29" t="s">
        <v>42</v>
      </c>
      <c r="F93" s="29" t="s">
        <v>43</v>
      </c>
      <c r="G93" t="e">
        <v>#N/A</v>
      </c>
    </row>
    <row r="94" spans="1:7" ht="11.5" hidden="1" customHeight="1" x14ac:dyDescent="0.35">
      <c r="A94" s="29" t="s">
        <v>190</v>
      </c>
      <c r="B94" s="29" t="s">
        <v>191</v>
      </c>
      <c r="C94" s="16">
        <v>0</v>
      </c>
      <c r="D94" s="16">
        <v>0</v>
      </c>
      <c r="E94" s="29" t="s">
        <v>42</v>
      </c>
      <c r="F94" s="29" t="s">
        <v>43</v>
      </c>
      <c r="G94" t="e">
        <v>#N/A</v>
      </c>
    </row>
    <row r="95" spans="1:7" ht="11.5" hidden="1" customHeight="1" x14ac:dyDescent="0.35">
      <c r="A95" s="29" t="s">
        <v>192</v>
      </c>
      <c r="B95" s="29" t="s">
        <v>193</v>
      </c>
      <c r="C95" s="16">
        <v>0</v>
      </c>
      <c r="D95" s="16">
        <v>0</v>
      </c>
      <c r="E95" s="29" t="s">
        <v>42</v>
      </c>
      <c r="F95" s="29" t="s">
        <v>43</v>
      </c>
      <c r="G95" t="e">
        <v>#N/A</v>
      </c>
    </row>
    <row r="96" spans="1:7" ht="11.5" hidden="1" customHeight="1" x14ac:dyDescent="0.35">
      <c r="A96" s="29" t="s">
        <v>194</v>
      </c>
      <c r="B96" s="29" t="s">
        <v>195</v>
      </c>
      <c r="C96" s="16">
        <v>0</v>
      </c>
      <c r="D96" s="16">
        <v>0</v>
      </c>
      <c r="E96" s="29" t="s">
        <v>42</v>
      </c>
      <c r="F96" s="29" t="s">
        <v>43</v>
      </c>
      <c r="G96" t="e">
        <v>#N/A</v>
      </c>
    </row>
    <row r="97" spans="1:7" ht="11.5" hidden="1" customHeight="1" x14ac:dyDescent="0.35">
      <c r="A97" s="29" t="s">
        <v>20</v>
      </c>
      <c r="B97" s="29" t="s">
        <v>196</v>
      </c>
      <c r="C97" s="16">
        <v>0</v>
      </c>
      <c r="D97" s="16">
        <v>0</v>
      </c>
      <c r="E97" s="29" t="s">
        <v>42</v>
      </c>
      <c r="F97" s="29" t="s">
        <v>43</v>
      </c>
      <c r="G97" t="s">
        <v>2162</v>
      </c>
    </row>
    <row r="98" spans="1:7" ht="11.5" hidden="1" customHeight="1" x14ac:dyDescent="0.35">
      <c r="A98" s="29" t="s">
        <v>197</v>
      </c>
      <c r="B98" s="29" t="s">
        <v>198</v>
      </c>
      <c r="C98" s="16">
        <v>0</v>
      </c>
      <c r="D98" s="16">
        <v>0</v>
      </c>
      <c r="E98" s="29" t="s">
        <v>42</v>
      </c>
      <c r="F98" s="29" t="s">
        <v>43</v>
      </c>
      <c r="G98" t="e">
        <v>#N/A</v>
      </c>
    </row>
    <row r="99" spans="1:7" ht="11.5" hidden="1" customHeight="1" x14ac:dyDescent="0.35">
      <c r="A99" s="29" t="s">
        <v>199</v>
      </c>
      <c r="B99" s="29" t="s">
        <v>200</v>
      </c>
      <c r="C99" s="16">
        <v>0</v>
      </c>
      <c r="D99" s="16">
        <v>0</v>
      </c>
      <c r="E99" s="29" t="s">
        <v>42</v>
      </c>
      <c r="F99" s="29" t="s">
        <v>43</v>
      </c>
      <c r="G99" t="e">
        <v>#N/A</v>
      </c>
    </row>
    <row r="100" spans="1:7" ht="11.5" hidden="1" customHeight="1" x14ac:dyDescent="0.35">
      <c r="A100" s="29" t="s">
        <v>201</v>
      </c>
      <c r="B100" s="29" t="s">
        <v>202</v>
      </c>
      <c r="C100" s="16">
        <v>0</v>
      </c>
      <c r="D100" s="16">
        <v>0</v>
      </c>
      <c r="E100" s="29" t="s">
        <v>42</v>
      </c>
      <c r="F100" s="29" t="s">
        <v>43</v>
      </c>
      <c r="G100" t="e">
        <v>#N/A</v>
      </c>
    </row>
    <row r="101" spans="1:7" ht="11.5" hidden="1" customHeight="1" x14ac:dyDescent="0.35">
      <c r="A101" s="29" t="s">
        <v>203</v>
      </c>
      <c r="B101" s="29" t="s">
        <v>204</v>
      </c>
      <c r="C101" s="16">
        <v>0</v>
      </c>
      <c r="D101" s="16">
        <v>0</v>
      </c>
      <c r="E101" s="29" t="s">
        <v>42</v>
      </c>
      <c r="F101" s="29" t="s">
        <v>43</v>
      </c>
      <c r="G101" t="e">
        <v>#N/A</v>
      </c>
    </row>
    <row r="102" spans="1:7" ht="11.5" hidden="1" customHeight="1" x14ac:dyDescent="0.35">
      <c r="A102" s="29" t="s">
        <v>205</v>
      </c>
      <c r="B102" s="29" t="s">
        <v>206</v>
      </c>
      <c r="C102" s="16">
        <v>0</v>
      </c>
      <c r="D102" s="16">
        <v>0</v>
      </c>
      <c r="E102" s="29" t="s">
        <v>42</v>
      </c>
      <c r="F102" s="29" t="s">
        <v>43</v>
      </c>
      <c r="G102" t="e">
        <v>#N/A</v>
      </c>
    </row>
    <row r="103" spans="1:7" ht="11.5" hidden="1" customHeight="1" x14ac:dyDescent="0.35">
      <c r="A103" s="29" t="s">
        <v>207</v>
      </c>
      <c r="B103" s="29" t="s">
        <v>208</v>
      </c>
      <c r="C103" s="16">
        <v>0</v>
      </c>
      <c r="D103" s="16">
        <v>0</v>
      </c>
      <c r="E103" s="29" t="s">
        <v>42</v>
      </c>
      <c r="F103" s="29" t="s">
        <v>43</v>
      </c>
      <c r="G103" t="e">
        <v>#N/A</v>
      </c>
    </row>
    <row r="104" spans="1:7" ht="11.5" hidden="1" customHeight="1" x14ac:dyDescent="0.35">
      <c r="A104" s="29" t="s">
        <v>209</v>
      </c>
      <c r="B104" s="29" t="s">
        <v>210</v>
      </c>
      <c r="C104" s="16">
        <v>0</v>
      </c>
      <c r="D104" s="16">
        <v>0</v>
      </c>
      <c r="E104" s="29" t="s">
        <v>42</v>
      </c>
      <c r="F104" s="29" t="s">
        <v>43</v>
      </c>
      <c r="G104" t="e">
        <v>#N/A</v>
      </c>
    </row>
    <row r="105" spans="1:7" ht="11.5" hidden="1" customHeight="1" x14ac:dyDescent="0.35">
      <c r="A105" s="29" t="s">
        <v>211</v>
      </c>
      <c r="B105" s="29" t="s">
        <v>212</v>
      </c>
      <c r="C105" s="16">
        <v>0</v>
      </c>
      <c r="D105" s="16">
        <v>0</v>
      </c>
      <c r="E105" s="29" t="s">
        <v>42</v>
      </c>
      <c r="F105" s="29" t="s">
        <v>43</v>
      </c>
      <c r="G105" t="e">
        <v>#N/A</v>
      </c>
    </row>
    <row r="106" spans="1:7" ht="11.5" hidden="1" customHeight="1" x14ac:dyDescent="0.35">
      <c r="A106" s="29" t="s">
        <v>213</v>
      </c>
      <c r="B106" s="29" t="s">
        <v>214</v>
      </c>
      <c r="C106" s="16">
        <v>0</v>
      </c>
      <c r="D106" s="16">
        <v>0</v>
      </c>
      <c r="E106" s="29" t="s">
        <v>42</v>
      </c>
      <c r="F106" s="29" t="s">
        <v>43</v>
      </c>
      <c r="G106" t="e">
        <v>#N/A</v>
      </c>
    </row>
    <row r="107" spans="1:7" ht="11.5" hidden="1" customHeight="1" x14ac:dyDescent="0.35">
      <c r="A107" s="29" t="s">
        <v>215</v>
      </c>
      <c r="B107" s="29" t="s">
        <v>216</v>
      </c>
      <c r="C107" s="16">
        <v>0</v>
      </c>
      <c r="D107" s="16">
        <v>0</v>
      </c>
      <c r="E107" s="29" t="s">
        <v>42</v>
      </c>
      <c r="F107" s="29" t="s">
        <v>43</v>
      </c>
      <c r="G107" t="e">
        <v>#N/A</v>
      </c>
    </row>
    <row r="108" spans="1:7" ht="11.5" hidden="1" customHeight="1" x14ac:dyDescent="0.35">
      <c r="A108" s="29" t="s">
        <v>217</v>
      </c>
      <c r="B108" s="29" t="s">
        <v>218</v>
      </c>
      <c r="C108" s="16">
        <v>0</v>
      </c>
      <c r="D108" s="16">
        <v>0</v>
      </c>
      <c r="E108" s="29" t="s">
        <v>42</v>
      </c>
      <c r="F108" s="29" t="s">
        <v>43</v>
      </c>
      <c r="G108" t="e">
        <v>#N/A</v>
      </c>
    </row>
    <row r="109" spans="1:7" ht="11.5" hidden="1" customHeight="1" x14ac:dyDescent="0.35">
      <c r="A109" s="29" t="s">
        <v>31</v>
      </c>
      <c r="B109" s="29" t="s">
        <v>219</v>
      </c>
      <c r="C109" s="16">
        <v>0</v>
      </c>
      <c r="D109" s="16">
        <v>0</v>
      </c>
      <c r="E109" s="29" t="s">
        <v>42</v>
      </c>
      <c r="F109" s="29" t="s">
        <v>43</v>
      </c>
      <c r="G109" t="e">
        <v>#N/A</v>
      </c>
    </row>
    <row r="110" spans="1:7" ht="11.5" hidden="1" customHeight="1" x14ac:dyDescent="0.35">
      <c r="A110" s="29" t="s">
        <v>220</v>
      </c>
      <c r="B110" s="29" t="s">
        <v>221</v>
      </c>
      <c r="C110" s="16">
        <v>0</v>
      </c>
      <c r="D110" s="16">
        <v>0</v>
      </c>
      <c r="E110" s="29" t="s">
        <v>42</v>
      </c>
      <c r="F110" s="29" t="s">
        <v>43</v>
      </c>
      <c r="G110" t="e">
        <v>#N/A</v>
      </c>
    </row>
    <row r="111" spans="1:7" ht="11.5" hidden="1" customHeight="1" x14ac:dyDescent="0.35">
      <c r="A111" s="29" t="s">
        <v>222</v>
      </c>
      <c r="B111" s="29" t="s">
        <v>223</v>
      </c>
      <c r="C111" s="16">
        <v>0</v>
      </c>
      <c r="D111" s="16">
        <v>0</v>
      </c>
      <c r="E111" s="29" t="s">
        <v>42</v>
      </c>
      <c r="F111" s="29" t="s">
        <v>43</v>
      </c>
      <c r="G111" t="e">
        <v>#N/A</v>
      </c>
    </row>
    <row r="112" spans="1:7" ht="11.5" hidden="1" customHeight="1" x14ac:dyDescent="0.35">
      <c r="A112" s="29" t="s">
        <v>224</v>
      </c>
      <c r="B112" s="29" t="s">
        <v>225</v>
      </c>
      <c r="C112" s="16">
        <v>0</v>
      </c>
      <c r="D112" s="16">
        <v>0</v>
      </c>
      <c r="E112" s="29" t="s">
        <v>42</v>
      </c>
      <c r="F112" s="29" t="s">
        <v>43</v>
      </c>
      <c r="G112" t="e">
        <v>#N/A</v>
      </c>
    </row>
    <row r="113" spans="1:7" ht="11.5" hidden="1" customHeight="1" x14ac:dyDescent="0.35">
      <c r="A113" s="29" t="s">
        <v>226</v>
      </c>
      <c r="B113" s="29" t="s">
        <v>227</v>
      </c>
      <c r="C113" s="16">
        <v>0</v>
      </c>
      <c r="D113" s="16">
        <v>0</v>
      </c>
      <c r="E113" s="29" t="s">
        <v>42</v>
      </c>
      <c r="F113" s="29" t="s">
        <v>43</v>
      </c>
      <c r="G113" t="e">
        <v>#N/A</v>
      </c>
    </row>
    <row r="114" spans="1:7" ht="11.5" hidden="1" customHeight="1" x14ac:dyDescent="0.35">
      <c r="A114" s="29" t="s">
        <v>228</v>
      </c>
      <c r="B114" s="29" t="s">
        <v>229</v>
      </c>
      <c r="C114" s="16">
        <v>0</v>
      </c>
      <c r="D114" s="16">
        <v>0</v>
      </c>
      <c r="E114" s="29" t="s">
        <v>42</v>
      </c>
      <c r="F114" s="29" t="s">
        <v>43</v>
      </c>
      <c r="G114" t="e">
        <v>#N/A</v>
      </c>
    </row>
    <row r="115" spans="1:7" ht="11.5" hidden="1" customHeight="1" x14ac:dyDescent="0.35">
      <c r="A115" s="29" t="s">
        <v>230</v>
      </c>
      <c r="B115" s="29" t="s">
        <v>231</v>
      </c>
      <c r="C115" s="16">
        <v>0</v>
      </c>
      <c r="D115" s="16">
        <v>0</v>
      </c>
      <c r="E115" s="29" t="s">
        <v>42</v>
      </c>
      <c r="F115" s="29" t="s">
        <v>43</v>
      </c>
      <c r="G115" t="e">
        <v>#N/A</v>
      </c>
    </row>
    <row r="116" spans="1:7" ht="11.5" hidden="1" customHeight="1" x14ac:dyDescent="0.35">
      <c r="A116" s="29" t="s">
        <v>232</v>
      </c>
      <c r="B116" s="29" t="s">
        <v>233</v>
      </c>
      <c r="C116" s="16">
        <v>0</v>
      </c>
      <c r="D116" s="16">
        <v>0</v>
      </c>
      <c r="E116" s="29" t="s">
        <v>42</v>
      </c>
      <c r="F116" s="29" t="s">
        <v>43</v>
      </c>
      <c r="G116" t="e">
        <v>#N/A</v>
      </c>
    </row>
    <row r="117" spans="1:7" ht="11.5" hidden="1" customHeight="1" x14ac:dyDescent="0.35">
      <c r="A117" s="29" t="s">
        <v>234</v>
      </c>
      <c r="B117" s="29" t="s">
        <v>235</v>
      </c>
      <c r="C117" s="16">
        <v>0</v>
      </c>
      <c r="D117" s="16">
        <v>0</v>
      </c>
      <c r="E117" s="29" t="s">
        <v>42</v>
      </c>
      <c r="F117" s="29" t="s">
        <v>43</v>
      </c>
      <c r="G117" t="e">
        <v>#N/A</v>
      </c>
    </row>
    <row r="118" spans="1:7" ht="11.5" hidden="1" customHeight="1" x14ac:dyDescent="0.35">
      <c r="A118" s="29" t="s">
        <v>236</v>
      </c>
      <c r="B118" s="29" t="s">
        <v>237</v>
      </c>
      <c r="C118" s="16">
        <v>0</v>
      </c>
      <c r="D118" s="16">
        <v>0</v>
      </c>
      <c r="E118" s="29" t="s">
        <v>42</v>
      </c>
      <c r="F118" s="29" t="s">
        <v>43</v>
      </c>
      <c r="G118" t="e">
        <v>#N/A</v>
      </c>
    </row>
    <row r="119" spans="1:7" ht="11.5" hidden="1" customHeight="1" x14ac:dyDescent="0.35">
      <c r="A119" s="29" t="s">
        <v>238</v>
      </c>
      <c r="B119" s="29" t="s">
        <v>239</v>
      </c>
      <c r="C119" s="16">
        <v>0</v>
      </c>
      <c r="D119" s="16">
        <v>0</v>
      </c>
      <c r="E119" s="29" t="s">
        <v>42</v>
      </c>
      <c r="F119" s="29" t="s">
        <v>43</v>
      </c>
      <c r="G119" t="e">
        <v>#N/A</v>
      </c>
    </row>
    <row r="120" spans="1:7" ht="11.5" hidden="1" customHeight="1" x14ac:dyDescent="0.35">
      <c r="A120" s="29" t="s">
        <v>240</v>
      </c>
      <c r="B120" s="29" t="s">
        <v>241</v>
      </c>
      <c r="C120" s="16">
        <v>0</v>
      </c>
      <c r="D120" s="16">
        <v>0</v>
      </c>
      <c r="E120" s="29" t="s">
        <v>42</v>
      </c>
      <c r="F120" s="29" t="s">
        <v>43</v>
      </c>
      <c r="G120" t="e">
        <v>#N/A</v>
      </c>
    </row>
    <row r="121" spans="1:7" ht="11.5" hidden="1" customHeight="1" x14ac:dyDescent="0.35">
      <c r="A121" s="29" t="s">
        <v>32</v>
      </c>
      <c r="B121" s="29" t="s">
        <v>242</v>
      </c>
      <c r="C121" s="16">
        <v>0</v>
      </c>
      <c r="D121" s="16">
        <v>0</v>
      </c>
      <c r="E121" s="29" t="s">
        <v>42</v>
      </c>
      <c r="F121" s="29" t="s">
        <v>43</v>
      </c>
      <c r="G121" t="e">
        <v>#N/A</v>
      </c>
    </row>
    <row r="122" spans="1:7" ht="11.5" hidden="1" customHeight="1" x14ac:dyDescent="0.35">
      <c r="A122" s="29" t="s">
        <v>243</v>
      </c>
      <c r="B122" s="29" t="s">
        <v>244</v>
      </c>
      <c r="C122" s="16">
        <v>0</v>
      </c>
      <c r="D122" s="16">
        <v>0</v>
      </c>
      <c r="E122" s="29" t="s">
        <v>42</v>
      </c>
      <c r="F122" s="29" t="s">
        <v>43</v>
      </c>
      <c r="G122" t="e">
        <v>#N/A</v>
      </c>
    </row>
    <row r="123" spans="1:7" ht="11.5" hidden="1" customHeight="1" x14ac:dyDescent="0.35">
      <c r="A123" s="29" t="s">
        <v>245</v>
      </c>
      <c r="B123" s="29" t="s">
        <v>246</v>
      </c>
      <c r="C123" s="16">
        <v>0</v>
      </c>
      <c r="D123" s="16">
        <v>0</v>
      </c>
      <c r="E123" s="29" t="s">
        <v>42</v>
      </c>
      <c r="F123" s="29" t="s">
        <v>43</v>
      </c>
      <c r="G123" t="s">
        <v>2161</v>
      </c>
    </row>
    <row r="124" spans="1:7" ht="11.5" hidden="1" customHeight="1" x14ac:dyDescent="0.35">
      <c r="A124" s="29" t="s">
        <v>247</v>
      </c>
      <c r="B124" s="29" t="s">
        <v>248</v>
      </c>
      <c r="C124" s="16">
        <v>0</v>
      </c>
      <c r="D124" s="16">
        <v>0</v>
      </c>
      <c r="E124" s="29" t="s">
        <v>42</v>
      </c>
      <c r="F124" s="29" t="s">
        <v>43</v>
      </c>
      <c r="G124" t="e">
        <v>#N/A</v>
      </c>
    </row>
    <row r="125" spans="1:7" ht="11.5" hidden="1" customHeight="1" x14ac:dyDescent="0.35">
      <c r="A125" s="29" t="s">
        <v>249</v>
      </c>
      <c r="B125" s="29" t="s">
        <v>250</v>
      </c>
      <c r="C125" s="16">
        <v>0</v>
      </c>
      <c r="D125" s="16">
        <v>0</v>
      </c>
      <c r="E125" s="29" t="s">
        <v>42</v>
      </c>
      <c r="F125" s="29" t="s">
        <v>43</v>
      </c>
      <c r="G125" t="e">
        <v>#N/A</v>
      </c>
    </row>
    <row r="126" spans="1:7" ht="11.5" hidden="1" customHeight="1" x14ac:dyDescent="0.35">
      <c r="A126" s="29" t="s">
        <v>251</v>
      </c>
      <c r="B126" s="29" t="s">
        <v>252</v>
      </c>
      <c r="C126" s="16">
        <v>0</v>
      </c>
      <c r="D126" s="16">
        <v>0</v>
      </c>
      <c r="E126" s="29" t="s">
        <v>42</v>
      </c>
      <c r="F126" s="29" t="s">
        <v>43</v>
      </c>
      <c r="G126" t="e">
        <v>#N/A</v>
      </c>
    </row>
    <row r="127" spans="1:7" ht="11.5" hidden="1" customHeight="1" x14ac:dyDescent="0.35">
      <c r="A127" s="29" t="s">
        <v>253</v>
      </c>
      <c r="B127" s="29" t="s">
        <v>254</v>
      </c>
      <c r="C127" s="16">
        <v>0</v>
      </c>
      <c r="D127" s="16">
        <v>0</v>
      </c>
      <c r="E127" s="29" t="s">
        <v>42</v>
      </c>
      <c r="F127" s="29" t="s">
        <v>43</v>
      </c>
      <c r="G127" t="e">
        <v>#N/A</v>
      </c>
    </row>
    <row r="128" spans="1:7" ht="11.5" hidden="1" customHeight="1" x14ac:dyDescent="0.35">
      <c r="A128" s="29" t="s">
        <v>255</v>
      </c>
      <c r="B128" s="29" t="s">
        <v>256</v>
      </c>
      <c r="C128" s="16">
        <v>0</v>
      </c>
      <c r="D128" s="16">
        <v>0</v>
      </c>
      <c r="E128" s="29" t="s">
        <v>42</v>
      </c>
      <c r="F128" s="29" t="s">
        <v>43</v>
      </c>
      <c r="G128" t="e">
        <v>#N/A</v>
      </c>
    </row>
    <row r="129" spans="1:7" ht="11.5" hidden="1" customHeight="1" x14ac:dyDescent="0.35">
      <c r="A129" s="29" t="s">
        <v>33</v>
      </c>
      <c r="B129" s="29" t="s">
        <v>257</v>
      </c>
      <c r="C129" s="16">
        <v>0</v>
      </c>
      <c r="D129" s="16">
        <v>0</v>
      </c>
      <c r="E129" s="29" t="s">
        <v>42</v>
      </c>
      <c r="F129" s="29" t="s">
        <v>43</v>
      </c>
      <c r="G129" t="e">
        <v>#N/A</v>
      </c>
    </row>
    <row r="130" spans="1:7" ht="11.5" hidden="1" customHeight="1" x14ac:dyDescent="0.35">
      <c r="A130" s="29" t="s">
        <v>258</v>
      </c>
      <c r="B130" s="29" t="s">
        <v>259</v>
      </c>
      <c r="C130" s="16">
        <v>0</v>
      </c>
      <c r="D130" s="16">
        <v>0</v>
      </c>
      <c r="E130" s="29" t="s">
        <v>42</v>
      </c>
      <c r="F130" s="29" t="s">
        <v>43</v>
      </c>
      <c r="G130" t="e">
        <v>#N/A</v>
      </c>
    </row>
    <row r="131" spans="1:7" ht="11.5" hidden="1" customHeight="1" x14ac:dyDescent="0.35">
      <c r="A131" s="29" t="s">
        <v>260</v>
      </c>
      <c r="B131" s="29" t="s">
        <v>261</v>
      </c>
      <c r="C131" s="16">
        <v>0</v>
      </c>
      <c r="D131" s="16">
        <v>0</v>
      </c>
      <c r="E131" s="29" t="s">
        <v>42</v>
      </c>
      <c r="F131" s="29" t="s">
        <v>43</v>
      </c>
      <c r="G131" t="e">
        <v>#N/A</v>
      </c>
    </row>
    <row r="132" spans="1:7" ht="11.5" hidden="1" customHeight="1" x14ac:dyDescent="0.35">
      <c r="A132" s="29" t="s">
        <v>262</v>
      </c>
      <c r="B132" s="29" t="s">
        <v>263</v>
      </c>
      <c r="C132" s="16">
        <v>0</v>
      </c>
      <c r="D132" s="16">
        <v>0</v>
      </c>
      <c r="E132" s="29" t="s">
        <v>42</v>
      </c>
      <c r="F132" s="29" t="s">
        <v>43</v>
      </c>
      <c r="G132" t="e">
        <v>#N/A</v>
      </c>
    </row>
    <row r="133" spans="1:7" ht="11.5" hidden="1" customHeight="1" x14ac:dyDescent="0.35">
      <c r="A133" s="29" t="s">
        <v>264</v>
      </c>
      <c r="B133" s="29" t="s">
        <v>265</v>
      </c>
      <c r="C133" s="16">
        <v>0</v>
      </c>
      <c r="D133" s="16">
        <v>0</v>
      </c>
      <c r="E133" s="29" t="s">
        <v>42</v>
      </c>
      <c r="F133" s="29" t="s">
        <v>43</v>
      </c>
      <c r="G133" t="e">
        <v>#N/A</v>
      </c>
    </row>
    <row r="134" spans="1:7" ht="11.5" hidden="1" customHeight="1" x14ac:dyDescent="0.35">
      <c r="A134" s="29" t="s">
        <v>266</v>
      </c>
      <c r="B134" s="29" t="s">
        <v>267</v>
      </c>
      <c r="C134" s="16">
        <v>0</v>
      </c>
      <c r="D134" s="16">
        <v>0</v>
      </c>
      <c r="E134" s="29" t="s">
        <v>42</v>
      </c>
      <c r="F134" s="29" t="s">
        <v>43</v>
      </c>
      <c r="G134" t="e">
        <v>#N/A</v>
      </c>
    </row>
    <row r="135" spans="1:7" ht="11.5" hidden="1" customHeight="1" x14ac:dyDescent="0.35">
      <c r="A135" s="29" t="s">
        <v>268</v>
      </c>
      <c r="B135" s="29" t="s">
        <v>269</v>
      </c>
      <c r="C135" s="16">
        <v>0</v>
      </c>
      <c r="D135" s="16">
        <v>0</v>
      </c>
      <c r="E135" s="29" t="s">
        <v>42</v>
      </c>
      <c r="F135" s="29" t="s">
        <v>43</v>
      </c>
      <c r="G135" t="e">
        <v>#N/A</v>
      </c>
    </row>
    <row r="136" spans="1:7" ht="11.5" hidden="1" customHeight="1" x14ac:dyDescent="0.35">
      <c r="A136" s="29" t="s">
        <v>270</v>
      </c>
      <c r="B136" s="29" t="s">
        <v>271</v>
      </c>
      <c r="C136" s="16">
        <v>0</v>
      </c>
      <c r="D136" s="16">
        <v>0</v>
      </c>
      <c r="E136" s="29" t="s">
        <v>42</v>
      </c>
      <c r="F136" s="29" t="s">
        <v>43</v>
      </c>
      <c r="G136" t="e">
        <v>#N/A</v>
      </c>
    </row>
    <row r="137" spans="1:7" ht="11.5" hidden="1" customHeight="1" x14ac:dyDescent="0.35">
      <c r="A137" s="29" t="s">
        <v>272</v>
      </c>
      <c r="B137" s="29" t="s">
        <v>273</v>
      </c>
      <c r="C137" s="16">
        <v>0</v>
      </c>
      <c r="D137" s="16">
        <v>0</v>
      </c>
      <c r="E137" s="29" t="s">
        <v>42</v>
      </c>
      <c r="F137" s="29" t="s">
        <v>43</v>
      </c>
      <c r="G137" t="e">
        <v>#N/A</v>
      </c>
    </row>
    <row r="138" spans="1:7" ht="11.5" hidden="1" customHeight="1" x14ac:dyDescent="0.35">
      <c r="A138" s="29" t="s">
        <v>274</v>
      </c>
      <c r="B138" s="29" t="s">
        <v>275</v>
      </c>
      <c r="C138" s="16">
        <v>0</v>
      </c>
      <c r="D138" s="16">
        <v>0</v>
      </c>
      <c r="E138" s="29" t="s">
        <v>42</v>
      </c>
      <c r="F138" s="29" t="s">
        <v>43</v>
      </c>
      <c r="G138" t="e">
        <v>#N/A</v>
      </c>
    </row>
    <row r="139" spans="1:7" ht="11.5" hidden="1" customHeight="1" x14ac:dyDescent="0.35">
      <c r="A139" s="29" t="s">
        <v>276</v>
      </c>
      <c r="B139" s="29" t="s">
        <v>277</v>
      </c>
      <c r="C139" s="16">
        <v>0</v>
      </c>
      <c r="D139" s="16">
        <v>0</v>
      </c>
      <c r="E139" s="29" t="s">
        <v>42</v>
      </c>
      <c r="F139" s="29" t="s">
        <v>43</v>
      </c>
      <c r="G139" t="e">
        <v>#N/A</v>
      </c>
    </row>
    <row r="140" spans="1:7" ht="11.5" hidden="1" customHeight="1" x14ac:dyDescent="0.35">
      <c r="A140" s="29" t="s">
        <v>25</v>
      </c>
      <c r="B140" s="29" t="s">
        <v>278</v>
      </c>
      <c r="C140" s="16">
        <v>0</v>
      </c>
      <c r="D140" s="16">
        <v>0</v>
      </c>
      <c r="E140" s="29" t="s">
        <v>42</v>
      </c>
      <c r="F140" s="29" t="s">
        <v>43</v>
      </c>
      <c r="G140" t="s">
        <v>3893</v>
      </c>
    </row>
    <row r="141" spans="1:7" ht="11.5" hidden="1" customHeight="1" x14ac:dyDescent="0.35">
      <c r="A141" s="29" t="s">
        <v>279</v>
      </c>
      <c r="B141" s="29" t="s">
        <v>280</v>
      </c>
      <c r="C141" s="16">
        <v>0</v>
      </c>
      <c r="D141" s="16">
        <v>0</v>
      </c>
      <c r="E141" s="29" t="s">
        <v>42</v>
      </c>
      <c r="F141" s="29" t="s">
        <v>43</v>
      </c>
      <c r="G141" t="e">
        <v>#N/A</v>
      </c>
    </row>
    <row r="142" spans="1:7" ht="11.5" hidden="1" customHeight="1" x14ac:dyDescent="0.35">
      <c r="A142" s="29" t="s">
        <v>281</v>
      </c>
      <c r="B142" s="29" t="s">
        <v>282</v>
      </c>
      <c r="C142" s="16">
        <v>0</v>
      </c>
      <c r="D142" s="16">
        <v>0</v>
      </c>
      <c r="E142" s="29" t="s">
        <v>42</v>
      </c>
      <c r="F142" s="29" t="s">
        <v>43</v>
      </c>
      <c r="G142" t="e">
        <v>#N/A</v>
      </c>
    </row>
    <row r="143" spans="1:7" ht="11.5" hidden="1" customHeight="1" x14ac:dyDescent="0.35">
      <c r="A143" s="29" t="s">
        <v>22</v>
      </c>
      <c r="B143" s="29" t="s">
        <v>283</v>
      </c>
      <c r="C143" s="16">
        <v>0</v>
      </c>
      <c r="D143" s="16">
        <v>0</v>
      </c>
      <c r="E143" s="29" t="s">
        <v>42</v>
      </c>
      <c r="F143" s="29" t="s">
        <v>43</v>
      </c>
      <c r="G143" t="e">
        <v>#N/A</v>
      </c>
    </row>
    <row r="144" spans="1:7" ht="11.5" hidden="1" customHeight="1" x14ac:dyDescent="0.35">
      <c r="A144" s="29" t="s">
        <v>284</v>
      </c>
      <c r="B144" s="29" t="s">
        <v>285</v>
      </c>
      <c r="C144" s="16">
        <v>0</v>
      </c>
      <c r="D144" s="16">
        <v>0</v>
      </c>
      <c r="E144" s="29" t="s">
        <v>42</v>
      </c>
      <c r="F144" s="29" t="s">
        <v>43</v>
      </c>
      <c r="G144" t="e">
        <v>#N/A</v>
      </c>
    </row>
    <row r="145" spans="1:7" ht="11.5" hidden="1" customHeight="1" x14ac:dyDescent="0.35">
      <c r="A145" s="29" t="s">
        <v>286</v>
      </c>
      <c r="B145" s="29" t="s">
        <v>287</v>
      </c>
      <c r="C145" s="16">
        <v>0</v>
      </c>
      <c r="D145" s="16">
        <v>0</v>
      </c>
      <c r="E145" s="29" t="s">
        <v>42</v>
      </c>
      <c r="F145" s="29" t="s">
        <v>43</v>
      </c>
      <c r="G145" t="e">
        <v>#N/A</v>
      </c>
    </row>
    <row r="146" spans="1:7" ht="11.5" hidden="1" customHeight="1" x14ac:dyDescent="0.35">
      <c r="A146" s="29" t="s">
        <v>288</v>
      </c>
      <c r="B146" s="29" t="s">
        <v>289</v>
      </c>
      <c r="C146" s="16">
        <v>0</v>
      </c>
      <c r="D146" s="16">
        <v>0</v>
      </c>
      <c r="E146" s="29" t="s">
        <v>42</v>
      </c>
      <c r="F146" s="29" t="s">
        <v>43</v>
      </c>
      <c r="G146" t="e">
        <v>#N/A</v>
      </c>
    </row>
    <row r="147" spans="1:7" ht="11.5" hidden="1" customHeight="1" x14ac:dyDescent="0.35">
      <c r="A147" s="29" t="s">
        <v>290</v>
      </c>
      <c r="B147" s="29" t="s">
        <v>291</v>
      </c>
      <c r="C147" s="16">
        <v>0</v>
      </c>
      <c r="D147" s="16">
        <v>0</v>
      </c>
      <c r="E147" s="29" t="s">
        <v>42</v>
      </c>
      <c r="F147" s="29" t="s">
        <v>43</v>
      </c>
      <c r="G147" t="e">
        <v>#N/A</v>
      </c>
    </row>
    <row r="148" spans="1:7" ht="11.5" hidden="1" customHeight="1" x14ac:dyDescent="0.35">
      <c r="A148" s="29" t="s">
        <v>292</v>
      </c>
      <c r="B148" s="29" t="s">
        <v>293</v>
      </c>
      <c r="C148" s="16">
        <v>0</v>
      </c>
      <c r="D148" s="16">
        <v>0</v>
      </c>
      <c r="E148" s="29" t="s">
        <v>42</v>
      </c>
      <c r="F148" s="29" t="s">
        <v>43</v>
      </c>
      <c r="G148" t="e">
        <v>#N/A</v>
      </c>
    </row>
    <row r="149" spans="1:7" ht="11.5" hidden="1" customHeight="1" x14ac:dyDescent="0.35">
      <c r="A149" s="29" t="s">
        <v>294</v>
      </c>
      <c r="B149" s="29" t="s">
        <v>295</v>
      </c>
      <c r="C149" s="16">
        <v>0</v>
      </c>
      <c r="D149" s="16">
        <v>0</v>
      </c>
      <c r="E149" s="29" t="s">
        <v>42</v>
      </c>
      <c r="F149" s="29" t="s">
        <v>43</v>
      </c>
      <c r="G149" t="e">
        <v>#N/A</v>
      </c>
    </row>
    <row r="150" spans="1:7" ht="11.5" hidden="1" customHeight="1" x14ac:dyDescent="0.35">
      <c r="A150" s="29" t="s">
        <v>296</v>
      </c>
      <c r="B150" s="29" t="s">
        <v>297</v>
      </c>
      <c r="C150" s="16">
        <v>0</v>
      </c>
      <c r="D150" s="16">
        <v>0</v>
      </c>
      <c r="E150" s="29" t="s">
        <v>42</v>
      </c>
      <c r="F150" s="29" t="s">
        <v>43</v>
      </c>
      <c r="G150" t="e">
        <v>#N/A</v>
      </c>
    </row>
    <row r="151" spans="1:7" ht="11.5" hidden="1" customHeight="1" x14ac:dyDescent="0.35">
      <c r="A151" s="29" t="s">
        <v>298</v>
      </c>
      <c r="B151" s="29" t="s">
        <v>299</v>
      </c>
      <c r="C151" s="16">
        <v>0</v>
      </c>
      <c r="D151" s="16">
        <v>0</v>
      </c>
      <c r="E151" s="29" t="s">
        <v>42</v>
      </c>
      <c r="F151" s="29" t="s">
        <v>43</v>
      </c>
      <c r="G151" t="e">
        <v>#N/A</v>
      </c>
    </row>
    <row r="152" spans="1:7" ht="11.5" hidden="1" customHeight="1" x14ac:dyDescent="0.35">
      <c r="A152" s="29" t="s">
        <v>300</v>
      </c>
      <c r="B152" s="29" t="s">
        <v>301</v>
      </c>
      <c r="C152" s="16">
        <v>0</v>
      </c>
      <c r="D152" s="16">
        <v>0</v>
      </c>
      <c r="E152" s="29" t="s">
        <v>42</v>
      </c>
      <c r="F152" s="29" t="s">
        <v>43</v>
      </c>
      <c r="G152" t="e">
        <v>#N/A</v>
      </c>
    </row>
    <row r="153" spans="1:7" ht="11.5" hidden="1" customHeight="1" x14ac:dyDescent="0.35">
      <c r="A153" s="29" t="s">
        <v>302</v>
      </c>
      <c r="B153" s="29" t="s">
        <v>303</v>
      </c>
      <c r="C153" s="16">
        <v>0</v>
      </c>
      <c r="D153" s="16">
        <v>0</v>
      </c>
      <c r="E153" s="29" t="s">
        <v>42</v>
      </c>
      <c r="F153" s="29" t="s">
        <v>43</v>
      </c>
      <c r="G153" t="e">
        <v>#N/A</v>
      </c>
    </row>
    <row r="154" spans="1:7" ht="11.5" hidden="1" customHeight="1" x14ac:dyDescent="0.35">
      <c r="A154" s="29" t="s">
        <v>304</v>
      </c>
      <c r="B154" s="29" t="s">
        <v>305</v>
      </c>
      <c r="C154" s="16">
        <v>0</v>
      </c>
      <c r="D154" s="16">
        <v>0</v>
      </c>
      <c r="E154" s="29" t="s">
        <v>42</v>
      </c>
      <c r="F154" s="29" t="s">
        <v>43</v>
      </c>
      <c r="G154" t="e">
        <v>#N/A</v>
      </c>
    </row>
    <row r="155" spans="1:7" ht="11.5" hidden="1" customHeight="1" x14ac:dyDescent="0.35">
      <c r="A155" s="29" t="s">
        <v>306</v>
      </c>
      <c r="B155" s="29" t="s">
        <v>307</v>
      </c>
      <c r="C155" s="16">
        <v>0</v>
      </c>
      <c r="D155" s="16">
        <v>0</v>
      </c>
      <c r="E155" s="29" t="s">
        <v>42</v>
      </c>
      <c r="F155" s="29" t="s">
        <v>43</v>
      </c>
      <c r="G155" t="e">
        <v>#N/A</v>
      </c>
    </row>
    <row r="156" spans="1:7" ht="11.5" hidden="1" customHeight="1" x14ac:dyDescent="0.35">
      <c r="A156" s="29" t="s">
        <v>308</v>
      </c>
      <c r="B156" s="29" t="s">
        <v>309</v>
      </c>
      <c r="C156" s="16">
        <v>0</v>
      </c>
      <c r="D156" s="16">
        <v>0</v>
      </c>
      <c r="E156" s="29" t="s">
        <v>42</v>
      </c>
      <c r="F156" s="29" t="s">
        <v>43</v>
      </c>
      <c r="G156" t="e">
        <v>#N/A</v>
      </c>
    </row>
    <row r="157" spans="1:7" ht="11.5" hidden="1" customHeight="1" x14ac:dyDescent="0.35">
      <c r="A157" s="29" t="s">
        <v>310</v>
      </c>
      <c r="B157" s="29" t="s">
        <v>311</v>
      </c>
      <c r="C157" s="16">
        <v>0</v>
      </c>
      <c r="D157" s="16">
        <v>0</v>
      </c>
      <c r="E157" s="29" t="s">
        <v>42</v>
      </c>
      <c r="F157" s="29" t="s">
        <v>43</v>
      </c>
      <c r="G157" t="e">
        <v>#N/A</v>
      </c>
    </row>
    <row r="158" spans="1:7" ht="11.5" hidden="1" customHeight="1" x14ac:dyDescent="0.35">
      <c r="A158" s="29" t="s">
        <v>312</v>
      </c>
      <c r="B158" s="29" t="s">
        <v>313</v>
      </c>
      <c r="C158" s="16">
        <v>0</v>
      </c>
      <c r="D158" s="16">
        <v>0</v>
      </c>
      <c r="E158" s="29" t="s">
        <v>42</v>
      </c>
      <c r="F158" s="29" t="s">
        <v>43</v>
      </c>
      <c r="G158" t="e">
        <v>#N/A</v>
      </c>
    </row>
    <row r="159" spans="1:7" ht="11.5" hidden="1" customHeight="1" x14ac:dyDescent="0.35">
      <c r="A159" s="29" t="s">
        <v>314</v>
      </c>
      <c r="B159" s="29" t="s">
        <v>315</v>
      </c>
      <c r="C159" s="16">
        <v>0</v>
      </c>
      <c r="D159" s="16">
        <v>0</v>
      </c>
      <c r="E159" s="29" t="s">
        <v>42</v>
      </c>
      <c r="F159" s="29" t="s">
        <v>43</v>
      </c>
      <c r="G159" t="e">
        <v>#N/A</v>
      </c>
    </row>
    <row r="160" spans="1:7" ht="11.5" hidden="1" customHeight="1" x14ac:dyDescent="0.35">
      <c r="A160" s="29" t="s">
        <v>316</v>
      </c>
      <c r="B160" s="29" t="s">
        <v>317</v>
      </c>
      <c r="C160" s="16">
        <v>0</v>
      </c>
      <c r="D160" s="16">
        <v>0</v>
      </c>
      <c r="E160" s="29" t="s">
        <v>42</v>
      </c>
      <c r="F160" s="29" t="s">
        <v>43</v>
      </c>
      <c r="G160" t="e">
        <v>#N/A</v>
      </c>
    </row>
    <row r="161" spans="1:7" ht="11.5" hidden="1" customHeight="1" x14ac:dyDescent="0.35">
      <c r="A161" s="29" t="s">
        <v>318</v>
      </c>
      <c r="B161" s="29" t="s">
        <v>319</v>
      </c>
      <c r="C161" s="16">
        <v>0</v>
      </c>
      <c r="D161" s="16">
        <v>0</v>
      </c>
      <c r="E161" s="29" t="s">
        <v>42</v>
      </c>
      <c r="F161" s="29" t="s">
        <v>43</v>
      </c>
      <c r="G161" t="e">
        <v>#N/A</v>
      </c>
    </row>
    <row r="162" spans="1:7" ht="11.5" hidden="1" customHeight="1" x14ac:dyDescent="0.35">
      <c r="A162" s="29" t="s">
        <v>320</v>
      </c>
      <c r="B162" s="29" t="s">
        <v>321</v>
      </c>
      <c r="C162" s="16">
        <v>0</v>
      </c>
      <c r="D162" s="16">
        <v>0</v>
      </c>
      <c r="E162" s="29" t="s">
        <v>42</v>
      </c>
      <c r="F162" s="29" t="s">
        <v>43</v>
      </c>
      <c r="G162" t="e">
        <v>#N/A</v>
      </c>
    </row>
    <row r="163" spans="1:7" ht="11.5" hidden="1" customHeight="1" x14ac:dyDescent="0.35">
      <c r="A163" s="29" t="s">
        <v>322</v>
      </c>
      <c r="B163" s="29" t="s">
        <v>323</v>
      </c>
      <c r="C163" s="16">
        <v>0</v>
      </c>
      <c r="D163" s="16">
        <v>0</v>
      </c>
      <c r="E163" s="29" t="s">
        <v>42</v>
      </c>
      <c r="F163" s="29" t="s">
        <v>43</v>
      </c>
      <c r="G163" t="e">
        <v>#N/A</v>
      </c>
    </row>
    <row r="164" spans="1:7" ht="11.5" hidden="1" customHeight="1" x14ac:dyDescent="0.35">
      <c r="A164" s="29" t="s">
        <v>324</v>
      </c>
      <c r="B164" s="29" t="s">
        <v>325</v>
      </c>
      <c r="C164" s="16">
        <v>0</v>
      </c>
      <c r="D164" s="16">
        <v>0</v>
      </c>
      <c r="E164" s="29" t="s">
        <v>42</v>
      </c>
      <c r="F164" s="29" t="s">
        <v>43</v>
      </c>
      <c r="G164" t="e">
        <v>#N/A</v>
      </c>
    </row>
    <row r="165" spans="1:7" ht="11.5" hidden="1" customHeight="1" x14ac:dyDescent="0.35">
      <c r="A165" s="29" t="s">
        <v>326</v>
      </c>
      <c r="B165" s="29" t="s">
        <v>327</v>
      </c>
      <c r="C165" s="16">
        <v>0</v>
      </c>
      <c r="D165" s="16">
        <v>0</v>
      </c>
      <c r="E165" s="29" t="s">
        <v>42</v>
      </c>
      <c r="F165" s="29" t="s">
        <v>43</v>
      </c>
      <c r="G165" t="e">
        <v>#N/A</v>
      </c>
    </row>
    <row r="166" spans="1:7" ht="11.5" hidden="1" customHeight="1" x14ac:dyDescent="0.35">
      <c r="A166" s="29" t="s">
        <v>328</v>
      </c>
      <c r="B166" s="29" t="s">
        <v>329</v>
      </c>
      <c r="C166" s="16">
        <v>0</v>
      </c>
      <c r="D166" s="16">
        <v>0</v>
      </c>
      <c r="E166" s="29" t="s">
        <v>42</v>
      </c>
      <c r="F166" s="29" t="s">
        <v>43</v>
      </c>
      <c r="G166" t="e">
        <v>#N/A</v>
      </c>
    </row>
    <row r="167" spans="1:7" ht="11.5" hidden="1" customHeight="1" x14ac:dyDescent="0.35">
      <c r="A167" s="29" t="s">
        <v>330</v>
      </c>
      <c r="B167" s="29" t="s">
        <v>331</v>
      </c>
      <c r="C167" s="16">
        <v>0</v>
      </c>
      <c r="D167" s="16">
        <v>0</v>
      </c>
      <c r="E167" s="29" t="s">
        <v>42</v>
      </c>
      <c r="F167" s="29" t="s">
        <v>43</v>
      </c>
      <c r="G167" t="e">
        <v>#N/A</v>
      </c>
    </row>
    <row r="168" spans="1:7" ht="11.5" hidden="1" customHeight="1" x14ac:dyDescent="0.35">
      <c r="A168" s="29" t="s">
        <v>332</v>
      </c>
      <c r="B168" s="29" t="s">
        <v>333</v>
      </c>
      <c r="C168" s="16">
        <v>0</v>
      </c>
      <c r="D168" s="16">
        <v>0</v>
      </c>
      <c r="E168" s="29" t="s">
        <v>42</v>
      </c>
      <c r="F168" s="29" t="s">
        <v>43</v>
      </c>
      <c r="G168" t="e">
        <v>#N/A</v>
      </c>
    </row>
    <row r="169" spans="1:7" ht="11.5" hidden="1" customHeight="1" x14ac:dyDescent="0.35">
      <c r="A169" s="29" t="s">
        <v>13</v>
      </c>
      <c r="B169" s="29" t="s">
        <v>334</v>
      </c>
      <c r="C169" s="16">
        <v>0</v>
      </c>
      <c r="D169" s="16">
        <v>0</v>
      </c>
      <c r="E169" s="29" t="s">
        <v>42</v>
      </c>
      <c r="F169" s="29" t="s">
        <v>43</v>
      </c>
      <c r="G169" t="e">
        <v>#N/A</v>
      </c>
    </row>
    <row r="170" spans="1:7" ht="11.5" hidden="1" customHeight="1" x14ac:dyDescent="0.35">
      <c r="A170" s="29" t="s">
        <v>335</v>
      </c>
      <c r="B170" s="29" t="s">
        <v>336</v>
      </c>
      <c r="C170" s="16">
        <v>0</v>
      </c>
      <c r="D170" s="16">
        <v>0</v>
      </c>
      <c r="E170" s="29" t="s">
        <v>42</v>
      </c>
      <c r="F170" s="29" t="s">
        <v>43</v>
      </c>
      <c r="G170" t="e">
        <v>#N/A</v>
      </c>
    </row>
    <row r="171" spans="1:7" ht="11.5" hidden="1" customHeight="1" x14ac:dyDescent="0.35">
      <c r="A171" s="29" t="s">
        <v>337</v>
      </c>
      <c r="B171" s="29" t="s">
        <v>338</v>
      </c>
      <c r="C171" s="16">
        <v>0</v>
      </c>
      <c r="D171" s="16">
        <v>0</v>
      </c>
      <c r="E171" s="29" t="s">
        <v>42</v>
      </c>
      <c r="F171" s="29" t="s">
        <v>43</v>
      </c>
      <c r="G171" t="e">
        <v>#N/A</v>
      </c>
    </row>
    <row r="172" spans="1:7" ht="11.5" hidden="1" customHeight="1" x14ac:dyDescent="0.35">
      <c r="A172" s="29" t="s">
        <v>339</v>
      </c>
      <c r="B172" s="29" t="s">
        <v>340</v>
      </c>
      <c r="C172" s="16">
        <v>0</v>
      </c>
      <c r="D172" s="16">
        <v>0</v>
      </c>
      <c r="E172" s="29" t="s">
        <v>42</v>
      </c>
      <c r="F172" s="29" t="s">
        <v>43</v>
      </c>
      <c r="G172" t="e">
        <v>#N/A</v>
      </c>
    </row>
    <row r="173" spans="1:7" ht="11.5" hidden="1" customHeight="1" x14ac:dyDescent="0.35">
      <c r="A173" s="29" t="s">
        <v>341</v>
      </c>
      <c r="B173" s="29" t="s">
        <v>342</v>
      </c>
      <c r="C173" s="16">
        <v>0</v>
      </c>
      <c r="D173" s="16">
        <v>0</v>
      </c>
      <c r="E173" s="29" t="s">
        <v>42</v>
      </c>
      <c r="F173" s="29" t="s">
        <v>43</v>
      </c>
      <c r="G173" t="e">
        <v>#N/A</v>
      </c>
    </row>
    <row r="174" spans="1:7" ht="11.5" hidden="1" customHeight="1" x14ac:dyDescent="0.35">
      <c r="A174" s="29" t="s">
        <v>343</v>
      </c>
      <c r="B174" s="29" t="s">
        <v>344</v>
      </c>
      <c r="C174" s="16">
        <v>0</v>
      </c>
      <c r="D174" s="16">
        <v>0</v>
      </c>
      <c r="E174" s="29" t="s">
        <v>42</v>
      </c>
      <c r="F174" s="29" t="s">
        <v>43</v>
      </c>
      <c r="G174" t="e">
        <v>#N/A</v>
      </c>
    </row>
    <row r="175" spans="1:7" ht="11.5" hidden="1" customHeight="1" x14ac:dyDescent="0.35">
      <c r="A175" s="29" t="s">
        <v>345</v>
      </c>
      <c r="B175" s="29" t="s">
        <v>346</v>
      </c>
      <c r="C175" s="16">
        <v>0</v>
      </c>
      <c r="D175" s="16">
        <v>0</v>
      </c>
      <c r="E175" s="29" t="s">
        <v>42</v>
      </c>
      <c r="F175" s="29" t="s">
        <v>43</v>
      </c>
      <c r="G175" t="e">
        <v>#N/A</v>
      </c>
    </row>
    <row r="176" spans="1:7" ht="11.5" hidden="1" customHeight="1" x14ac:dyDescent="0.35">
      <c r="A176" s="29" t="s">
        <v>347</v>
      </c>
      <c r="B176" s="29" t="s">
        <v>348</v>
      </c>
      <c r="C176" s="16">
        <v>0</v>
      </c>
      <c r="D176" s="16">
        <v>0</v>
      </c>
      <c r="E176" s="29" t="s">
        <v>42</v>
      </c>
      <c r="F176" s="29" t="s">
        <v>43</v>
      </c>
      <c r="G176" t="e">
        <v>#N/A</v>
      </c>
    </row>
    <row r="177" spans="1:7" ht="11.5" hidden="1" customHeight="1" x14ac:dyDescent="0.35">
      <c r="A177" s="29" t="s">
        <v>26</v>
      </c>
      <c r="B177" s="29" t="s">
        <v>349</v>
      </c>
      <c r="C177" s="16">
        <v>0</v>
      </c>
      <c r="D177" s="16">
        <v>0</v>
      </c>
      <c r="E177" s="29" t="s">
        <v>42</v>
      </c>
      <c r="F177" s="29" t="s">
        <v>43</v>
      </c>
      <c r="G177" t="e">
        <v>#N/A</v>
      </c>
    </row>
    <row r="178" spans="1:7" ht="11.5" hidden="1" customHeight="1" x14ac:dyDescent="0.35">
      <c r="A178" s="29" t="s">
        <v>350</v>
      </c>
      <c r="B178" s="29" t="s">
        <v>351</v>
      </c>
      <c r="C178" s="16">
        <v>0</v>
      </c>
      <c r="D178" s="16">
        <v>0</v>
      </c>
      <c r="E178" s="29" t="s">
        <v>42</v>
      </c>
      <c r="F178" s="29" t="s">
        <v>43</v>
      </c>
      <c r="G178" t="e">
        <v>#N/A</v>
      </c>
    </row>
    <row r="179" spans="1:7" ht="11.5" hidden="1" customHeight="1" x14ac:dyDescent="0.35">
      <c r="A179" s="29" t="s">
        <v>352</v>
      </c>
      <c r="B179" s="29" t="s">
        <v>353</v>
      </c>
      <c r="C179" s="16">
        <v>0</v>
      </c>
      <c r="D179" s="16">
        <v>0</v>
      </c>
      <c r="E179" s="29" t="s">
        <v>42</v>
      </c>
      <c r="F179" s="29" t="s">
        <v>43</v>
      </c>
      <c r="G179" t="e">
        <v>#N/A</v>
      </c>
    </row>
    <row r="180" spans="1:7" ht="11.5" hidden="1" customHeight="1" x14ac:dyDescent="0.35">
      <c r="A180" s="29" t="s">
        <v>14</v>
      </c>
      <c r="B180" s="29" t="s">
        <v>354</v>
      </c>
      <c r="C180" s="16">
        <v>0</v>
      </c>
      <c r="D180" s="16">
        <v>0</v>
      </c>
      <c r="E180" s="29" t="s">
        <v>42</v>
      </c>
      <c r="F180" s="29" t="s">
        <v>43</v>
      </c>
      <c r="G180" t="e">
        <v>#N/A</v>
      </c>
    </row>
    <row r="181" spans="1:7" ht="11.5" hidden="1" customHeight="1" x14ac:dyDescent="0.35">
      <c r="A181" s="29" t="s">
        <v>355</v>
      </c>
      <c r="B181" s="29" t="s">
        <v>356</v>
      </c>
      <c r="C181" s="16">
        <v>0</v>
      </c>
      <c r="D181" s="16">
        <v>0</v>
      </c>
      <c r="E181" s="29" t="s">
        <v>42</v>
      </c>
      <c r="F181" s="29" t="s">
        <v>43</v>
      </c>
      <c r="G181" t="e">
        <v>#N/A</v>
      </c>
    </row>
    <row r="182" spans="1:7" ht="11.5" hidden="1" customHeight="1" x14ac:dyDescent="0.35">
      <c r="A182" s="29" t="s">
        <v>19</v>
      </c>
      <c r="B182" s="29" t="s">
        <v>357</v>
      </c>
      <c r="C182" s="16">
        <v>0</v>
      </c>
      <c r="D182" s="16">
        <v>0</v>
      </c>
      <c r="E182" s="29" t="s">
        <v>42</v>
      </c>
      <c r="F182" s="29" t="s">
        <v>43</v>
      </c>
      <c r="G182" t="s">
        <v>2161</v>
      </c>
    </row>
    <row r="183" spans="1:7" ht="11.5" hidden="1" customHeight="1" x14ac:dyDescent="0.35">
      <c r="A183" s="29" t="s">
        <v>358</v>
      </c>
      <c r="B183" s="29" t="s">
        <v>359</v>
      </c>
      <c r="C183" s="16">
        <v>0</v>
      </c>
      <c r="D183" s="16">
        <v>0</v>
      </c>
      <c r="E183" s="29" t="s">
        <v>42</v>
      </c>
      <c r="F183" s="29" t="s">
        <v>43</v>
      </c>
      <c r="G183" t="e">
        <v>#N/A</v>
      </c>
    </row>
    <row r="184" spans="1:7" ht="11.5" hidden="1" customHeight="1" x14ac:dyDescent="0.35">
      <c r="A184" s="29" t="s">
        <v>16</v>
      </c>
      <c r="B184" s="29" t="s">
        <v>360</v>
      </c>
      <c r="C184" s="16">
        <v>0</v>
      </c>
      <c r="D184" s="16">
        <v>0</v>
      </c>
      <c r="E184" s="29" t="s">
        <v>42</v>
      </c>
      <c r="F184" s="29" t="s">
        <v>43</v>
      </c>
      <c r="G184" t="e">
        <v>#N/A</v>
      </c>
    </row>
    <row r="185" spans="1:7" ht="11.5" hidden="1" customHeight="1" x14ac:dyDescent="0.35">
      <c r="A185" s="29" t="s">
        <v>361</v>
      </c>
      <c r="B185" s="29" t="s">
        <v>362</v>
      </c>
      <c r="C185" s="16">
        <v>0</v>
      </c>
      <c r="D185" s="16">
        <v>0</v>
      </c>
      <c r="E185" s="29" t="s">
        <v>42</v>
      </c>
      <c r="F185" s="29" t="s">
        <v>43</v>
      </c>
      <c r="G185" t="e">
        <v>#N/A</v>
      </c>
    </row>
    <row r="186" spans="1:7" ht="11.5" hidden="1" customHeight="1" x14ac:dyDescent="0.35">
      <c r="A186" s="29" t="s">
        <v>363</v>
      </c>
      <c r="B186" s="29" t="s">
        <v>364</v>
      </c>
      <c r="C186" s="16">
        <v>0</v>
      </c>
      <c r="D186" s="16">
        <v>0</v>
      </c>
      <c r="E186" s="29" t="s">
        <v>42</v>
      </c>
      <c r="F186" s="29" t="s">
        <v>43</v>
      </c>
      <c r="G186" t="e">
        <v>#N/A</v>
      </c>
    </row>
    <row r="187" spans="1:7" ht="11.5" hidden="1" customHeight="1" x14ac:dyDescent="0.35">
      <c r="A187" s="29" t="s">
        <v>365</v>
      </c>
      <c r="B187" s="29" t="s">
        <v>366</v>
      </c>
      <c r="C187" s="16">
        <v>0</v>
      </c>
      <c r="D187" s="16">
        <v>0</v>
      </c>
      <c r="E187" s="29" t="s">
        <v>42</v>
      </c>
      <c r="F187" s="29" t="s">
        <v>43</v>
      </c>
      <c r="G187" t="e">
        <v>#N/A</v>
      </c>
    </row>
    <row r="188" spans="1:7" ht="11.5" hidden="1" customHeight="1" x14ac:dyDescent="0.35">
      <c r="A188" s="29" t="s">
        <v>15</v>
      </c>
      <c r="B188" s="29" t="s">
        <v>367</v>
      </c>
      <c r="C188" s="16">
        <v>0</v>
      </c>
      <c r="D188" s="16">
        <v>0</v>
      </c>
      <c r="E188" s="29" t="s">
        <v>42</v>
      </c>
      <c r="F188" s="29" t="s">
        <v>43</v>
      </c>
      <c r="G188" t="e">
        <v>#N/A</v>
      </c>
    </row>
    <row r="189" spans="1:7" ht="11.5" hidden="1" customHeight="1" x14ac:dyDescent="0.35">
      <c r="A189" s="29" t="s">
        <v>18</v>
      </c>
      <c r="B189" s="29" t="s">
        <v>368</v>
      </c>
      <c r="C189" s="16">
        <v>0</v>
      </c>
      <c r="D189" s="16">
        <v>0</v>
      </c>
      <c r="E189" s="29" t="s">
        <v>42</v>
      </c>
      <c r="F189" s="29" t="s">
        <v>43</v>
      </c>
      <c r="G189" t="e">
        <v>#N/A</v>
      </c>
    </row>
    <row r="190" spans="1:7" ht="11.5" hidden="1" customHeight="1" x14ac:dyDescent="0.35">
      <c r="A190" s="29" t="s">
        <v>369</v>
      </c>
      <c r="B190" s="29" t="s">
        <v>370</v>
      </c>
      <c r="C190" s="16">
        <v>0</v>
      </c>
      <c r="D190" s="16">
        <v>0</v>
      </c>
      <c r="E190" s="29" t="s">
        <v>42</v>
      </c>
      <c r="F190" s="29" t="s">
        <v>43</v>
      </c>
      <c r="G190" t="e">
        <v>#N/A</v>
      </c>
    </row>
    <row r="191" spans="1:7" ht="11.5" hidden="1" customHeight="1" x14ac:dyDescent="0.35">
      <c r="A191" s="29" t="s">
        <v>371</v>
      </c>
      <c r="B191" s="29" t="s">
        <v>372</v>
      </c>
      <c r="C191" s="16">
        <v>0</v>
      </c>
      <c r="D191" s="16">
        <v>0</v>
      </c>
      <c r="E191" s="29" t="s">
        <v>42</v>
      </c>
      <c r="F191" s="29" t="s">
        <v>43</v>
      </c>
      <c r="G191" t="e">
        <v>#N/A</v>
      </c>
    </row>
    <row r="192" spans="1:7" ht="11.5" hidden="1" customHeight="1" x14ac:dyDescent="0.35">
      <c r="A192" s="29" t="s">
        <v>373</v>
      </c>
      <c r="B192" s="29" t="s">
        <v>374</v>
      </c>
      <c r="C192" s="16">
        <v>0</v>
      </c>
      <c r="D192" s="16">
        <v>0</v>
      </c>
      <c r="E192" s="29" t="s">
        <v>42</v>
      </c>
      <c r="F192" s="29" t="s">
        <v>43</v>
      </c>
      <c r="G192" t="e">
        <v>#N/A</v>
      </c>
    </row>
    <row r="193" spans="1:7" ht="11.5" hidden="1" customHeight="1" x14ac:dyDescent="0.35">
      <c r="A193" s="29" t="s">
        <v>375</v>
      </c>
      <c r="B193" s="29" t="s">
        <v>376</v>
      </c>
      <c r="C193" s="16">
        <v>0</v>
      </c>
      <c r="D193" s="16">
        <v>0</v>
      </c>
      <c r="E193" s="29" t="s">
        <v>42</v>
      </c>
      <c r="F193" s="29" t="s">
        <v>43</v>
      </c>
      <c r="G193" t="e">
        <v>#N/A</v>
      </c>
    </row>
    <row r="194" spans="1:7" ht="11.5" hidden="1" customHeight="1" x14ac:dyDescent="0.35">
      <c r="A194" s="29" t="s">
        <v>377</v>
      </c>
      <c r="B194" s="29" t="s">
        <v>378</v>
      </c>
      <c r="C194" s="16">
        <v>0</v>
      </c>
      <c r="D194" s="16">
        <v>0</v>
      </c>
      <c r="E194" s="29" t="s">
        <v>42</v>
      </c>
      <c r="F194" s="29" t="s">
        <v>43</v>
      </c>
      <c r="G194" t="e">
        <v>#N/A</v>
      </c>
    </row>
    <row r="195" spans="1:7" ht="11.5" hidden="1" customHeight="1" x14ac:dyDescent="0.35">
      <c r="A195" s="29" t="s">
        <v>379</v>
      </c>
      <c r="B195" s="29" t="s">
        <v>380</v>
      </c>
      <c r="C195" s="16">
        <v>0</v>
      </c>
      <c r="D195" s="16">
        <v>0</v>
      </c>
      <c r="E195" s="29" t="s">
        <v>42</v>
      </c>
      <c r="F195" s="29" t="s">
        <v>43</v>
      </c>
      <c r="G195" t="e">
        <v>#N/A</v>
      </c>
    </row>
    <row r="196" spans="1:7" ht="11.5" hidden="1" customHeight="1" x14ac:dyDescent="0.35">
      <c r="A196" s="29" t="s">
        <v>381</v>
      </c>
      <c r="B196" s="29" t="s">
        <v>382</v>
      </c>
      <c r="C196" s="16">
        <v>0</v>
      </c>
      <c r="D196" s="16">
        <v>0</v>
      </c>
      <c r="E196" s="29" t="s">
        <v>42</v>
      </c>
      <c r="F196" s="29" t="s">
        <v>43</v>
      </c>
      <c r="G196" t="e">
        <v>#N/A</v>
      </c>
    </row>
    <row r="197" spans="1:7" ht="11.5" hidden="1" customHeight="1" x14ac:dyDescent="0.35">
      <c r="A197" s="29" t="s">
        <v>383</v>
      </c>
      <c r="B197" s="29" t="s">
        <v>384</v>
      </c>
      <c r="C197" s="16">
        <v>0</v>
      </c>
      <c r="D197" s="16">
        <v>0</v>
      </c>
      <c r="E197" s="29" t="s">
        <v>42</v>
      </c>
      <c r="F197" s="29" t="s">
        <v>43</v>
      </c>
      <c r="G197" t="e">
        <v>#N/A</v>
      </c>
    </row>
    <row r="198" spans="1:7" ht="11.5" hidden="1" customHeight="1" x14ac:dyDescent="0.35">
      <c r="A198" s="29" t="s">
        <v>385</v>
      </c>
      <c r="B198" s="29" t="s">
        <v>386</v>
      </c>
      <c r="C198" s="16">
        <v>0</v>
      </c>
      <c r="D198" s="16">
        <v>0</v>
      </c>
      <c r="E198" s="29" t="s">
        <v>42</v>
      </c>
      <c r="F198" s="29" t="s">
        <v>43</v>
      </c>
      <c r="G198" t="e">
        <v>#N/A</v>
      </c>
    </row>
    <row r="199" spans="1:7" ht="11.5" hidden="1" customHeight="1" x14ac:dyDescent="0.35">
      <c r="A199" s="29" t="s">
        <v>387</v>
      </c>
      <c r="B199" s="29" t="s">
        <v>388</v>
      </c>
      <c r="C199" s="16">
        <v>0</v>
      </c>
      <c r="D199" s="16">
        <v>0</v>
      </c>
      <c r="E199" s="29" t="s">
        <v>42</v>
      </c>
      <c r="F199" s="29" t="s">
        <v>43</v>
      </c>
      <c r="G199" t="e">
        <v>#N/A</v>
      </c>
    </row>
    <row r="200" spans="1:7" ht="11.5" hidden="1" customHeight="1" x14ac:dyDescent="0.35">
      <c r="A200" s="29" t="s">
        <v>389</v>
      </c>
      <c r="B200" s="29" t="s">
        <v>390</v>
      </c>
      <c r="C200" s="16">
        <v>0</v>
      </c>
      <c r="D200" s="16">
        <v>0</v>
      </c>
      <c r="E200" s="29" t="s">
        <v>42</v>
      </c>
      <c r="F200" s="29" t="s">
        <v>43</v>
      </c>
      <c r="G200" t="e">
        <v>#N/A</v>
      </c>
    </row>
    <row r="201" spans="1:7" ht="11.5" hidden="1" customHeight="1" x14ac:dyDescent="0.35">
      <c r="A201" s="29" t="s">
        <v>391</v>
      </c>
      <c r="B201" s="29" t="s">
        <v>392</v>
      </c>
      <c r="C201" s="16">
        <v>0</v>
      </c>
      <c r="D201" s="16">
        <v>0</v>
      </c>
      <c r="E201" s="29" t="s">
        <v>42</v>
      </c>
      <c r="F201" s="29" t="s">
        <v>43</v>
      </c>
      <c r="G201" t="e">
        <v>#N/A</v>
      </c>
    </row>
    <row r="202" spans="1:7" ht="11.5" hidden="1" customHeight="1" x14ac:dyDescent="0.35">
      <c r="A202" s="29" t="s">
        <v>393</v>
      </c>
      <c r="B202" s="29" t="s">
        <v>394</v>
      </c>
      <c r="C202" s="16">
        <v>0</v>
      </c>
      <c r="D202" s="16">
        <v>0</v>
      </c>
      <c r="E202" s="29" t="s">
        <v>42</v>
      </c>
      <c r="F202" s="29" t="s">
        <v>43</v>
      </c>
      <c r="G202" t="e">
        <v>#N/A</v>
      </c>
    </row>
    <row r="203" spans="1:7" ht="11.5" hidden="1" customHeight="1" x14ac:dyDescent="0.35">
      <c r="A203" s="29" t="s">
        <v>395</v>
      </c>
      <c r="B203" s="29" t="s">
        <v>396</v>
      </c>
      <c r="C203" s="16">
        <v>0</v>
      </c>
      <c r="D203" s="16">
        <v>0</v>
      </c>
      <c r="E203" s="29" t="s">
        <v>42</v>
      </c>
      <c r="F203" s="29" t="s">
        <v>43</v>
      </c>
      <c r="G203" t="e">
        <v>#N/A</v>
      </c>
    </row>
    <row r="204" spans="1:7" ht="11.5" hidden="1" customHeight="1" x14ac:dyDescent="0.35">
      <c r="A204" s="29" t="s">
        <v>397</v>
      </c>
      <c r="B204" s="29" t="s">
        <v>398</v>
      </c>
      <c r="C204" s="16">
        <v>0</v>
      </c>
      <c r="D204" s="16">
        <v>0</v>
      </c>
      <c r="E204" s="29" t="s">
        <v>42</v>
      </c>
      <c r="F204" s="29" t="s">
        <v>43</v>
      </c>
      <c r="G204" t="e">
        <v>#N/A</v>
      </c>
    </row>
    <row r="205" spans="1:7" ht="11.5" hidden="1" customHeight="1" x14ac:dyDescent="0.35">
      <c r="A205" s="29" t="s">
        <v>399</v>
      </c>
      <c r="B205" s="29" t="s">
        <v>400</v>
      </c>
      <c r="C205" s="16">
        <v>0</v>
      </c>
      <c r="D205" s="16">
        <v>0</v>
      </c>
      <c r="E205" s="29" t="s">
        <v>42</v>
      </c>
      <c r="F205" s="29" t="s">
        <v>43</v>
      </c>
      <c r="G205" t="e">
        <v>#N/A</v>
      </c>
    </row>
    <row r="206" spans="1:7" ht="11.5" hidden="1" customHeight="1" x14ac:dyDescent="0.35">
      <c r="A206" s="29" t="s">
        <v>7</v>
      </c>
      <c r="B206" s="29" t="s">
        <v>401</v>
      </c>
      <c r="C206" s="16">
        <v>0</v>
      </c>
      <c r="D206" s="16">
        <v>0</v>
      </c>
      <c r="E206" s="29" t="s">
        <v>42</v>
      </c>
      <c r="F206" s="29" t="s">
        <v>43</v>
      </c>
      <c r="G206" t="e">
        <v>#N/A</v>
      </c>
    </row>
    <row r="207" spans="1:7" ht="11.5" hidden="1" customHeight="1" x14ac:dyDescent="0.35">
      <c r="A207" s="29" t="s">
        <v>402</v>
      </c>
      <c r="B207" s="29" t="s">
        <v>403</v>
      </c>
      <c r="C207" s="16">
        <v>0</v>
      </c>
      <c r="D207" s="16">
        <v>0</v>
      </c>
      <c r="E207" s="29" t="s">
        <v>42</v>
      </c>
      <c r="F207" s="29" t="s">
        <v>43</v>
      </c>
      <c r="G207" t="e">
        <v>#N/A</v>
      </c>
    </row>
    <row r="208" spans="1:7" ht="11.5" hidden="1" customHeight="1" x14ac:dyDescent="0.35">
      <c r="A208" s="29" t="s">
        <v>404</v>
      </c>
      <c r="B208" s="29" t="s">
        <v>405</v>
      </c>
      <c r="C208" s="16">
        <v>0</v>
      </c>
      <c r="D208" s="16">
        <v>0</v>
      </c>
      <c r="E208" s="29" t="s">
        <v>42</v>
      </c>
      <c r="F208" s="29" t="s">
        <v>43</v>
      </c>
      <c r="G208" t="e">
        <v>#N/A</v>
      </c>
    </row>
    <row r="209" spans="1:7" ht="11.5" hidden="1" customHeight="1" x14ac:dyDescent="0.35">
      <c r="A209" s="29" t="s">
        <v>406</v>
      </c>
      <c r="B209" s="29" t="s">
        <v>407</v>
      </c>
      <c r="C209" s="16">
        <v>0</v>
      </c>
      <c r="D209" s="16">
        <v>0</v>
      </c>
      <c r="E209" s="29" t="s">
        <v>42</v>
      </c>
      <c r="F209" s="29" t="s">
        <v>43</v>
      </c>
      <c r="G209" t="e">
        <v>#N/A</v>
      </c>
    </row>
    <row r="210" spans="1:7" ht="11.5" hidden="1" customHeight="1" x14ac:dyDescent="0.35">
      <c r="A210" s="29" t="s">
        <v>408</v>
      </c>
      <c r="B210" s="29" t="s">
        <v>409</v>
      </c>
      <c r="C210" s="16">
        <v>0</v>
      </c>
      <c r="D210" s="16">
        <v>0</v>
      </c>
      <c r="E210" s="29" t="s">
        <v>42</v>
      </c>
      <c r="F210" s="29" t="s">
        <v>43</v>
      </c>
      <c r="G210" t="e">
        <v>#N/A</v>
      </c>
    </row>
    <row r="211" spans="1:7" ht="11.5" hidden="1" customHeight="1" x14ac:dyDescent="0.35">
      <c r="A211" s="29" t="s">
        <v>410</v>
      </c>
      <c r="B211" s="29" t="s">
        <v>411</v>
      </c>
      <c r="C211" s="16">
        <v>0</v>
      </c>
      <c r="D211" s="16">
        <v>0</v>
      </c>
      <c r="E211" s="29" t="s">
        <v>42</v>
      </c>
      <c r="F211" s="29" t="s">
        <v>43</v>
      </c>
      <c r="G211" t="e">
        <v>#N/A</v>
      </c>
    </row>
    <row r="212" spans="1:7" ht="11.5" hidden="1" customHeight="1" x14ac:dyDescent="0.35">
      <c r="A212" s="29" t="s">
        <v>412</v>
      </c>
      <c r="B212" s="29" t="s">
        <v>413</v>
      </c>
      <c r="C212" s="16">
        <v>0</v>
      </c>
      <c r="D212" s="16">
        <v>0</v>
      </c>
      <c r="E212" s="29" t="s">
        <v>42</v>
      </c>
      <c r="F212" s="29" t="s">
        <v>43</v>
      </c>
      <c r="G212" t="e">
        <v>#N/A</v>
      </c>
    </row>
    <row r="213" spans="1:7" ht="11.5" hidden="1" customHeight="1" x14ac:dyDescent="0.35">
      <c r="A213" s="29" t="s">
        <v>414</v>
      </c>
      <c r="B213" s="29" t="s">
        <v>415</v>
      </c>
      <c r="C213" s="16">
        <v>0</v>
      </c>
      <c r="D213" s="16">
        <v>0</v>
      </c>
      <c r="E213" s="29" t="s">
        <v>42</v>
      </c>
      <c r="F213" s="29" t="s">
        <v>43</v>
      </c>
      <c r="G213" t="e">
        <v>#N/A</v>
      </c>
    </row>
    <row r="214" spans="1:7" ht="11.5" hidden="1" customHeight="1" x14ac:dyDescent="0.35">
      <c r="A214" s="29" t="s">
        <v>416</v>
      </c>
      <c r="B214" s="29" t="s">
        <v>417</v>
      </c>
      <c r="C214" s="16">
        <v>0</v>
      </c>
      <c r="D214" s="16">
        <v>0</v>
      </c>
      <c r="E214" s="29" t="s">
        <v>42</v>
      </c>
      <c r="F214" s="29" t="s">
        <v>43</v>
      </c>
      <c r="G214" t="e">
        <v>#N/A</v>
      </c>
    </row>
    <row r="215" spans="1:7" ht="11.5" hidden="1" customHeight="1" x14ac:dyDescent="0.35">
      <c r="A215" s="29" t="s">
        <v>418</v>
      </c>
      <c r="B215" s="29" t="s">
        <v>419</v>
      </c>
      <c r="C215" s="16">
        <v>0</v>
      </c>
      <c r="D215" s="16">
        <v>0</v>
      </c>
      <c r="E215" s="29" t="s">
        <v>42</v>
      </c>
      <c r="F215" s="29" t="s">
        <v>43</v>
      </c>
      <c r="G215" t="e">
        <v>#N/A</v>
      </c>
    </row>
    <row r="216" spans="1:7" ht="11.5" hidden="1" customHeight="1" x14ac:dyDescent="0.35">
      <c r="A216" s="29" t="s">
        <v>420</v>
      </c>
      <c r="B216" s="29" t="s">
        <v>421</v>
      </c>
      <c r="C216" s="16">
        <v>0</v>
      </c>
      <c r="D216" s="16">
        <v>0</v>
      </c>
      <c r="E216" s="29" t="s">
        <v>42</v>
      </c>
      <c r="F216" s="29" t="s">
        <v>43</v>
      </c>
      <c r="G216" t="e">
        <v>#N/A</v>
      </c>
    </row>
    <row r="217" spans="1:7" ht="11.5" hidden="1" customHeight="1" x14ac:dyDescent="0.35">
      <c r="A217" s="29" t="s">
        <v>422</v>
      </c>
      <c r="B217" s="29" t="s">
        <v>423</v>
      </c>
      <c r="C217" s="16">
        <v>0</v>
      </c>
      <c r="D217" s="16">
        <v>0</v>
      </c>
      <c r="E217" s="29" t="s">
        <v>42</v>
      </c>
      <c r="F217" s="29" t="s">
        <v>43</v>
      </c>
      <c r="G217" t="e">
        <v>#N/A</v>
      </c>
    </row>
    <row r="218" spans="1:7" ht="11.5" hidden="1" customHeight="1" x14ac:dyDescent="0.35">
      <c r="A218" s="29" t="s">
        <v>11</v>
      </c>
      <c r="B218" s="29" t="s">
        <v>424</v>
      </c>
      <c r="C218" s="16">
        <v>0</v>
      </c>
      <c r="D218" s="16">
        <v>0</v>
      </c>
      <c r="E218" s="29" t="s">
        <v>42</v>
      </c>
      <c r="F218" s="29" t="s">
        <v>43</v>
      </c>
      <c r="G218" t="e">
        <v>#N/A</v>
      </c>
    </row>
    <row r="219" spans="1:7" ht="11.5" hidden="1" customHeight="1" x14ac:dyDescent="0.35">
      <c r="A219" s="29" t="s">
        <v>425</v>
      </c>
      <c r="B219" s="29" t="s">
        <v>426</v>
      </c>
      <c r="C219" s="16">
        <v>0</v>
      </c>
      <c r="D219" s="16">
        <v>0</v>
      </c>
      <c r="E219" s="29" t="s">
        <v>42</v>
      </c>
      <c r="F219" s="29" t="s">
        <v>43</v>
      </c>
      <c r="G219" t="e">
        <v>#N/A</v>
      </c>
    </row>
    <row r="220" spans="1:7" ht="11.5" hidden="1" customHeight="1" x14ac:dyDescent="0.35">
      <c r="A220" s="29" t="s">
        <v>427</v>
      </c>
      <c r="B220" s="29" t="s">
        <v>428</v>
      </c>
      <c r="C220" s="16">
        <v>0</v>
      </c>
      <c r="D220" s="16">
        <v>0</v>
      </c>
      <c r="E220" s="29" t="s">
        <v>42</v>
      </c>
      <c r="F220" s="29" t="s">
        <v>43</v>
      </c>
      <c r="G220" t="e">
        <v>#N/A</v>
      </c>
    </row>
    <row r="221" spans="1:7" ht="11.5" hidden="1" customHeight="1" x14ac:dyDescent="0.35">
      <c r="A221" s="29" t="s">
        <v>429</v>
      </c>
      <c r="B221" s="29" t="s">
        <v>430</v>
      </c>
      <c r="C221" s="16">
        <v>0</v>
      </c>
      <c r="D221" s="16">
        <v>0</v>
      </c>
      <c r="E221" s="29" t="s">
        <v>42</v>
      </c>
      <c r="F221" s="29" t="s">
        <v>43</v>
      </c>
      <c r="G221" t="e">
        <v>#N/A</v>
      </c>
    </row>
    <row r="222" spans="1:7" ht="11.5" hidden="1" customHeight="1" x14ac:dyDescent="0.35">
      <c r="A222" s="29" t="s">
        <v>431</v>
      </c>
      <c r="B222" s="29" t="s">
        <v>432</v>
      </c>
      <c r="C222" s="16">
        <v>0</v>
      </c>
      <c r="D222" s="16">
        <v>0</v>
      </c>
      <c r="E222" s="29" t="s">
        <v>42</v>
      </c>
      <c r="F222" s="29" t="s">
        <v>43</v>
      </c>
      <c r="G222" t="e">
        <v>#N/A</v>
      </c>
    </row>
    <row r="223" spans="1:7" ht="11.5" hidden="1" customHeight="1" x14ac:dyDescent="0.35">
      <c r="A223" s="29" t="s">
        <v>433</v>
      </c>
      <c r="B223" s="29" t="s">
        <v>434</v>
      </c>
      <c r="C223" s="16">
        <v>0</v>
      </c>
      <c r="D223" s="16">
        <v>0</v>
      </c>
      <c r="E223" s="29" t="s">
        <v>42</v>
      </c>
      <c r="F223" s="29" t="s">
        <v>43</v>
      </c>
      <c r="G223" t="e">
        <v>#N/A</v>
      </c>
    </row>
    <row r="224" spans="1:7" ht="11.5" hidden="1" customHeight="1" x14ac:dyDescent="0.35">
      <c r="A224" s="29" t="s">
        <v>435</v>
      </c>
      <c r="B224" s="29" t="s">
        <v>436</v>
      </c>
      <c r="C224" s="16">
        <v>0</v>
      </c>
      <c r="D224" s="16">
        <v>0</v>
      </c>
      <c r="E224" s="29" t="s">
        <v>42</v>
      </c>
      <c r="F224" s="29" t="s">
        <v>43</v>
      </c>
      <c r="G224" t="e">
        <v>#N/A</v>
      </c>
    </row>
    <row r="225" spans="1:7" ht="11.5" hidden="1" customHeight="1" x14ac:dyDescent="0.35">
      <c r="A225" s="29" t="s">
        <v>437</v>
      </c>
      <c r="B225" s="29" t="s">
        <v>438</v>
      </c>
      <c r="C225" s="16">
        <v>0</v>
      </c>
      <c r="D225" s="16">
        <v>0</v>
      </c>
      <c r="E225" s="29" t="s">
        <v>42</v>
      </c>
      <c r="F225" s="29" t="s">
        <v>43</v>
      </c>
      <c r="G225" t="e">
        <v>#N/A</v>
      </c>
    </row>
    <row r="226" spans="1:7" ht="11.5" hidden="1" customHeight="1" x14ac:dyDescent="0.35">
      <c r="A226" s="29" t="s">
        <v>439</v>
      </c>
      <c r="B226" s="29" t="s">
        <v>440</v>
      </c>
      <c r="C226" s="16">
        <v>0</v>
      </c>
      <c r="D226" s="16">
        <v>0</v>
      </c>
      <c r="E226" s="29" t="s">
        <v>42</v>
      </c>
      <c r="F226" s="29" t="s">
        <v>43</v>
      </c>
      <c r="G226" t="e">
        <v>#N/A</v>
      </c>
    </row>
    <row r="227" spans="1:7" ht="11.5" hidden="1" customHeight="1" x14ac:dyDescent="0.35">
      <c r="A227" s="29" t="s">
        <v>441</v>
      </c>
      <c r="B227" s="29" t="s">
        <v>442</v>
      </c>
      <c r="C227" s="16">
        <v>0</v>
      </c>
      <c r="D227" s="16">
        <v>0</v>
      </c>
      <c r="E227" s="29" t="s">
        <v>42</v>
      </c>
      <c r="F227" s="29" t="s">
        <v>43</v>
      </c>
      <c r="G227" t="e">
        <v>#N/A</v>
      </c>
    </row>
    <row r="228" spans="1:7" ht="11.5" hidden="1" customHeight="1" x14ac:dyDescent="0.35">
      <c r="A228" s="29" t="s">
        <v>443</v>
      </c>
      <c r="B228" s="29" t="s">
        <v>444</v>
      </c>
      <c r="C228" s="16">
        <v>0</v>
      </c>
      <c r="D228" s="16">
        <v>0</v>
      </c>
      <c r="E228" s="29" t="s">
        <v>42</v>
      </c>
      <c r="F228" s="29" t="s">
        <v>43</v>
      </c>
      <c r="G228" t="e">
        <v>#N/A</v>
      </c>
    </row>
    <row r="229" spans="1:7" ht="11.5" hidden="1" customHeight="1" x14ac:dyDescent="0.35">
      <c r="A229" s="29" t="s">
        <v>445</v>
      </c>
      <c r="B229" s="29" t="s">
        <v>446</v>
      </c>
      <c r="C229" s="16">
        <v>0</v>
      </c>
      <c r="D229" s="16">
        <v>0</v>
      </c>
      <c r="E229" s="29" t="s">
        <v>42</v>
      </c>
      <c r="F229" s="29" t="s">
        <v>43</v>
      </c>
      <c r="G229" t="e">
        <v>#N/A</v>
      </c>
    </row>
    <row r="230" spans="1:7" ht="11.5" hidden="1" customHeight="1" x14ac:dyDescent="0.35">
      <c r="A230" s="29" t="s">
        <v>447</v>
      </c>
      <c r="B230" s="29" t="s">
        <v>448</v>
      </c>
      <c r="C230" s="16">
        <v>0</v>
      </c>
      <c r="D230" s="16">
        <v>0</v>
      </c>
      <c r="E230" s="29" t="s">
        <v>42</v>
      </c>
      <c r="F230" s="29" t="s">
        <v>43</v>
      </c>
      <c r="G230" t="e">
        <v>#N/A</v>
      </c>
    </row>
    <row r="231" spans="1:7" ht="11.5" hidden="1" customHeight="1" x14ac:dyDescent="0.35">
      <c r="A231" s="29" t="s">
        <v>449</v>
      </c>
      <c r="B231" s="29" t="s">
        <v>450</v>
      </c>
      <c r="C231" s="16">
        <v>0</v>
      </c>
      <c r="D231" s="16">
        <v>0</v>
      </c>
      <c r="E231" s="29" t="s">
        <v>42</v>
      </c>
      <c r="F231" s="29" t="s">
        <v>43</v>
      </c>
      <c r="G231" t="e">
        <v>#N/A</v>
      </c>
    </row>
    <row r="232" spans="1:7" ht="11.5" hidden="1" customHeight="1" x14ac:dyDescent="0.35">
      <c r="A232" s="29" t="s">
        <v>451</v>
      </c>
      <c r="B232" s="29" t="s">
        <v>452</v>
      </c>
      <c r="C232" s="16">
        <v>0</v>
      </c>
      <c r="D232" s="16">
        <v>0</v>
      </c>
      <c r="E232" s="29" t="s">
        <v>42</v>
      </c>
      <c r="F232" s="29" t="s">
        <v>43</v>
      </c>
      <c r="G232" t="e">
        <v>#N/A</v>
      </c>
    </row>
    <row r="233" spans="1:7" ht="11.5" hidden="1" customHeight="1" x14ac:dyDescent="0.35">
      <c r="A233" s="29" t="s">
        <v>453</v>
      </c>
      <c r="B233" s="29" t="s">
        <v>454</v>
      </c>
      <c r="C233" s="16">
        <v>0</v>
      </c>
      <c r="D233" s="16">
        <v>0</v>
      </c>
      <c r="E233" s="29" t="s">
        <v>42</v>
      </c>
      <c r="F233" s="29" t="s">
        <v>43</v>
      </c>
      <c r="G233" t="e">
        <v>#N/A</v>
      </c>
    </row>
    <row r="234" spans="1:7" ht="11.5" hidden="1" customHeight="1" x14ac:dyDescent="0.35">
      <c r="A234" s="29" t="s">
        <v>455</v>
      </c>
      <c r="B234" s="29" t="s">
        <v>456</v>
      </c>
      <c r="C234" s="16">
        <v>0</v>
      </c>
      <c r="D234" s="16">
        <v>0</v>
      </c>
      <c r="E234" s="29" t="s">
        <v>42</v>
      </c>
      <c r="F234" s="29" t="s">
        <v>43</v>
      </c>
      <c r="G234" t="e">
        <v>#N/A</v>
      </c>
    </row>
    <row r="235" spans="1:7" ht="11.5" hidden="1" customHeight="1" x14ac:dyDescent="0.35">
      <c r="A235" s="29" t="s">
        <v>457</v>
      </c>
      <c r="B235" s="29" t="s">
        <v>458</v>
      </c>
      <c r="C235" s="16">
        <v>0</v>
      </c>
      <c r="D235" s="16">
        <v>0</v>
      </c>
      <c r="E235" s="29" t="s">
        <v>42</v>
      </c>
      <c r="F235" s="29" t="s">
        <v>43</v>
      </c>
      <c r="G235" t="e">
        <v>#N/A</v>
      </c>
    </row>
    <row r="236" spans="1:7" ht="11.5" hidden="1" customHeight="1" x14ac:dyDescent="0.35">
      <c r="A236" s="29" t="s">
        <v>459</v>
      </c>
      <c r="B236" s="29" t="s">
        <v>460</v>
      </c>
      <c r="C236" s="16">
        <v>0</v>
      </c>
      <c r="D236" s="16">
        <v>0</v>
      </c>
      <c r="E236" s="29" t="s">
        <v>42</v>
      </c>
      <c r="F236" s="29" t="s">
        <v>43</v>
      </c>
      <c r="G236" t="e">
        <v>#N/A</v>
      </c>
    </row>
    <row r="237" spans="1:7" ht="11.5" hidden="1" customHeight="1" x14ac:dyDescent="0.35">
      <c r="A237" s="29" t="s">
        <v>461</v>
      </c>
      <c r="B237" s="29" t="s">
        <v>462</v>
      </c>
      <c r="C237" s="16">
        <v>0</v>
      </c>
      <c r="D237" s="16">
        <v>0</v>
      </c>
      <c r="E237" s="29" t="s">
        <v>42</v>
      </c>
      <c r="F237" s="29" t="s">
        <v>43</v>
      </c>
      <c r="G237" t="e">
        <v>#N/A</v>
      </c>
    </row>
    <row r="238" spans="1:7" ht="11.5" hidden="1" customHeight="1" x14ac:dyDescent="0.35">
      <c r="A238" s="29" t="s">
        <v>463</v>
      </c>
      <c r="B238" s="29" t="s">
        <v>464</v>
      </c>
      <c r="C238" s="16">
        <v>0</v>
      </c>
      <c r="D238" s="16">
        <v>0</v>
      </c>
      <c r="E238" s="29" t="s">
        <v>42</v>
      </c>
      <c r="F238" s="29" t="s">
        <v>43</v>
      </c>
      <c r="G238" t="e">
        <v>#N/A</v>
      </c>
    </row>
    <row r="239" spans="1:7" ht="11.5" hidden="1" customHeight="1" x14ac:dyDescent="0.35">
      <c r="A239" s="29" t="s">
        <v>465</v>
      </c>
      <c r="B239" s="29" t="s">
        <v>466</v>
      </c>
      <c r="C239" s="16">
        <v>0</v>
      </c>
      <c r="D239" s="16">
        <v>0</v>
      </c>
      <c r="E239" s="29" t="s">
        <v>42</v>
      </c>
      <c r="F239" s="29" t="s">
        <v>43</v>
      </c>
      <c r="G239" t="e">
        <v>#N/A</v>
      </c>
    </row>
    <row r="240" spans="1:7" ht="11.5" hidden="1" customHeight="1" x14ac:dyDescent="0.35">
      <c r="A240" s="29" t="s">
        <v>467</v>
      </c>
      <c r="B240" s="29" t="s">
        <v>468</v>
      </c>
      <c r="C240" s="16">
        <v>0</v>
      </c>
      <c r="D240" s="16">
        <v>0</v>
      </c>
      <c r="E240" s="29" t="s">
        <v>42</v>
      </c>
      <c r="F240" s="29" t="s">
        <v>43</v>
      </c>
      <c r="G240" t="e">
        <v>#N/A</v>
      </c>
    </row>
    <row r="241" spans="1:7" ht="11.5" hidden="1" customHeight="1" x14ac:dyDescent="0.35">
      <c r="A241" s="29" t="s">
        <v>469</v>
      </c>
      <c r="B241" s="29" t="s">
        <v>2245</v>
      </c>
      <c r="C241" s="16">
        <v>0</v>
      </c>
      <c r="D241" s="16">
        <v>0</v>
      </c>
      <c r="E241" s="29" t="s">
        <v>42</v>
      </c>
      <c r="F241" s="29" t="s">
        <v>43</v>
      </c>
      <c r="G241" t="e">
        <v>#N/A</v>
      </c>
    </row>
    <row r="242" spans="1:7" ht="11.5" hidden="1" customHeight="1" x14ac:dyDescent="0.35">
      <c r="A242" s="29" t="s">
        <v>470</v>
      </c>
      <c r="B242" s="29" t="s">
        <v>2246</v>
      </c>
      <c r="C242" s="16">
        <v>0</v>
      </c>
      <c r="D242" s="16">
        <v>0</v>
      </c>
      <c r="E242" s="29" t="s">
        <v>42</v>
      </c>
      <c r="F242" s="29" t="s">
        <v>43</v>
      </c>
      <c r="G242" t="e">
        <v>#N/A</v>
      </c>
    </row>
    <row r="243" spans="1:7" ht="11.5" hidden="1" customHeight="1" x14ac:dyDescent="0.35">
      <c r="A243" s="29" t="s">
        <v>471</v>
      </c>
      <c r="B243" s="29" t="s">
        <v>2247</v>
      </c>
      <c r="C243" s="16">
        <v>0</v>
      </c>
      <c r="D243" s="16">
        <v>0</v>
      </c>
      <c r="E243" s="29" t="s">
        <v>42</v>
      </c>
      <c r="F243" s="29" t="s">
        <v>43</v>
      </c>
      <c r="G243" t="e">
        <v>#N/A</v>
      </c>
    </row>
    <row r="244" spans="1:7" ht="11.5" hidden="1" customHeight="1" x14ac:dyDescent="0.35">
      <c r="A244" s="29" t="s">
        <v>472</v>
      </c>
      <c r="B244" s="29" t="s">
        <v>2248</v>
      </c>
      <c r="C244" s="16">
        <v>0</v>
      </c>
      <c r="D244" s="16">
        <v>0</v>
      </c>
      <c r="E244" s="29" t="s">
        <v>42</v>
      </c>
      <c r="F244" s="29" t="s">
        <v>43</v>
      </c>
      <c r="G244" t="e">
        <v>#N/A</v>
      </c>
    </row>
    <row r="245" spans="1:7" ht="11.5" hidden="1" customHeight="1" x14ac:dyDescent="0.35">
      <c r="A245" s="29" t="s">
        <v>473</v>
      </c>
      <c r="B245" s="29" t="s">
        <v>2249</v>
      </c>
      <c r="C245" s="16">
        <v>0</v>
      </c>
      <c r="D245" s="16">
        <v>0</v>
      </c>
      <c r="E245" s="29" t="s">
        <v>42</v>
      </c>
      <c r="F245" s="29" t="s">
        <v>43</v>
      </c>
      <c r="G245" t="e">
        <v>#N/A</v>
      </c>
    </row>
    <row r="246" spans="1:7" ht="11.5" hidden="1" customHeight="1" x14ac:dyDescent="0.35">
      <c r="A246" s="29" t="s">
        <v>474</v>
      </c>
      <c r="B246" s="29" t="s">
        <v>2250</v>
      </c>
      <c r="C246" s="16">
        <v>0</v>
      </c>
      <c r="D246" s="16">
        <v>0</v>
      </c>
      <c r="E246" s="29" t="s">
        <v>42</v>
      </c>
      <c r="F246" s="29" t="s">
        <v>43</v>
      </c>
      <c r="G246" t="e">
        <v>#N/A</v>
      </c>
    </row>
    <row r="247" spans="1:7" ht="11.5" hidden="1" customHeight="1" x14ac:dyDescent="0.35">
      <c r="A247" s="29" t="s">
        <v>475</v>
      </c>
      <c r="B247" s="29" t="s">
        <v>2251</v>
      </c>
      <c r="C247" s="16">
        <v>0</v>
      </c>
      <c r="D247" s="16">
        <v>0</v>
      </c>
      <c r="E247" s="29" t="s">
        <v>42</v>
      </c>
      <c r="F247" s="29" t="s">
        <v>43</v>
      </c>
      <c r="G247" t="e">
        <v>#N/A</v>
      </c>
    </row>
    <row r="248" spans="1:7" ht="11.5" hidden="1" customHeight="1" x14ac:dyDescent="0.35">
      <c r="A248" s="29" t="s">
        <v>476</v>
      </c>
      <c r="B248" s="29" t="s">
        <v>2252</v>
      </c>
      <c r="C248" s="16">
        <v>0</v>
      </c>
      <c r="D248" s="16">
        <v>0</v>
      </c>
      <c r="E248" s="29" t="s">
        <v>42</v>
      </c>
      <c r="F248" s="29" t="s">
        <v>43</v>
      </c>
      <c r="G248" t="e">
        <v>#N/A</v>
      </c>
    </row>
    <row r="249" spans="1:7" ht="11.5" hidden="1" customHeight="1" x14ac:dyDescent="0.35">
      <c r="A249" s="29" t="s">
        <v>477</v>
      </c>
      <c r="B249" s="29" t="s">
        <v>2253</v>
      </c>
      <c r="C249" s="16">
        <v>0</v>
      </c>
      <c r="D249" s="16">
        <v>0</v>
      </c>
      <c r="E249" s="29" t="s">
        <v>42</v>
      </c>
      <c r="F249" s="29" t="s">
        <v>43</v>
      </c>
      <c r="G249" t="e">
        <v>#N/A</v>
      </c>
    </row>
    <row r="250" spans="1:7" ht="11.5" hidden="1" customHeight="1" x14ac:dyDescent="0.35">
      <c r="A250" s="29" t="s">
        <v>478</v>
      </c>
      <c r="B250" s="29" t="s">
        <v>2254</v>
      </c>
      <c r="C250" s="16">
        <v>0</v>
      </c>
      <c r="D250" s="16">
        <v>0</v>
      </c>
      <c r="E250" s="29" t="s">
        <v>42</v>
      </c>
      <c r="F250" s="29" t="s">
        <v>43</v>
      </c>
      <c r="G250" t="e">
        <v>#N/A</v>
      </c>
    </row>
    <row r="251" spans="1:7" ht="11.5" hidden="1" customHeight="1" x14ac:dyDescent="0.35">
      <c r="A251" s="29" t="s">
        <v>479</v>
      </c>
      <c r="B251" s="29" t="s">
        <v>2255</v>
      </c>
      <c r="C251" s="16">
        <v>0</v>
      </c>
      <c r="D251" s="16">
        <v>0</v>
      </c>
      <c r="E251" s="29" t="s">
        <v>42</v>
      </c>
      <c r="F251" s="29" t="s">
        <v>43</v>
      </c>
      <c r="G251" t="e">
        <v>#N/A</v>
      </c>
    </row>
    <row r="252" spans="1:7" ht="11.5" hidden="1" customHeight="1" x14ac:dyDescent="0.35">
      <c r="A252" s="29" t="s">
        <v>480</v>
      </c>
      <c r="B252" s="29" t="s">
        <v>2256</v>
      </c>
      <c r="C252" s="16">
        <v>0</v>
      </c>
      <c r="D252" s="16">
        <v>0</v>
      </c>
      <c r="E252" s="29" t="s">
        <v>42</v>
      </c>
      <c r="F252" s="29" t="s">
        <v>43</v>
      </c>
      <c r="G252" t="e">
        <v>#N/A</v>
      </c>
    </row>
    <row r="253" spans="1:7" ht="11.5" hidden="1" customHeight="1" x14ac:dyDescent="0.35">
      <c r="A253" s="29" t="s">
        <v>481</v>
      </c>
      <c r="B253" s="29" t="s">
        <v>2257</v>
      </c>
      <c r="C253" s="16">
        <v>0</v>
      </c>
      <c r="D253" s="16">
        <v>0</v>
      </c>
      <c r="E253" s="29" t="s">
        <v>42</v>
      </c>
      <c r="F253" s="29" t="s">
        <v>43</v>
      </c>
      <c r="G253" t="e">
        <v>#N/A</v>
      </c>
    </row>
    <row r="254" spans="1:7" ht="11.5" hidden="1" customHeight="1" x14ac:dyDescent="0.35">
      <c r="A254" s="29" t="s">
        <v>482</v>
      </c>
      <c r="B254" s="29" t="s">
        <v>2258</v>
      </c>
      <c r="C254" s="16">
        <v>0</v>
      </c>
      <c r="D254" s="16">
        <v>0</v>
      </c>
      <c r="E254" s="29" t="s">
        <v>42</v>
      </c>
      <c r="F254" s="29" t="s">
        <v>43</v>
      </c>
      <c r="G254" t="e">
        <v>#N/A</v>
      </c>
    </row>
    <row r="255" spans="1:7" ht="11.5" hidden="1" customHeight="1" x14ac:dyDescent="0.35">
      <c r="A255" s="29" t="s">
        <v>483</v>
      </c>
      <c r="B255" s="29" t="s">
        <v>2259</v>
      </c>
      <c r="C255" s="16">
        <v>0</v>
      </c>
      <c r="D255" s="16">
        <v>0</v>
      </c>
      <c r="E255" s="29" t="s">
        <v>42</v>
      </c>
      <c r="F255" s="29" t="s">
        <v>43</v>
      </c>
      <c r="G255" t="e">
        <v>#N/A</v>
      </c>
    </row>
    <row r="256" spans="1:7" ht="11.5" hidden="1" customHeight="1" x14ac:dyDescent="0.35">
      <c r="A256" s="29" t="s">
        <v>484</v>
      </c>
      <c r="B256" s="29" t="s">
        <v>2260</v>
      </c>
      <c r="C256" s="16">
        <v>0</v>
      </c>
      <c r="D256" s="16">
        <v>0</v>
      </c>
      <c r="E256" s="29" t="s">
        <v>42</v>
      </c>
      <c r="F256" s="29" t="s">
        <v>43</v>
      </c>
      <c r="G256" t="e">
        <v>#N/A</v>
      </c>
    </row>
    <row r="257" spans="1:7" ht="11.5" hidden="1" customHeight="1" x14ac:dyDescent="0.35">
      <c r="A257" s="29" t="s">
        <v>485</v>
      </c>
      <c r="B257" s="29" t="s">
        <v>2261</v>
      </c>
      <c r="C257" s="16">
        <v>0</v>
      </c>
      <c r="D257" s="16">
        <v>0</v>
      </c>
      <c r="E257" s="29" t="s">
        <v>42</v>
      </c>
      <c r="F257" s="29" t="s">
        <v>43</v>
      </c>
      <c r="G257" t="e">
        <v>#N/A</v>
      </c>
    </row>
    <row r="258" spans="1:7" ht="11.5" hidden="1" customHeight="1" x14ac:dyDescent="0.35">
      <c r="A258" s="29" t="s">
        <v>486</v>
      </c>
      <c r="B258" s="29" t="s">
        <v>2262</v>
      </c>
      <c r="C258" s="16">
        <v>0</v>
      </c>
      <c r="D258" s="16">
        <v>0</v>
      </c>
      <c r="E258" s="29" t="s">
        <v>42</v>
      </c>
      <c r="F258" s="29" t="s">
        <v>43</v>
      </c>
      <c r="G258" t="e">
        <v>#N/A</v>
      </c>
    </row>
    <row r="259" spans="1:7" ht="11.5" hidden="1" customHeight="1" x14ac:dyDescent="0.35">
      <c r="A259" s="29" t="s">
        <v>487</v>
      </c>
      <c r="B259" s="29" t="s">
        <v>2263</v>
      </c>
      <c r="C259" s="16">
        <v>0</v>
      </c>
      <c r="D259" s="16">
        <v>0</v>
      </c>
      <c r="E259" s="29" t="s">
        <v>42</v>
      </c>
      <c r="F259" s="29" t="s">
        <v>43</v>
      </c>
      <c r="G259" t="e">
        <v>#N/A</v>
      </c>
    </row>
    <row r="260" spans="1:7" ht="11.5" hidden="1" customHeight="1" x14ac:dyDescent="0.35">
      <c r="A260" s="29" t="s">
        <v>488</v>
      </c>
      <c r="B260" s="29" t="s">
        <v>2264</v>
      </c>
      <c r="C260" s="16">
        <v>0</v>
      </c>
      <c r="D260" s="16">
        <v>0</v>
      </c>
      <c r="E260" s="29" t="s">
        <v>42</v>
      </c>
      <c r="F260" s="29" t="s">
        <v>43</v>
      </c>
      <c r="G260" t="e">
        <v>#N/A</v>
      </c>
    </row>
    <row r="261" spans="1:7" ht="11.5" hidden="1" customHeight="1" x14ac:dyDescent="0.35">
      <c r="A261" s="29" t="s">
        <v>489</v>
      </c>
      <c r="B261" s="29" t="s">
        <v>2265</v>
      </c>
      <c r="C261" s="16">
        <v>0</v>
      </c>
      <c r="D261" s="16">
        <v>0</v>
      </c>
      <c r="E261" s="29" t="s">
        <v>42</v>
      </c>
      <c r="F261" s="29" t="s">
        <v>43</v>
      </c>
      <c r="G261" t="e">
        <v>#N/A</v>
      </c>
    </row>
    <row r="262" spans="1:7" ht="11.5" hidden="1" customHeight="1" x14ac:dyDescent="0.35">
      <c r="A262" s="29" t="s">
        <v>490</v>
      </c>
      <c r="B262" s="29" t="s">
        <v>2266</v>
      </c>
      <c r="C262" s="16">
        <v>0</v>
      </c>
      <c r="D262" s="16">
        <v>0</v>
      </c>
      <c r="E262" s="29" t="s">
        <v>42</v>
      </c>
      <c r="F262" s="29" t="s">
        <v>43</v>
      </c>
      <c r="G262" t="e">
        <v>#N/A</v>
      </c>
    </row>
    <row r="263" spans="1:7" ht="11.5" hidden="1" customHeight="1" x14ac:dyDescent="0.35">
      <c r="A263" s="29" t="s">
        <v>491</v>
      </c>
      <c r="B263" s="29" t="s">
        <v>2267</v>
      </c>
      <c r="C263" s="16">
        <v>0</v>
      </c>
      <c r="D263" s="16">
        <v>0</v>
      </c>
      <c r="E263" s="29" t="s">
        <v>42</v>
      </c>
      <c r="F263" s="29" t="s">
        <v>43</v>
      </c>
      <c r="G263" t="e">
        <v>#N/A</v>
      </c>
    </row>
    <row r="264" spans="1:7" ht="11.5" hidden="1" customHeight="1" x14ac:dyDescent="0.35">
      <c r="A264" s="29" t="s">
        <v>492</v>
      </c>
      <c r="B264" s="29" t="s">
        <v>2268</v>
      </c>
      <c r="C264" s="16">
        <v>0</v>
      </c>
      <c r="D264" s="16">
        <v>0</v>
      </c>
      <c r="E264" s="29" t="s">
        <v>42</v>
      </c>
      <c r="F264" s="29" t="s">
        <v>43</v>
      </c>
      <c r="G264" t="e">
        <v>#N/A</v>
      </c>
    </row>
    <row r="265" spans="1:7" ht="11.5" hidden="1" customHeight="1" x14ac:dyDescent="0.35">
      <c r="A265" s="29" t="s">
        <v>493</v>
      </c>
      <c r="B265" s="29" t="s">
        <v>2269</v>
      </c>
      <c r="C265" s="16">
        <v>0</v>
      </c>
      <c r="D265" s="16">
        <v>0</v>
      </c>
      <c r="E265" s="29" t="s">
        <v>42</v>
      </c>
      <c r="F265" s="29" t="s">
        <v>43</v>
      </c>
      <c r="G265" t="e">
        <v>#N/A</v>
      </c>
    </row>
    <row r="266" spans="1:7" ht="11.5" hidden="1" customHeight="1" x14ac:dyDescent="0.35">
      <c r="A266" s="29" t="s">
        <v>494</v>
      </c>
      <c r="B266" s="29" t="s">
        <v>2270</v>
      </c>
      <c r="C266" s="16">
        <v>0</v>
      </c>
      <c r="D266" s="16">
        <v>0</v>
      </c>
      <c r="E266" s="29" t="s">
        <v>42</v>
      </c>
      <c r="F266" s="29" t="s">
        <v>43</v>
      </c>
      <c r="G266" t="e">
        <v>#N/A</v>
      </c>
    </row>
    <row r="267" spans="1:7" ht="11.5" hidden="1" customHeight="1" x14ac:dyDescent="0.35">
      <c r="A267" s="29" t="s">
        <v>495</v>
      </c>
      <c r="B267" s="29" t="s">
        <v>2271</v>
      </c>
      <c r="C267" s="16">
        <v>0</v>
      </c>
      <c r="D267" s="16">
        <v>0</v>
      </c>
      <c r="E267" s="29" t="s">
        <v>42</v>
      </c>
      <c r="F267" s="29" t="s">
        <v>43</v>
      </c>
      <c r="G267" t="e">
        <v>#N/A</v>
      </c>
    </row>
    <row r="268" spans="1:7" ht="11.5" hidden="1" customHeight="1" x14ac:dyDescent="0.35">
      <c r="A268" s="29" t="s">
        <v>496</v>
      </c>
      <c r="B268" s="29" t="s">
        <v>2272</v>
      </c>
      <c r="C268" s="16">
        <v>0</v>
      </c>
      <c r="D268" s="16">
        <v>0</v>
      </c>
      <c r="E268" s="29" t="s">
        <v>42</v>
      </c>
      <c r="F268" s="29" t="s">
        <v>43</v>
      </c>
      <c r="G268" t="e">
        <v>#N/A</v>
      </c>
    </row>
    <row r="269" spans="1:7" ht="11.5" hidden="1" customHeight="1" x14ac:dyDescent="0.35">
      <c r="A269" s="29" t="s">
        <v>497</v>
      </c>
      <c r="B269" s="29" t="s">
        <v>2273</v>
      </c>
      <c r="C269" s="16">
        <v>0</v>
      </c>
      <c r="D269" s="16">
        <v>0</v>
      </c>
      <c r="E269" s="29" t="s">
        <v>42</v>
      </c>
      <c r="F269" s="29" t="s">
        <v>43</v>
      </c>
      <c r="G269" t="e">
        <v>#N/A</v>
      </c>
    </row>
    <row r="270" spans="1:7" ht="11.5" hidden="1" customHeight="1" x14ac:dyDescent="0.35">
      <c r="A270" s="29" t="s">
        <v>498</v>
      </c>
      <c r="B270" s="29" t="s">
        <v>2274</v>
      </c>
      <c r="C270" s="16">
        <v>0</v>
      </c>
      <c r="D270" s="16">
        <v>0</v>
      </c>
      <c r="E270" s="29" t="s">
        <v>42</v>
      </c>
      <c r="F270" s="29" t="s">
        <v>43</v>
      </c>
      <c r="G270" t="e">
        <v>#N/A</v>
      </c>
    </row>
    <row r="271" spans="1:7" ht="11.5" hidden="1" customHeight="1" x14ac:dyDescent="0.35">
      <c r="A271" s="29" t="s">
        <v>499</v>
      </c>
      <c r="B271" s="29" t="s">
        <v>2275</v>
      </c>
      <c r="C271" s="16">
        <v>0</v>
      </c>
      <c r="D271" s="16">
        <v>0</v>
      </c>
      <c r="E271" s="29" t="s">
        <v>42</v>
      </c>
      <c r="F271" s="29" t="s">
        <v>43</v>
      </c>
      <c r="G271" t="e">
        <v>#N/A</v>
      </c>
    </row>
    <row r="272" spans="1:7" ht="11.5" hidden="1" customHeight="1" x14ac:dyDescent="0.35">
      <c r="A272" s="29" t="s">
        <v>500</v>
      </c>
      <c r="B272" s="29" t="s">
        <v>2276</v>
      </c>
      <c r="C272" s="16">
        <v>0</v>
      </c>
      <c r="D272" s="16">
        <v>0</v>
      </c>
      <c r="E272" s="29" t="s">
        <v>42</v>
      </c>
      <c r="F272" s="29" t="s">
        <v>43</v>
      </c>
      <c r="G272" t="e">
        <v>#N/A</v>
      </c>
    </row>
    <row r="273" spans="1:7" ht="11.5" hidden="1" customHeight="1" x14ac:dyDescent="0.35">
      <c r="A273" s="29" t="s">
        <v>501</v>
      </c>
      <c r="B273" s="29" t="s">
        <v>2277</v>
      </c>
      <c r="C273" s="16">
        <v>0</v>
      </c>
      <c r="D273" s="16">
        <v>0</v>
      </c>
      <c r="E273" s="29" t="s">
        <v>42</v>
      </c>
      <c r="F273" s="29" t="s">
        <v>43</v>
      </c>
      <c r="G273" t="e">
        <v>#N/A</v>
      </c>
    </row>
    <row r="274" spans="1:7" ht="11.5" hidden="1" customHeight="1" x14ac:dyDescent="0.35">
      <c r="A274" s="29" t="s">
        <v>502</v>
      </c>
      <c r="B274" s="29" t="s">
        <v>2278</v>
      </c>
      <c r="C274" s="16">
        <v>0</v>
      </c>
      <c r="D274" s="16">
        <v>0</v>
      </c>
      <c r="E274" s="29" t="s">
        <v>42</v>
      </c>
      <c r="F274" s="29" t="s">
        <v>43</v>
      </c>
      <c r="G274" t="e">
        <v>#N/A</v>
      </c>
    </row>
    <row r="275" spans="1:7" ht="11.5" hidden="1" customHeight="1" x14ac:dyDescent="0.35">
      <c r="A275" s="29" t="s">
        <v>503</v>
      </c>
      <c r="B275" s="29" t="s">
        <v>2279</v>
      </c>
      <c r="C275" s="16">
        <v>0</v>
      </c>
      <c r="D275" s="16">
        <v>0</v>
      </c>
      <c r="E275" s="29" t="s">
        <v>42</v>
      </c>
      <c r="F275" s="29" t="s">
        <v>43</v>
      </c>
      <c r="G275" t="e">
        <v>#N/A</v>
      </c>
    </row>
    <row r="276" spans="1:7" ht="11.5" hidden="1" customHeight="1" x14ac:dyDescent="0.35">
      <c r="A276" s="29" t="s">
        <v>504</v>
      </c>
      <c r="B276" s="29" t="s">
        <v>2280</v>
      </c>
      <c r="C276" s="16">
        <v>0</v>
      </c>
      <c r="D276" s="16">
        <v>0</v>
      </c>
      <c r="E276" s="29" t="s">
        <v>42</v>
      </c>
      <c r="F276" s="29" t="s">
        <v>43</v>
      </c>
      <c r="G276" t="e">
        <v>#N/A</v>
      </c>
    </row>
    <row r="277" spans="1:7" ht="11.5" hidden="1" customHeight="1" x14ac:dyDescent="0.35">
      <c r="A277" s="29" t="s">
        <v>505</v>
      </c>
      <c r="B277" s="29" t="s">
        <v>2281</v>
      </c>
      <c r="C277" s="16">
        <v>0</v>
      </c>
      <c r="D277" s="16">
        <v>0</v>
      </c>
      <c r="E277" s="29" t="s">
        <v>42</v>
      </c>
      <c r="F277" s="29" t="s">
        <v>43</v>
      </c>
      <c r="G277" t="e">
        <v>#N/A</v>
      </c>
    </row>
    <row r="278" spans="1:7" ht="11.5" hidden="1" customHeight="1" x14ac:dyDescent="0.35">
      <c r="A278" s="29" t="s">
        <v>506</v>
      </c>
      <c r="B278" s="29" t="s">
        <v>2282</v>
      </c>
      <c r="C278" s="16">
        <v>0</v>
      </c>
      <c r="D278" s="16">
        <v>0</v>
      </c>
      <c r="E278" s="29" t="s">
        <v>42</v>
      </c>
      <c r="F278" s="29" t="s">
        <v>43</v>
      </c>
      <c r="G278" t="e">
        <v>#N/A</v>
      </c>
    </row>
    <row r="279" spans="1:7" ht="11.5" hidden="1" customHeight="1" x14ac:dyDescent="0.35">
      <c r="A279" s="29" t="s">
        <v>507</v>
      </c>
      <c r="B279" s="29" t="s">
        <v>2283</v>
      </c>
      <c r="C279" s="16">
        <v>0</v>
      </c>
      <c r="D279" s="16">
        <v>0</v>
      </c>
      <c r="E279" s="29" t="s">
        <v>42</v>
      </c>
      <c r="F279" s="29" t="s">
        <v>43</v>
      </c>
      <c r="G279" t="e">
        <v>#N/A</v>
      </c>
    </row>
    <row r="280" spans="1:7" ht="11.5" hidden="1" customHeight="1" x14ac:dyDescent="0.35">
      <c r="A280" s="29" t="s">
        <v>508</v>
      </c>
      <c r="B280" s="29" t="s">
        <v>2284</v>
      </c>
      <c r="C280" s="16">
        <v>0</v>
      </c>
      <c r="D280" s="16">
        <v>0</v>
      </c>
      <c r="E280" s="29" t="s">
        <v>42</v>
      </c>
      <c r="F280" s="29" t="s">
        <v>43</v>
      </c>
      <c r="G280" t="e">
        <v>#N/A</v>
      </c>
    </row>
    <row r="281" spans="1:7" ht="11.5" hidden="1" customHeight="1" x14ac:dyDescent="0.35">
      <c r="A281" s="29" t="s">
        <v>509</v>
      </c>
      <c r="B281" s="29" t="s">
        <v>2285</v>
      </c>
      <c r="C281" s="16">
        <v>0</v>
      </c>
      <c r="D281" s="16">
        <v>0</v>
      </c>
      <c r="E281" s="29" t="s">
        <v>42</v>
      </c>
      <c r="F281" s="29" t="s">
        <v>43</v>
      </c>
      <c r="G281" t="e">
        <v>#N/A</v>
      </c>
    </row>
    <row r="282" spans="1:7" ht="11.5" hidden="1" customHeight="1" x14ac:dyDescent="0.35">
      <c r="A282" s="29" t="s">
        <v>510</v>
      </c>
      <c r="B282" s="29" t="s">
        <v>2286</v>
      </c>
      <c r="C282" s="16">
        <v>0</v>
      </c>
      <c r="D282" s="16">
        <v>0</v>
      </c>
      <c r="E282" s="29" t="s">
        <v>42</v>
      </c>
      <c r="F282" s="29" t="s">
        <v>43</v>
      </c>
      <c r="G282" t="e">
        <v>#N/A</v>
      </c>
    </row>
    <row r="283" spans="1:7" ht="11.5" hidden="1" customHeight="1" x14ac:dyDescent="0.35">
      <c r="A283" s="29" t="s">
        <v>511</v>
      </c>
      <c r="B283" s="29" t="s">
        <v>2287</v>
      </c>
      <c r="C283" s="16">
        <v>0</v>
      </c>
      <c r="D283" s="16">
        <v>0</v>
      </c>
      <c r="E283" s="29" t="s">
        <v>42</v>
      </c>
      <c r="F283" s="29" t="s">
        <v>43</v>
      </c>
      <c r="G283" t="e">
        <v>#N/A</v>
      </c>
    </row>
    <row r="284" spans="1:7" ht="11.5" hidden="1" customHeight="1" x14ac:dyDescent="0.35">
      <c r="A284" s="29" t="s">
        <v>512</v>
      </c>
      <c r="B284" s="29" t="s">
        <v>2288</v>
      </c>
      <c r="C284" s="16">
        <v>0</v>
      </c>
      <c r="D284" s="16">
        <v>0</v>
      </c>
      <c r="E284" s="29" t="s">
        <v>42</v>
      </c>
      <c r="F284" s="29" t="s">
        <v>43</v>
      </c>
      <c r="G284" t="e">
        <v>#N/A</v>
      </c>
    </row>
    <row r="285" spans="1:7" ht="11.5" hidden="1" customHeight="1" x14ac:dyDescent="0.35">
      <c r="A285" s="29" t="s">
        <v>513</v>
      </c>
      <c r="B285" s="29" t="s">
        <v>2289</v>
      </c>
      <c r="C285" s="16">
        <v>0</v>
      </c>
      <c r="D285" s="16">
        <v>0</v>
      </c>
      <c r="E285" s="29" t="s">
        <v>42</v>
      </c>
      <c r="F285" s="29" t="s">
        <v>43</v>
      </c>
      <c r="G285" t="e">
        <v>#N/A</v>
      </c>
    </row>
    <row r="286" spans="1:7" ht="11.5" hidden="1" customHeight="1" x14ac:dyDescent="0.35">
      <c r="A286" s="29" t="s">
        <v>514</v>
      </c>
      <c r="B286" s="29" t="s">
        <v>2290</v>
      </c>
      <c r="C286" s="16">
        <v>0</v>
      </c>
      <c r="D286" s="16">
        <v>0</v>
      </c>
      <c r="E286" s="29" t="s">
        <v>42</v>
      </c>
      <c r="F286" s="29" t="s">
        <v>43</v>
      </c>
      <c r="G286" t="e">
        <v>#N/A</v>
      </c>
    </row>
    <row r="287" spans="1:7" ht="11.5" hidden="1" customHeight="1" x14ac:dyDescent="0.35">
      <c r="A287" s="29" t="s">
        <v>515</v>
      </c>
      <c r="B287" s="29" t="s">
        <v>2290</v>
      </c>
      <c r="C287" s="16">
        <v>0</v>
      </c>
      <c r="D287" s="16">
        <v>0</v>
      </c>
      <c r="E287" s="29" t="s">
        <v>42</v>
      </c>
      <c r="F287" s="29" t="s">
        <v>43</v>
      </c>
      <c r="G287" t="e">
        <v>#N/A</v>
      </c>
    </row>
    <row r="288" spans="1:7" ht="11.5" hidden="1" customHeight="1" x14ac:dyDescent="0.35">
      <c r="A288" s="29" t="s">
        <v>516</v>
      </c>
      <c r="B288" s="29" t="s">
        <v>2291</v>
      </c>
      <c r="C288" s="16">
        <v>0</v>
      </c>
      <c r="D288" s="16">
        <v>0</v>
      </c>
      <c r="E288" s="29" t="s">
        <v>42</v>
      </c>
      <c r="F288" s="29" t="s">
        <v>43</v>
      </c>
      <c r="G288" t="e">
        <v>#N/A</v>
      </c>
    </row>
    <row r="289" spans="1:7" ht="11.5" hidden="1" customHeight="1" x14ac:dyDescent="0.35">
      <c r="A289" s="29" t="s">
        <v>517</v>
      </c>
      <c r="B289" s="29" t="s">
        <v>2292</v>
      </c>
      <c r="C289" s="16">
        <v>0</v>
      </c>
      <c r="D289" s="16">
        <v>0</v>
      </c>
      <c r="E289" s="29" t="s">
        <v>42</v>
      </c>
      <c r="F289" s="29" t="s">
        <v>43</v>
      </c>
      <c r="G289" t="e">
        <v>#N/A</v>
      </c>
    </row>
    <row r="290" spans="1:7" ht="11.5" hidden="1" customHeight="1" x14ac:dyDescent="0.35">
      <c r="A290" s="29" t="s">
        <v>518</v>
      </c>
      <c r="B290" s="29" t="s">
        <v>2293</v>
      </c>
      <c r="C290" s="16">
        <v>0</v>
      </c>
      <c r="D290" s="16">
        <v>0</v>
      </c>
      <c r="E290" s="29" t="s">
        <v>42</v>
      </c>
      <c r="F290" s="29" t="s">
        <v>43</v>
      </c>
      <c r="G290" t="e">
        <v>#N/A</v>
      </c>
    </row>
    <row r="291" spans="1:7" ht="11.5" hidden="1" customHeight="1" x14ac:dyDescent="0.35">
      <c r="A291" s="29" t="s">
        <v>519</v>
      </c>
      <c r="B291" s="29" t="s">
        <v>2294</v>
      </c>
      <c r="C291" s="16">
        <v>0</v>
      </c>
      <c r="D291" s="16">
        <v>0</v>
      </c>
      <c r="E291" s="29" t="s">
        <v>42</v>
      </c>
      <c r="F291" s="29" t="s">
        <v>43</v>
      </c>
      <c r="G291" t="e">
        <v>#N/A</v>
      </c>
    </row>
    <row r="292" spans="1:7" ht="11.5" hidden="1" customHeight="1" x14ac:dyDescent="0.35">
      <c r="A292" s="29" t="s">
        <v>520</v>
      </c>
      <c r="B292" s="29" t="s">
        <v>2295</v>
      </c>
      <c r="C292" s="16">
        <v>0</v>
      </c>
      <c r="D292" s="16">
        <v>0</v>
      </c>
      <c r="E292" s="29" t="s">
        <v>42</v>
      </c>
      <c r="F292" s="29" t="s">
        <v>43</v>
      </c>
      <c r="G292" t="e">
        <v>#N/A</v>
      </c>
    </row>
    <row r="293" spans="1:7" ht="11.5" hidden="1" customHeight="1" x14ac:dyDescent="0.35">
      <c r="A293" s="29" t="s">
        <v>521</v>
      </c>
      <c r="B293" s="29" t="s">
        <v>2296</v>
      </c>
      <c r="C293" s="16">
        <v>0</v>
      </c>
      <c r="D293" s="16">
        <v>0</v>
      </c>
      <c r="E293" s="29" t="s">
        <v>42</v>
      </c>
      <c r="F293" s="29" t="s">
        <v>43</v>
      </c>
      <c r="G293" t="e">
        <v>#N/A</v>
      </c>
    </row>
    <row r="294" spans="1:7" ht="11.5" hidden="1" customHeight="1" x14ac:dyDescent="0.35">
      <c r="A294" s="29" t="s">
        <v>522</v>
      </c>
      <c r="B294" s="29" t="s">
        <v>2297</v>
      </c>
      <c r="C294" s="16">
        <v>0</v>
      </c>
      <c r="D294" s="16">
        <v>0</v>
      </c>
      <c r="E294" s="29" t="s">
        <v>42</v>
      </c>
      <c r="F294" s="29" t="s">
        <v>43</v>
      </c>
      <c r="G294" t="e">
        <v>#N/A</v>
      </c>
    </row>
    <row r="295" spans="1:7" ht="11.5" hidden="1" customHeight="1" x14ac:dyDescent="0.35">
      <c r="A295" s="29" t="s">
        <v>523</v>
      </c>
      <c r="B295" s="29" t="s">
        <v>2298</v>
      </c>
      <c r="C295" s="16">
        <v>0</v>
      </c>
      <c r="D295" s="16">
        <v>0</v>
      </c>
      <c r="E295" s="29" t="s">
        <v>42</v>
      </c>
      <c r="F295" s="29" t="s">
        <v>43</v>
      </c>
      <c r="G295" t="e">
        <v>#N/A</v>
      </c>
    </row>
    <row r="296" spans="1:7" ht="11.5" hidden="1" customHeight="1" x14ac:dyDescent="0.35">
      <c r="A296" s="29" t="s">
        <v>524</v>
      </c>
      <c r="B296" s="29" t="s">
        <v>2299</v>
      </c>
      <c r="C296" s="16">
        <v>0</v>
      </c>
      <c r="D296" s="16">
        <v>0</v>
      </c>
      <c r="E296" s="29" t="s">
        <v>42</v>
      </c>
      <c r="F296" s="29" t="s">
        <v>43</v>
      </c>
      <c r="G296" t="e">
        <v>#N/A</v>
      </c>
    </row>
    <row r="297" spans="1:7" ht="11.5" hidden="1" customHeight="1" x14ac:dyDescent="0.35">
      <c r="A297" s="29" t="s">
        <v>525</v>
      </c>
      <c r="B297" s="29" t="s">
        <v>2300</v>
      </c>
      <c r="C297" s="16">
        <v>0</v>
      </c>
      <c r="D297" s="16">
        <v>0</v>
      </c>
      <c r="E297" s="29" t="s">
        <v>42</v>
      </c>
      <c r="F297" s="29" t="s">
        <v>43</v>
      </c>
      <c r="G297" t="e">
        <v>#N/A</v>
      </c>
    </row>
    <row r="298" spans="1:7" ht="11.5" hidden="1" customHeight="1" x14ac:dyDescent="0.35">
      <c r="A298" s="29" t="s">
        <v>526</v>
      </c>
      <c r="B298" s="29" t="s">
        <v>2301</v>
      </c>
      <c r="C298" s="16">
        <v>0</v>
      </c>
      <c r="D298" s="16">
        <v>0</v>
      </c>
      <c r="E298" s="29" t="s">
        <v>42</v>
      </c>
      <c r="F298" s="29" t="s">
        <v>43</v>
      </c>
      <c r="G298" t="e">
        <v>#N/A</v>
      </c>
    </row>
    <row r="299" spans="1:7" ht="11.5" hidden="1" customHeight="1" x14ac:dyDescent="0.35">
      <c r="A299" s="29" t="s">
        <v>527</v>
      </c>
      <c r="B299" s="29" t="s">
        <v>2302</v>
      </c>
      <c r="C299" s="16">
        <v>0</v>
      </c>
      <c r="D299" s="16">
        <v>0</v>
      </c>
      <c r="E299" s="29" t="s">
        <v>42</v>
      </c>
      <c r="F299" s="29" t="s">
        <v>43</v>
      </c>
      <c r="G299" t="e">
        <v>#N/A</v>
      </c>
    </row>
    <row r="300" spans="1:7" ht="11.5" hidden="1" customHeight="1" x14ac:dyDescent="0.35">
      <c r="A300" s="29" t="s">
        <v>528</v>
      </c>
      <c r="B300" s="29" t="s">
        <v>2303</v>
      </c>
      <c r="C300" s="16">
        <v>0</v>
      </c>
      <c r="D300" s="16">
        <v>0</v>
      </c>
      <c r="E300" s="29" t="s">
        <v>42</v>
      </c>
      <c r="F300" s="29" t="s">
        <v>43</v>
      </c>
      <c r="G300" t="e">
        <v>#N/A</v>
      </c>
    </row>
    <row r="301" spans="1:7" ht="11.5" hidden="1" customHeight="1" x14ac:dyDescent="0.35">
      <c r="A301" s="29" t="s">
        <v>529</v>
      </c>
      <c r="B301" s="29" t="s">
        <v>2304</v>
      </c>
      <c r="C301" s="16">
        <v>0</v>
      </c>
      <c r="D301" s="16">
        <v>0</v>
      </c>
      <c r="E301" s="29" t="s">
        <v>42</v>
      </c>
      <c r="F301" s="29" t="s">
        <v>43</v>
      </c>
      <c r="G301" t="e">
        <v>#N/A</v>
      </c>
    </row>
    <row r="302" spans="1:7" ht="11.5" hidden="1" customHeight="1" x14ac:dyDescent="0.35">
      <c r="A302" s="29" t="s">
        <v>530</v>
      </c>
      <c r="B302" s="29" t="s">
        <v>2305</v>
      </c>
      <c r="C302" s="16">
        <v>0</v>
      </c>
      <c r="D302" s="16">
        <v>0</v>
      </c>
      <c r="E302" s="29" t="s">
        <v>42</v>
      </c>
      <c r="F302" s="29" t="s">
        <v>43</v>
      </c>
      <c r="G302" t="e">
        <v>#N/A</v>
      </c>
    </row>
    <row r="303" spans="1:7" ht="11.5" hidden="1" customHeight="1" x14ac:dyDescent="0.35">
      <c r="A303" s="29" t="s">
        <v>531</v>
      </c>
      <c r="B303" s="29" t="s">
        <v>2306</v>
      </c>
      <c r="C303" s="16">
        <v>0</v>
      </c>
      <c r="D303" s="16">
        <v>0</v>
      </c>
      <c r="E303" s="29" t="s">
        <v>42</v>
      </c>
      <c r="F303" s="29" t="s">
        <v>43</v>
      </c>
      <c r="G303" t="e">
        <v>#N/A</v>
      </c>
    </row>
    <row r="304" spans="1:7" ht="11.5" hidden="1" customHeight="1" x14ac:dyDescent="0.35">
      <c r="A304" s="29" t="s">
        <v>532</v>
      </c>
      <c r="B304" s="29" t="s">
        <v>2307</v>
      </c>
      <c r="C304" s="16">
        <v>0</v>
      </c>
      <c r="D304" s="16">
        <v>0</v>
      </c>
      <c r="E304" s="29" t="s">
        <v>42</v>
      </c>
      <c r="F304" s="29" t="s">
        <v>43</v>
      </c>
      <c r="G304" t="e">
        <v>#N/A</v>
      </c>
    </row>
    <row r="305" spans="1:7" ht="11.5" hidden="1" customHeight="1" x14ac:dyDescent="0.35">
      <c r="A305" s="29" t="s">
        <v>533</v>
      </c>
      <c r="B305" s="29" t="s">
        <v>2308</v>
      </c>
      <c r="C305" s="16">
        <v>0</v>
      </c>
      <c r="D305" s="16">
        <v>0</v>
      </c>
      <c r="E305" s="29" t="s">
        <v>42</v>
      </c>
      <c r="F305" s="29" t="s">
        <v>43</v>
      </c>
      <c r="G305" t="e">
        <v>#N/A</v>
      </c>
    </row>
    <row r="306" spans="1:7" ht="11.5" hidden="1" customHeight="1" x14ac:dyDescent="0.35">
      <c r="A306" s="29" t="s">
        <v>534</v>
      </c>
      <c r="B306" s="29" t="s">
        <v>2309</v>
      </c>
      <c r="C306" s="16">
        <v>0</v>
      </c>
      <c r="D306" s="16">
        <v>0</v>
      </c>
      <c r="E306" s="29" t="s">
        <v>42</v>
      </c>
      <c r="F306" s="29" t="s">
        <v>43</v>
      </c>
      <c r="G306" t="e">
        <v>#N/A</v>
      </c>
    </row>
    <row r="307" spans="1:7" ht="11.5" hidden="1" customHeight="1" x14ac:dyDescent="0.35">
      <c r="A307" s="29" t="s">
        <v>535</v>
      </c>
      <c r="B307" s="29" t="s">
        <v>2310</v>
      </c>
      <c r="C307" s="16">
        <v>0</v>
      </c>
      <c r="D307" s="16">
        <v>0</v>
      </c>
      <c r="E307" s="29" t="s">
        <v>42</v>
      </c>
      <c r="F307" s="29" t="s">
        <v>43</v>
      </c>
      <c r="G307" t="e">
        <v>#N/A</v>
      </c>
    </row>
    <row r="308" spans="1:7" ht="11.5" hidden="1" customHeight="1" x14ac:dyDescent="0.35">
      <c r="A308" s="29" t="s">
        <v>536</v>
      </c>
      <c r="B308" s="29" t="s">
        <v>2311</v>
      </c>
      <c r="C308" s="16">
        <v>0</v>
      </c>
      <c r="D308" s="16">
        <v>0</v>
      </c>
      <c r="E308" s="29" t="s">
        <v>42</v>
      </c>
      <c r="F308" s="29" t="s">
        <v>43</v>
      </c>
      <c r="G308" t="e">
        <v>#N/A</v>
      </c>
    </row>
    <row r="309" spans="1:7" ht="11.5" hidden="1" customHeight="1" x14ac:dyDescent="0.35">
      <c r="A309" s="29" t="s">
        <v>537</v>
      </c>
      <c r="B309" s="29" t="s">
        <v>2312</v>
      </c>
      <c r="C309" s="16">
        <v>0</v>
      </c>
      <c r="D309" s="16">
        <v>0</v>
      </c>
      <c r="E309" s="29" t="s">
        <v>42</v>
      </c>
      <c r="F309" s="29" t="s">
        <v>43</v>
      </c>
      <c r="G309" t="e">
        <v>#N/A</v>
      </c>
    </row>
    <row r="310" spans="1:7" ht="11.5" hidden="1" customHeight="1" x14ac:dyDescent="0.35">
      <c r="A310" s="29" t="s">
        <v>538</v>
      </c>
      <c r="B310" s="29" t="s">
        <v>2313</v>
      </c>
      <c r="C310" s="16">
        <v>0</v>
      </c>
      <c r="D310" s="16">
        <v>0</v>
      </c>
      <c r="E310" s="29" t="s">
        <v>42</v>
      </c>
      <c r="F310" s="29" t="s">
        <v>43</v>
      </c>
      <c r="G310" t="e">
        <v>#N/A</v>
      </c>
    </row>
    <row r="311" spans="1:7" ht="11.5" hidden="1" customHeight="1" x14ac:dyDescent="0.35">
      <c r="A311" s="29" t="s">
        <v>539</v>
      </c>
      <c r="B311" s="29" t="s">
        <v>2314</v>
      </c>
      <c r="C311" s="16">
        <v>0</v>
      </c>
      <c r="D311" s="16">
        <v>0</v>
      </c>
      <c r="E311" s="29" t="s">
        <v>42</v>
      </c>
      <c r="F311" s="29" t="s">
        <v>43</v>
      </c>
      <c r="G311" t="e">
        <v>#N/A</v>
      </c>
    </row>
    <row r="312" spans="1:7" ht="11.5" hidden="1" customHeight="1" x14ac:dyDescent="0.35">
      <c r="A312" s="29" t="s">
        <v>540</v>
      </c>
      <c r="B312" s="29" t="s">
        <v>2315</v>
      </c>
      <c r="C312" s="16">
        <v>0</v>
      </c>
      <c r="D312" s="16">
        <v>0</v>
      </c>
      <c r="E312" s="29" t="s">
        <v>42</v>
      </c>
      <c r="F312" s="29" t="s">
        <v>43</v>
      </c>
      <c r="G312" t="e">
        <v>#N/A</v>
      </c>
    </row>
    <row r="313" spans="1:7" ht="11.5" hidden="1" customHeight="1" x14ac:dyDescent="0.35">
      <c r="A313" s="29" t="s">
        <v>541</v>
      </c>
      <c r="B313" s="29" t="s">
        <v>2316</v>
      </c>
      <c r="C313" s="16">
        <v>0</v>
      </c>
      <c r="D313" s="16">
        <v>0</v>
      </c>
      <c r="E313" s="29" t="s">
        <v>42</v>
      </c>
      <c r="F313" s="29" t="s">
        <v>43</v>
      </c>
      <c r="G313" t="e">
        <v>#N/A</v>
      </c>
    </row>
    <row r="314" spans="1:7" ht="11.5" hidden="1" customHeight="1" x14ac:dyDescent="0.35">
      <c r="A314" s="29" t="s">
        <v>542</v>
      </c>
      <c r="B314" s="29" t="s">
        <v>2317</v>
      </c>
      <c r="C314" s="16">
        <v>0</v>
      </c>
      <c r="D314" s="16">
        <v>0</v>
      </c>
      <c r="E314" s="29" t="s">
        <v>42</v>
      </c>
      <c r="F314" s="29" t="s">
        <v>43</v>
      </c>
      <c r="G314" t="e">
        <v>#N/A</v>
      </c>
    </row>
    <row r="315" spans="1:7" ht="11.5" hidden="1" customHeight="1" x14ac:dyDescent="0.35">
      <c r="A315" s="29" t="s">
        <v>543</v>
      </c>
      <c r="B315" s="29" t="s">
        <v>2318</v>
      </c>
      <c r="C315" s="16">
        <v>0</v>
      </c>
      <c r="D315" s="16">
        <v>0</v>
      </c>
      <c r="E315" s="29" t="s">
        <v>42</v>
      </c>
      <c r="F315" s="29" t="s">
        <v>43</v>
      </c>
      <c r="G315" t="e">
        <v>#N/A</v>
      </c>
    </row>
    <row r="316" spans="1:7" ht="11.5" hidden="1" customHeight="1" x14ac:dyDescent="0.35">
      <c r="A316" s="29" t="s">
        <v>544</v>
      </c>
      <c r="B316" s="29" t="s">
        <v>2319</v>
      </c>
      <c r="C316" s="16">
        <v>0</v>
      </c>
      <c r="D316" s="16">
        <v>0</v>
      </c>
      <c r="E316" s="29" t="s">
        <v>42</v>
      </c>
      <c r="F316" s="29" t="s">
        <v>43</v>
      </c>
      <c r="G316" t="e">
        <v>#N/A</v>
      </c>
    </row>
    <row r="317" spans="1:7" ht="11.5" hidden="1" customHeight="1" x14ac:dyDescent="0.35">
      <c r="A317" s="29" t="s">
        <v>545</v>
      </c>
      <c r="B317" s="29" t="s">
        <v>2320</v>
      </c>
      <c r="C317" s="16">
        <v>0</v>
      </c>
      <c r="D317" s="16">
        <v>0</v>
      </c>
      <c r="E317" s="29" t="s">
        <v>42</v>
      </c>
      <c r="F317" s="29" t="s">
        <v>43</v>
      </c>
      <c r="G317" t="e">
        <v>#N/A</v>
      </c>
    </row>
    <row r="318" spans="1:7" ht="11.5" hidden="1" customHeight="1" x14ac:dyDescent="0.35">
      <c r="A318" s="29" t="s">
        <v>546</v>
      </c>
      <c r="B318" s="29" t="s">
        <v>2321</v>
      </c>
      <c r="C318" s="16">
        <v>0</v>
      </c>
      <c r="D318" s="16">
        <v>0</v>
      </c>
      <c r="E318" s="29" t="s">
        <v>42</v>
      </c>
      <c r="F318" s="29" t="s">
        <v>43</v>
      </c>
      <c r="G318" t="e">
        <v>#N/A</v>
      </c>
    </row>
    <row r="319" spans="1:7" ht="11.5" hidden="1" customHeight="1" x14ac:dyDescent="0.35">
      <c r="A319" s="29" t="s">
        <v>547</v>
      </c>
      <c r="B319" s="29" t="s">
        <v>2322</v>
      </c>
      <c r="C319" s="16">
        <v>0</v>
      </c>
      <c r="D319" s="16">
        <v>0</v>
      </c>
      <c r="E319" s="29" t="s">
        <v>42</v>
      </c>
      <c r="F319" s="29" t="s">
        <v>43</v>
      </c>
      <c r="G319" t="e">
        <v>#N/A</v>
      </c>
    </row>
    <row r="320" spans="1:7" ht="11.5" hidden="1" customHeight="1" x14ac:dyDescent="0.35">
      <c r="A320" s="29" t="s">
        <v>548</v>
      </c>
      <c r="B320" s="29" t="s">
        <v>2323</v>
      </c>
      <c r="C320" s="16">
        <v>0</v>
      </c>
      <c r="D320" s="16">
        <v>0</v>
      </c>
      <c r="E320" s="29" t="s">
        <v>42</v>
      </c>
      <c r="F320" s="29" t="s">
        <v>43</v>
      </c>
      <c r="G320" t="e">
        <v>#N/A</v>
      </c>
    </row>
    <row r="321" spans="1:7" ht="11.5" hidden="1" customHeight="1" x14ac:dyDescent="0.35">
      <c r="A321" s="29" t="s">
        <v>549</v>
      </c>
      <c r="B321" s="29" t="s">
        <v>2324</v>
      </c>
      <c r="C321" s="16">
        <v>0</v>
      </c>
      <c r="D321" s="16">
        <v>0</v>
      </c>
      <c r="E321" s="29" t="s">
        <v>42</v>
      </c>
      <c r="F321" s="29" t="s">
        <v>43</v>
      </c>
      <c r="G321" t="e">
        <v>#N/A</v>
      </c>
    </row>
    <row r="322" spans="1:7" ht="11.5" hidden="1" customHeight="1" x14ac:dyDescent="0.35">
      <c r="A322" s="29" t="s">
        <v>550</v>
      </c>
      <c r="B322" s="29" t="s">
        <v>2325</v>
      </c>
      <c r="C322" s="16">
        <v>0</v>
      </c>
      <c r="D322" s="16">
        <v>0</v>
      </c>
      <c r="E322" s="29" t="s">
        <v>42</v>
      </c>
      <c r="F322" s="29" t="s">
        <v>43</v>
      </c>
      <c r="G322" t="e">
        <v>#N/A</v>
      </c>
    </row>
    <row r="323" spans="1:7" ht="11.5" hidden="1" customHeight="1" x14ac:dyDescent="0.35">
      <c r="A323" s="29" t="s">
        <v>551</v>
      </c>
      <c r="B323" s="29" t="s">
        <v>2326</v>
      </c>
      <c r="C323" s="16">
        <v>0</v>
      </c>
      <c r="D323" s="16">
        <v>0</v>
      </c>
      <c r="E323" s="29" t="s">
        <v>42</v>
      </c>
      <c r="F323" s="29" t="s">
        <v>43</v>
      </c>
      <c r="G323" t="e">
        <v>#N/A</v>
      </c>
    </row>
    <row r="324" spans="1:7" ht="11.5" hidden="1" customHeight="1" x14ac:dyDescent="0.35">
      <c r="A324" s="29" t="s">
        <v>552</v>
      </c>
      <c r="B324" s="29" t="s">
        <v>2327</v>
      </c>
      <c r="C324" s="16">
        <v>0</v>
      </c>
      <c r="D324" s="16">
        <v>0</v>
      </c>
      <c r="E324" s="29" t="s">
        <v>42</v>
      </c>
      <c r="F324" s="29" t="s">
        <v>43</v>
      </c>
      <c r="G324" t="e">
        <v>#N/A</v>
      </c>
    </row>
    <row r="325" spans="1:7" ht="11.5" hidden="1" customHeight="1" x14ac:dyDescent="0.35">
      <c r="A325" s="29" t="s">
        <v>553</v>
      </c>
      <c r="B325" s="29" t="s">
        <v>2328</v>
      </c>
      <c r="C325" s="16">
        <v>0</v>
      </c>
      <c r="D325" s="16">
        <v>0</v>
      </c>
      <c r="E325" s="29" t="s">
        <v>42</v>
      </c>
      <c r="F325" s="29" t="s">
        <v>43</v>
      </c>
      <c r="G325" t="e">
        <v>#N/A</v>
      </c>
    </row>
    <row r="326" spans="1:7" ht="11.5" hidden="1" customHeight="1" x14ac:dyDescent="0.35">
      <c r="A326" s="29" t="s">
        <v>554</v>
      </c>
      <c r="B326" s="29" t="s">
        <v>2329</v>
      </c>
      <c r="C326" s="16">
        <v>0</v>
      </c>
      <c r="D326" s="16">
        <v>0</v>
      </c>
      <c r="E326" s="29" t="s">
        <v>42</v>
      </c>
      <c r="F326" s="29" t="s">
        <v>43</v>
      </c>
      <c r="G326" t="e">
        <v>#N/A</v>
      </c>
    </row>
    <row r="327" spans="1:7" ht="11.5" hidden="1" customHeight="1" x14ac:dyDescent="0.35">
      <c r="A327" s="29" t="s">
        <v>555</v>
      </c>
      <c r="B327" s="29" t="s">
        <v>2330</v>
      </c>
      <c r="C327" s="16">
        <v>0</v>
      </c>
      <c r="D327" s="16">
        <v>0</v>
      </c>
      <c r="E327" s="29" t="s">
        <v>42</v>
      </c>
      <c r="F327" s="29" t="s">
        <v>43</v>
      </c>
      <c r="G327" t="e">
        <v>#N/A</v>
      </c>
    </row>
    <row r="328" spans="1:7" ht="11.5" hidden="1" customHeight="1" x14ac:dyDescent="0.35">
      <c r="A328" s="29" t="s">
        <v>556</v>
      </c>
      <c r="B328" s="29" t="s">
        <v>2331</v>
      </c>
      <c r="C328" s="16">
        <v>0</v>
      </c>
      <c r="D328" s="16">
        <v>0</v>
      </c>
      <c r="E328" s="29" t="s">
        <v>42</v>
      </c>
      <c r="F328" s="29" t="s">
        <v>43</v>
      </c>
      <c r="G328" t="e">
        <v>#N/A</v>
      </c>
    </row>
    <row r="329" spans="1:7" ht="11.5" hidden="1" customHeight="1" x14ac:dyDescent="0.35">
      <c r="A329" s="29" t="s">
        <v>557</v>
      </c>
      <c r="B329" s="29" t="s">
        <v>2332</v>
      </c>
      <c r="C329" s="16">
        <v>0</v>
      </c>
      <c r="D329" s="16">
        <v>0</v>
      </c>
      <c r="E329" s="29" t="s">
        <v>42</v>
      </c>
      <c r="F329" s="29" t="s">
        <v>43</v>
      </c>
      <c r="G329" t="e">
        <v>#N/A</v>
      </c>
    </row>
    <row r="330" spans="1:7" ht="11.5" hidden="1" customHeight="1" x14ac:dyDescent="0.35">
      <c r="A330" s="29" t="s">
        <v>558</v>
      </c>
      <c r="B330" s="29" t="s">
        <v>2333</v>
      </c>
      <c r="C330" s="16">
        <v>0</v>
      </c>
      <c r="D330" s="16">
        <v>0</v>
      </c>
      <c r="E330" s="29" t="s">
        <v>42</v>
      </c>
      <c r="F330" s="29" t="s">
        <v>43</v>
      </c>
      <c r="G330" t="e">
        <v>#N/A</v>
      </c>
    </row>
    <row r="331" spans="1:7" ht="11.5" hidden="1" customHeight="1" x14ac:dyDescent="0.35">
      <c r="A331" s="29" t="s">
        <v>559</v>
      </c>
      <c r="B331" s="29" t="s">
        <v>2334</v>
      </c>
      <c r="C331" s="16">
        <v>0</v>
      </c>
      <c r="D331" s="16">
        <v>0</v>
      </c>
      <c r="E331" s="29" t="s">
        <v>42</v>
      </c>
      <c r="F331" s="29" t="s">
        <v>43</v>
      </c>
      <c r="G331" t="e">
        <v>#N/A</v>
      </c>
    </row>
    <row r="332" spans="1:7" ht="11.5" hidden="1" customHeight="1" x14ac:dyDescent="0.35">
      <c r="A332" s="29" t="s">
        <v>560</v>
      </c>
      <c r="B332" s="29" t="s">
        <v>2335</v>
      </c>
      <c r="C332" s="16">
        <v>0</v>
      </c>
      <c r="D332" s="16">
        <v>0</v>
      </c>
      <c r="E332" s="29" t="s">
        <v>42</v>
      </c>
      <c r="F332" s="29" t="s">
        <v>43</v>
      </c>
      <c r="G332" t="e">
        <v>#N/A</v>
      </c>
    </row>
    <row r="333" spans="1:7" ht="11.5" hidden="1" customHeight="1" x14ac:dyDescent="0.35">
      <c r="A333" s="29" t="s">
        <v>561</v>
      </c>
      <c r="B333" s="29" t="s">
        <v>2336</v>
      </c>
      <c r="C333" s="16">
        <v>0</v>
      </c>
      <c r="D333" s="16">
        <v>0</v>
      </c>
      <c r="E333" s="29" t="s">
        <v>42</v>
      </c>
      <c r="F333" s="29" t="s">
        <v>43</v>
      </c>
      <c r="G333" t="e">
        <v>#N/A</v>
      </c>
    </row>
    <row r="334" spans="1:7" ht="11.5" hidden="1" customHeight="1" x14ac:dyDescent="0.35">
      <c r="A334" s="29" t="s">
        <v>562</v>
      </c>
      <c r="B334" s="29" t="s">
        <v>2337</v>
      </c>
      <c r="C334" s="16">
        <v>0</v>
      </c>
      <c r="D334" s="16">
        <v>0</v>
      </c>
      <c r="E334" s="29" t="s">
        <v>42</v>
      </c>
      <c r="F334" s="29" t="s">
        <v>43</v>
      </c>
      <c r="G334" t="e">
        <v>#N/A</v>
      </c>
    </row>
    <row r="335" spans="1:7" ht="11.5" hidden="1" customHeight="1" x14ac:dyDescent="0.35">
      <c r="A335" s="29" t="s">
        <v>563</v>
      </c>
      <c r="B335" s="29" t="s">
        <v>2338</v>
      </c>
      <c r="C335" s="16">
        <v>0</v>
      </c>
      <c r="D335" s="16">
        <v>0</v>
      </c>
      <c r="E335" s="29" t="s">
        <v>42</v>
      </c>
      <c r="F335" s="29" t="s">
        <v>43</v>
      </c>
      <c r="G335" t="e">
        <v>#N/A</v>
      </c>
    </row>
    <row r="336" spans="1:7" ht="11.5" hidden="1" customHeight="1" x14ac:dyDescent="0.35">
      <c r="A336" s="29" t="s">
        <v>564</v>
      </c>
      <c r="B336" s="29" t="s">
        <v>2339</v>
      </c>
      <c r="C336" s="16">
        <v>0</v>
      </c>
      <c r="D336" s="16">
        <v>0</v>
      </c>
      <c r="E336" s="29" t="s">
        <v>42</v>
      </c>
      <c r="F336" s="29" t="s">
        <v>43</v>
      </c>
      <c r="G336" t="e">
        <v>#N/A</v>
      </c>
    </row>
    <row r="337" spans="1:7" ht="11.5" hidden="1" customHeight="1" x14ac:dyDescent="0.35">
      <c r="A337" s="29" t="s">
        <v>565</v>
      </c>
      <c r="B337" s="29" t="s">
        <v>2340</v>
      </c>
      <c r="C337" s="16">
        <v>0</v>
      </c>
      <c r="D337" s="16">
        <v>0</v>
      </c>
      <c r="E337" s="29" t="s">
        <v>42</v>
      </c>
      <c r="F337" s="29" t="s">
        <v>43</v>
      </c>
      <c r="G337" t="e">
        <v>#N/A</v>
      </c>
    </row>
    <row r="338" spans="1:7" ht="11.5" hidden="1" customHeight="1" x14ac:dyDescent="0.35">
      <c r="A338" s="29" t="s">
        <v>566</v>
      </c>
      <c r="B338" s="29" t="s">
        <v>2341</v>
      </c>
      <c r="C338" s="16">
        <v>0</v>
      </c>
      <c r="D338" s="16">
        <v>0</v>
      </c>
      <c r="E338" s="29" t="s">
        <v>42</v>
      </c>
      <c r="F338" s="29" t="s">
        <v>43</v>
      </c>
      <c r="G338" t="e">
        <v>#N/A</v>
      </c>
    </row>
    <row r="339" spans="1:7" ht="11.5" hidden="1" customHeight="1" x14ac:dyDescent="0.35">
      <c r="A339" s="29" t="s">
        <v>567</v>
      </c>
      <c r="B339" s="29" t="s">
        <v>2342</v>
      </c>
      <c r="C339" s="16">
        <v>0</v>
      </c>
      <c r="D339" s="16">
        <v>0</v>
      </c>
      <c r="E339" s="29" t="s">
        <v>42</v>
      </c>
      <c r="F339" s="29" t="s">
        <v>43</v>
      </c>
      <c r="G339" t="e">
        <v>#N/A</v>
      </c>
    </row>
    <row r="340" spans="1:7" ht="11.5" hidden="1" customHeight="1" x14ac:dyDescent="0.35">
      <c r="A340" s="29" t="s">
        <v>568</v>
      </c>
      <c r="B340" s="29" t="s">
        <v>2343</v>
      </c>
      <c r="C340" s="16">
        <v>0</v>
      </c>
      <c r="D340" s="16">
        <v>0</v>
      </c>
      <c r="E340" s="29" t="s">
        <v>42</v>
      </c>
      <c r="F340" s="29" t="s">
        <v>43</v>
      </c>
      <c r="G340" t="e">
        <v>#N/A</v>
      </c>
    </row>
    <row r="341" spans="1:7" ht="11.5" hidden="1" customHeight="1" x14ac:dyDescent="0.35">
      <c r="A341" s="29" t="s">
        <v>569</v>
      </c>
      <c r="B341" s="29" t="s">
        <v>2344</v>
      </c>
      <c r="C341" s="16">
        <v>0</v>
      </c>
      <c r="D341" s="16">
        <v>0</v>
      </c>
      <c r="E341" s="29" t="s">
        <v>42</v>
      </c>
      <c r="F341" s="29" t="s">
        <v>43</v>
      </c>
      <c r="G341" t="e">
        <v>#N/A</v>
      </c>
    </row>
    <row r="342" spans="1:7" ht="11.5" hidden="1" customHeight="1" x14ac:dyDescent="0.35">
      <c r="A342" s="29" t="s">
        <v>570</v>
      </c>
      <c r="B342" s="29" t="s">
        <v>2345</v>
      </c>
      <c r="C342" s="16">
        <v>0</v>
      </c>
      <c r="D342" s="16">
        <v>0</v>
      </c>
      <c r="E342" s="29" t="s">
        <v>42</v>
      </c>
      <c r="F342" s="29" t="s">
        <v>43</v>
      </c>
      <c r="G342" t="e">
        <v>#N/A</v>
      </c>
    </row>
    <row r="343" spans="1:7" ht="11.5" hidden="1" customHeight="1" x14ac:dyDescent="0.35">
      <c r="A343" s="29" t="s">
        <v>571</v>
      </c>
      <c r="B343" s="29" t="s">
        <v>2346</v>
      </c>
      <c r="C343" s="16">
        <v>0</v>
      </c>
      <c r="D343" s="16">
        <v>0</v>
      </c>
      <c r="E343" s="29" t="s">
        <v>42</v>
      </c>
      <c r="F343" s="29" t="s">
        <v>43</v>
      </c>
      <c r="G343" t="s">
        <v>3897</v>
      </c>
    </row>
    <row r="344" spans="1:7" ht="11.5" hidden="1" customHeight="1" x14ac:dyDescent="0.35">
      <c r="A344" s="29" t="s">
        <v>572</v>
      </c>
      <c r="B344" s="29" t="s">
        <v>2347</v>
      </c>
      <c r="C344" s="16">
        <v>0</v>
      </c>
      <c r="D344" s="16">
        <v>0</v>
      </c>
      <c r="E344" s="29" t="s">
        <v>42</v>
      </c>
      <c r="F344" s="29" t="s">
        <v>43</v>
      </c>
      <c r="G344" t="e">
        <v>#N/A</v>
      </c>
    </row>
    <row r="345" spans="1:7" ht="11.5" hidden="1" customHeight="1" x14ac:dyDescent="0.35">
      <c r="A345" s="29" t="s">
        <v>573</v>
      </c>
      <c r="B345" s="29" t="s">
        <v>2348</v>
      </c>
      <c r="C345" s="16">
        <v>0</v>
      </c>
      <c r="D345" s="16">
        <v>0</v>
      </c>
      <c r="E345" s="29" t="s">
        <v>42</v>
      </c>
      <c r="F345" s="29" t="s">
        <v>43</v>
      </c>
      <c r="G345" t="e">
        <v>#N/A</v>
      </c>
    </row>
    <row r="346" spans="1:7" ht="11.5" hidden="1" customHeight="1" x14ac:dyDescent="0.35">
      <c r="A346" s="29" t="s">
        <v>574</v>
      </c>
      <c r="B346" s="29" t="s">
        <v>2349</v>
      </c>
      <c r="C346" s="16">
        <v>0</v>
      </c>
      <c r="D346" s="16">
        <v>0</v>
      </c>
      <c r="E346" s="29" t="s">
        <v>42</v>
      </c>
      <c r="F346" s="29" t="s">
        <v>43</v>
      </c>
      <c r="G346" t="e">
        <v>#N/A</v>
      </c>
    </row>
    <row r="347" spans="1:7" ht="11.5" hidden="1" customHeight="1" x14ac:dyDescent="0.35">
      <c r="A347" s="29" t="s">
        <v>575</v>
      </c>
      <c r="B347" s="29" t="s">
        <v>2350</v>
      </c>
      <c r="C347" s="16">
        <v>0</v>
      </c>
      <c r="D347" s="16">
        <v>0</v>
      </c>
      <c r="E347" s="29" t="s">
        <v>42</v>
      </c>
      <c r="F347" s="29" t="s">
        <v>43</v>
      </c>
      <c r="G347" t="e">
        <v>#N/A</v>
      </c>
    </row>
    <row r="348" spans="1:7" ht="11.5" hidden="1" customHeight="1" x14ac:dyDescent="0.35">
      <c r="A348" s="29" t="s">
        <v>576</v>
      </c>
      <c r="B348" s="29" t="s">
        <v>2351</v>
      </c>
      <c r="C348" s="16">
        <v>0</v>
      </c>
      <c r="D348" s="16">
        <v>0</v>
      </c>
      <c r="E348" s="29" t="s">
        <v>42</v>
      </c>
      <c r="F348" s="29" t="s">
        <v>43</v>
      </c>
      <c r="G348" t="e">
        <v>#N/A</v>
      </c>
    </row>
    <row r="349" spans="1:7" ht="11.5" hidden="1" customHeight="1" x14ac:dyDescent="0.35">
      <c r="A349" s="29" t="s">
        <v>577</v>
      </c>
      <c r="B349" s="29" t="s">
        <v>2352</v>
      </c>
      <c r="C349" s="16">
        <v>0</v>
      </c>
      <c r="D349" s="16">
        <v>0</v>
      </c>
      <c r="E349" s="29" t="s">
        <v>42</v>
      </c>
      <c r="F349" s="29" t="s">
        <v>43</v>
      </c>
      <c r="G349" t="e">
        <v>#N/A</v>
      </c>
    </row>
    <row r="350" spans="1:7" ht="11.5" hidden="1" customHeight="1" x14ac:dyDescent="0.35">
      <c r="A350" s="29" t="s">
        <v>578</v>
      </c>
      <c r="B350" s="29" t="s">
        <v>2353</v>
      </c>
      <c r="C350" s="16">
        <v>0</v>
      </c>
      <c r="D350" s="16">
        <v>0</v>
      </c>
      <c r="E350" s="29" t="s">
        <v>42</v>
      </c>
      <c r="F350" s="29" t="s">
        <v>43</v>
      </c>
      <c r="G350" t="e">
        <v>#N/A</v>
      </c>
    </row>
    <row r="351" spans="1:7" ht="11.5" hidden="1" customHeight="1" x14ac:dyDescent="0.35">
      <c r="A351" s="29" t="s">
        <v>579</v>
      </c>
      <c r="B351" s="29" t="s">
        <v>2354</v>
      </c>
      <c r="C351" s="16">
        <v>0</v>
      </c>
      <c r="D351" s="16">
        <v>0</v>
      </c>
      <c r="E351" s="29" t="s">
        <v>42</v>
      </c>
      <c r="F351" s="29" t="s">
        <v>43</v>
      </c>
      <c r="G351" t="e">
        <v>#N/A</v>
      </c>
    </row>
    <row r="352" spans="1:7" ht="11.5" hidden="1" customHeight="1" x14ac:dyDescent="0.35">
      <c r="A352" s="29" t="s">
        <v>580</v>
      </c>
      <c r="B352" s="29" t="s">
        <v>2355</v>
      </c>
      <c r="C352" s="16">
        <v>0</v>
      </c>
      <c r="D352" s="16">
        <v>0</v>
      </c>
      <c r="E352" s="29" t="s">
        <v>42</v>
      </c>
      <c r="F352" s="29" t="s">
        <v>43</v>
      </c>
      <c r="G352" t="e">
        <v>#N/A</v>
      </c>
    </row>
    <row r="353" spans="1:7" ht="11.5" hidden="1" customHeight="1" x14ac:dyDescent="0.35">
      <c r="A353" s="29" t="s">
        <v>581</v>
      </c>
      <c r="B353" s="29" t="s">
        <v>2355</v>
      </c>
      <c r="C353" s="16">
        <v>0</v>
      </c>
      <c r="D353" s="16">
        <v>0</v>
      </c>
      <c r="E353" s="29" t="s">
        <v>42</v>
      </c>
      <c r="F353" s="29" t="s">
        <v>43</v>
      </c>
      <c r="G353" t="e">
        <v>#N/A</v>
      </c>
    </row>
    <row r="354" spans="1:7" ht="11.5" hidden="1" customHeight="1" x14ac:dyDescent="0.35">
      <c r="A354" s="29" t="s">
        <v>582</v>
      </c>
      <c r="B354" s="29" t="s">
        <v>2356</v>
      </c>
      <c r="C354" s="16">
        <v>0</v>
      </c>
      <c r="D354" s="16">
        <v>0</v>
      </c>
      <c r="E354" s="29" t="s">
        <v>42</v>
      </c>
      <c r="F354" s="29" t="s">
        <v>43</v>
      </c>
      <c r="G354" t="e">
        <v>#N/A</v>
      </c>
    </row>
    <row r="355" spans="1:7" ht="11.5" hidden="1" customHeight="1" x14ac:dyDescent="0.35">
      <c r="A355" s="29" t="s">
        <v>583</v>
      </c>
      <c r="B355" s="29" t="s">
        <v>2357</v>
      </c>
      <c r="C355" s="16">
        <v>0</v>
      </c>
      <c r="D355" s="16">
        <v>0</v>
      </c>
      <c r="E355" s="29" t="s">
        <v>42</v>
      </c>
      <c r="F355" s="29" t="s">
        <v>43</v>
      </c>
      <c r="G355" t="e">
        <v>#N/A</v>
      </c>
    </row>
    <row r="356" spans="1:7" ht="11.5" hidden="1" customHeight="1" x14ac:dyDescent="0.35">
      <c r="A356" s="29" t="s">
        <v>584</v>
      </c>
      <c r="B356" s="29" t="s">
        <v>2358</v>
      </c>
      <c r="C356" s="16">
        <v>0</v>
      </c>
      <c r="D356" s="16">
        <v>0</v>
      </c>
      <c r="E356" s="29" t="s">
        <v>42</v>
      </c>
      <c r="F356" s="29" t="s">
        <v>43</v>
      </c>
      <c r="G356" t="e">
        <v>#N/A</v>
      </c>
    </row>
    <row r="357" spans="1:7" ht="11.5" hidden="1" customHeight="1" x14ac:dyDescent="0.35">
      <c r="A357" s="29" t="s">
        <v>585</v>
      </c>
      <c r="B357" s="29" t="s">
        <v>2359</v>
      </c>
      <c r="C357" s="16">
        <v>0</v>
      </c>
      <c r="D357" s="16">
        <v>0</v>
      </c>
      <c r="E357" s="29" t="s">
        <v>42</v>
      </c>
      <c r="F357" s="29" t="s">
        <v>43</v>
      </c>
      <c r="G357" t="e">
        <v>#N/A</v>
      </c>
    </row>
    <row r="358" spans="1:7" ht="11.5" hidden="1" customHeight="1" x14ac:dyDescent="0.35">
      <c r="A358" s="29" t="s">
        <v>586</v>
      </c>
      <c r="B358" s="29" t="s">
        <v>2360</v>
      </c>
      <c r="C358" s="16">
        <v>0</v>
      </c>
      <c r="D358" s="16">
        <v>0</v>
      </c>
      <c r="E358" s="29" t="s">
        <v>42</v>
      </c>
      <c r="F358" s="29" t="s">
        <v>43</v>
      </c>
      <c r="G358" t="e">
        <v>#N/A</v>
      </c>
    </row>
    <row r="359" spans="1:7" ht="11.5" hidden="1" customHeight="1" x14ac:dyDescent="0.35">
      <c r="A359" s="29" t="s">
        <v>587</v>
      </c>
      <c r="B359" s="29" t="s">
        <v>2361</v>
      </c>
      <c r="C359" s="16">
        <v>0</v>
      </c>
      <c r="D359" s="16">
        <v>0</v>
      </c>
      <c r="E359" s="29" t="s">
        <v>42</v>
      </c>
      <c r="F359" s="29" t="s">
        <v>43</v>
      </c>
      <c r="G359" t="e">
        <v>#N/A</v>
      </c>
    </row>
    <row r="360" spans="1:7" ht="11.5" hidden="1" customHeight="1" x14ac:dyDescent="0.35">
      <c r="A360" s="29" t="s">
        <v>588</v>
      </c>
      <c r="B360" s="29" t="s">
        <v>2362</v>
      </c>
      <c r="C360" s="16">
        <v>0</v>
      </c>
      <c r="D360" s="16">
        <v>0</v>
      </c>
      <c r="E360" s="29" t="s">
        <v>42</v>
      </c>
      <c r="F360" s="29" t="s">
        <v>43</v>
      </c>
      <c r="G360" t="e">
        <v>#N/A</v>
      </c>
    </row>
    <row r="361" spans="1:7" ht="11.5" hidden="1" customHeight="1" x14ac:dyDescent="0.35">
      <c r="A361" s="29" t="s">
        <v>589</v>
      </c>
      <c r="B361" s="29" t="s">
        <v>2363</v>
      </c>
      <c r="C361" s="16">
        <v>0</v>
      </c>
      <c r="D361" s="16">
        <v>0</v>
      </c>
      <c r="E361" s="29" t="s">
        <v>42</v>
      </c>
      <c r="F361" s="29" t="s">
        <v>43</v>
      </c>
      <c r="G361" t="e">
        <v>#N/A</v>
      </c>
    </row>
    <row r="362" spans="1:7" ht="11.5" hidden="1" customHeight="1" x14ac:dyDescent="0.35">
      <c r="A362" s="29" t="s">
        <v>590</v>
      </c>
      <c r="B362" s="29" t="s">
        <v>2364</v>
      </c>
      <c r="C362" s="16">
        <v>0</v>
      </c>
      <c r="D362" s="16">
        <v>0</v>
      </c>
      <c r="E362" s="29" t="s">
        <v>42</v>
      </c>
      <c r="F362" s="29" t="s">
        <v>43</v>
      </c>
      <c r="G362" t="e">
        <v>#N/A</v>
      </c>
    </row>
    <row r="363" spans="1:7" ht="11.5" hidden="1" customHeight="1" x14ac:dyDescent="0.35">
      <c r="A363" s="29" t="s">
        <v>591</v>
      </c>
      <c r="B363" s="29" t="s">
        <v>2365</v>
      </c>
      <c r="C363" s="16">
        <v>0</v>
      </c>
      <c r="D363" s="16">
        <v>0</v>
      </c>
      <c r="E363" s="29" t="s">
        <v>42</v>
      </c>
      <c r="F363" s="29" t="s">
        <v>43</v>
      </c>
      <c r="G363" t="e">
        <v>#N/A</v>
      </c>
    </row>
    <row r="364" spans="1:7" ht="11.5" hidden="1" customHeight="1" x14ac:dyDescent="0.35">
      <c r="A364" s="29" t="s">
        <v>592</v>
      </c>
      <c r="B364" s="29" t="s">
        <v>2366</v>
      </c>
      <c r="C364" s="16">
        <v>0</v>
      </c>
      <c r="D364" s="16">
        <v>0</v>
      </c>
      <c r="E364" s="29" t="s">
        <v>42</v>
      </c>
      <c r="F364" s="29" t="s">
        <v>43</v>
      </c>
      <c r="G364" t="e">
        <v>#N/A</v>
      </c>
    </row>
    <row r="365" spans="1:7" ht="11.5" hidden="1" customHeight="1" x14ac:dyDescent="0.35">
      <c r="A365" s="29" t="s">
        <v>593</v>
      </c>
      <c r="B365" s="29" t="s">
        <v>2367</v>
      </c>
      <c r="C365" s="16">
        <v>0</v>
      </c>
      <c r="D365" s="16">
        <v>0</v>
      </c>
      <c r="E365" s="29" t="s">
        <v>42</v>
      </c>
      <c r="F365" s="29" t="s">
        <v>43</v>
      </c>
      <c r="G365" t="e">
        <v>#N/A</v>
      </c>
    </row>
    <row r="366" spans="1:7" ht="11.5" hidden="1" customHeight="1" x14ac:dyDescent="0.35">
      <c r="A366" s="29" t="s">
        <v>594</v>
      </c>
      <c r="B366" s="29" t="s">
        <v>2368</v>
      </c>
      <c r="C366" s="16">
        <v>0</v>
      </c>
      <c r="D366" s="16">
        <v>0</v>
      </c>
      <c r="E366" s="29" t="s">
        <v>42</v>
      </c>
      <c r="F366" s="29" t="s">
        <v>43</v>
      </c>
      <c r="G366" t="e">
        <v>#N/A</v>
      </c>
    </row>
    <row r="367" spans="1:7" ht="11.5" hidden="1" customHeight="1" x14ac:dyDescent="0.35">
      <c r="A367" s="29" t="s">
        <v>595</v>
      </c>
      <c r="B367" s="29" t="s">
        <v>2369</v>
      </c>
      <c r="C367" s="16">
        <v>0</v>
      </c>
      <c r="D367" s="16">
        <v>0</v>
      </c>
      <c r="E367" s="29" t="s">
        <v>42</v>
      </c>
      <c r="F367" s="29" t="s">
        <v>43</v>
      </c>
      <c r="G367" t="e">
        <v>#N/A</v>
      </c>
    </row>
    <row r="368" spans="1:7" ht="11.5" hidden="1" customHeight="1" x14ac:dyDescent="0.35">
      <c r="A368" s="29" t="s">
        <v>596</v>
      </c>
      <c r="B368" s="29" t="s">
        <v>2370</v>
      </c>
      <c r="C368" s="16">
        <v>0</v>
      </c>
      <c r="D368" s="16">
        <v>0</v>
      </c>
      <c r="E368" s="29" t="s">
        <v>42</v>
      </c>
      <c r="F368" s="29" t="s">
        <v>43</v>
      </c>
      <c r="G368" t="e">
        <v>#N/A</v>
      </c>
    </row>
    <row r="369" spans="1:7" ht="11.5" hidden="1" customHeight="1" x14ac:dyDescent="0.35">
      <c r="A369" s="29" t="s">
        <v>597</v>
      </c>
      <c r="B369" s="29" t="s">
        <v>2371</v>
      </c>
      <c r="C369" s="16">
        <v>0</v>
      </c>
      <c r="D369" s="16">
        <v>0</v>
      </c>
      <c r="E369" s="29" t="s">
        <v>42</v>
      </c>
      <c r="F369" s="29" t="s">
        <v>43</v>
      </c>
      <c r="G369" t="e">
        <v>#N/A</v>
      </c>
    </row>
    <row r="370" spans="1:7" ht="11.5" hidden="1" customHeight="1" x14ac:dyDescent="0.35">
      <c r="A370" s="29" t="s">
        <v>598</v>
      </c>
      <c r="B370" s="29" t="s">
        <v>2372</v>
      </c>
      <c r="C370" s="16">
        <v>0</v>
      </c>
      <c r="D370" s="16">
        <v>0</v>
      </c>
      <c r="E370" s="29" t="s">
        <v>42</v>
      </c>
      <c r="F370" s="29" t="s">
        <v>43</v>
      </c>
      <c r="G370" t="e">
        <v>#N/A</v>
      </c>
    </row>
    <row r="371" spans="1:7" ht="11.5" hidden="1" customHeight="1" x14ac:dyDescent="0.35">
      <c r="A371" s="29" t="s">
        <v>599</v>
      </c>
      <c r="B371" s="29" t="s">
        <v>2373</v>
      </c>
      <c r="C371" s="16">
        <v>0</v>
      </c>
      <c r="D371" s="16">
        <v>0</v>
      </c>
      <c r="E371" s="29" t="s">
        <v>42</v>
      </c>
      <c r="F371" s="29" t="s">
        <v>43</v>
      </c>
      <c r="G371" t="e">
        <v>#N/A</v>
      </c>
    </row>
    <row r="372" spans="1:7" ht="11.5" hidden="1" customHeight="1" x14ac:dyDescent="0.35">
      <c r="A372" s="29" t="s">
        <v>600</v>
      </c>
      <c r="B372" s="29" t="s">
        <v>2374</v>
      </c>
      <c r="C372" s="16">
        <v>0</v>
      </c>
      <c r="D372" s="16">
        <v>0</v>
      </c>
      <c r="E372" s="29" t="s">
        <v>42</v>
      </c>
      <c r="F372" s="29" t="s">
        <v>43</v>
      </c>
      <c r="G372" t="e">
        <v>#N/A</v>
      </c>
    </row>
    <row r="373" spans="1:7" ht="11.5" hidden="1" customHeight="1" x14ac:dyDescent="0.35">
      <c r="A373" s="29" t="s">
        <v>601</v>
      </c>
      <c r="B373" s="29" t="s">
        <v>2375</v>
      </c>
      <c r="C373" s="16">
        <v>0</v>
      </c>
      <c r="D373" s="16">
        <v>0</v>
      </c>
      <c r="E373" s="29" t="s">
        <v>42</v>
      </c>
      <c r="F373" s="29" t="s">
        <v>43</v>
      </c>
      <c r="G373" t="e">
        <v>#N/A</v>
      </c>
    </row>
    <row r="374" spans="1:7" ht="11.5" hidden="1" customHeight="1" x14ac:dyDescent="0.35">
      <c r="A374" s="29" t="s">
        <v>602</v>
      </c>
      <c r="B374" s="29" t="s">
        <v>2376</v>
      </c>
      <c r="C374" s="16">
        <v>0</v>
      </c>
      <c r="D374" s="16">
        <v>0</v>
      </c>
      <c r="E374" s="29" t="s">
        <v>42</v>
      </c>
      <c r="F374" s="29" t="s">
        <v>43</v>
      </c>
      <c r="G374" t="e">
        <v>#N/A</v>
      </c>
    </row>
    <row r="375" spans="1:7" ht="11.5" hidden="1" customHeight="1" x14ac:dyDescent="0.35">
      <c r="A375" s="29" t="s">
        <v>603</v>
      </c>
      <c r="B375" s="29" t="s">
        <v>2377</v>
      </c>
      <c r="C375" s="16">
        <v>0</v>
      </c>
      <c r="D375" s="16">
        <v>0</v>
      </c>
      <c r="E375" s="29" t="s">
        <v>42</v>
      </c>
      <c r="F375" s="29" t="s">
        <v>43</v>
      </c>
      <c r="G375" t="e">
        <v>#N/A</v>
      </c>
    </row>
    <row r="376" spans="1:7" ht="11.5" hidden="1" customHeight="1" x14ac:dyDescent="0.35">
      <c r="A376" s="29" t="s">
        <v>604</v>
      </c>
      <c r="B376" s="29" t="s">
        <v>2378</v>
      </c>
      <c r="C376" s="16">
        <v>0</v>
      </c>
      <c r="D376" s="16">
        <v>0</v>
      </c>
      <c r="E376" s="29" t="s">
        <v>42</v>
      </c>
      <c r="F376" s="29" t="s">
        <v>43</v>
      </c>
      <c r="G376" t="e">
        <v>#N/A</v>
      </c>
    </row>
    <row r="377" spans="1:7" ht="11.5" hidden="1" customHeight="1" x14ac:dyDescent="0.35">
      <c r="A377" s="29" t="s">
        <v>605</v>
      </c>
      <c r="B377" s="29" t="s">
        <v>2379</v>
      </c>
      <c r="C377" s="16">
        <v>0</v>
      </c>
      <c r="D377" s="16">
        <v>0</v>
      </c>
      <c r="E377" s="29" t="s">
        <v>42</v>
      </c>
      <c r="F377" s="29" t="s">
        <v>43</v>
      </c>
      <c r="G377" t="e">
        <v>#N/A</v>
      </c>
    </row>
    <row r="378" spans="1:7" ht="11.5" hidden="1" customHeight="1" x14ac:dyDescent="0.35">
      <c r="A378" s="29" t="s">
        <v>606</v>
      </c>
      <c r="B378" s="29" t="s">
        <v>2380</v>
      </c>
      <c r="C378" s="16">
        <v>0</v>
      </c>
      <c r="D378" s="16">
        <v>0</v>
      </c>
      <c r="E378" s="29" t="s">
        <v>42</v>
      </c>
      <c r="F378" s="29" t="s">
        <v>43</v>
      </c>
      <c r="G378" t="e">
        <v>#N/A</v>
      </c>
    </row>
    <row r="379" spans="1:7" ht="11.5" hidden="1" customHeight="1" x14ac:dyDescent="0.35">
      <c r="A379" s="29" t="s">
        <v>607</v>
      </c>
      <c r="B379" s="29" t="s">
        <v>2381</v>
      </c>
      <c r="C379" s="16">
        <v>0</v>
      </c>
      <c r="D379" s="16">
        <v>0</v>
      </c>
      <c r="E379" s="29" t="s">
        <v>42</v>
      </c>
      <c r="F379" s="29" t="s">
        <v>43</v>
      </c>
      <c r="G379" t="e">
        <v>#N/A</v>
      </c>
    </row>
    <row r="380" spans="1:7" ht="11.5" hidden="1" customHeight="1" x14ac:dyDescent="0.35">
      <c r="A380" s="29" t="s">
        <v>608</v>
      </c>
      <c r="B380" s="29" t="s">
        <v>2382</v>
      </c>
      <c r="C380" s="16">
        <v>0</v>
      </c>
      <c r="D380" s="16">
        <v>0</v>
      </c>
      <c r="E380" s="29" t="s">
        <v>42</v>
      </c>
      <c r="F380" s="29" t="s">
        <v>43</v>
      </c>
      <c r="G380" t="e">
        <v>#N/A</v>
      </c>
    </row>
    <row r="381" spans="1:7" ht="11.5" hidden="1" customHeight="1" x14ac:dyDescent="0.35">
      <c r="A381" s="29" t="s">
        <v>609</v>
      </c>
      <c r="B381" s="29" t="s">
        <v>2383</v>
      </c>
      <c r="C381" s="16">
        <v>0</v>
      </c>
      <c r="D381" s="16">
        <v>0</v>
      </c>
      <c r="E381" s="29" t="s">
        <v>42</v>
      </c>
      <c r="F381" s="29" t="s">
        <v>43</v>
      </c>
      <c r="G381" t="e">
        <v>#N/A</v>
      </c>
    </row>
    <row r="382" spans="1:7" ht="11.5" hidden="1" customHeight="1" x14ac:dyDescent="0.35">
      <c r="A382" s="29" t="s">
        <v>610</v>
      </c>
      <c r="B382" s="29" t="s">
        <v>2384</v>
      </c>
      <c r="C382" s="16">
        <v>0</v>
      </c>
      <c r="D382" s="16">
        <v>0</v>
      </c>
      <c r="E382" s="29" t="s">
        <v>42</v>
      </c>
      <c r="F382" s="29" t="s">
        <v>43</v>
      </c>
      <c r="G382" t="e">
        <v>#N/A</v>
      </c>
    </row>
    <row r="383" spans="1:7" ht="11.5" hidden="1" customHeight="1" x14ac:dyDescent="0.35">
      <c r="A383" s="29" t="s">
        <v>611</v>
      </c>
      <c r="B383" s="29" t="s">
        <v>2385</v>
      </c>
      <c r="C383" s="16">
        <v>0</v>
      </c>
      <c r="D383" s="16">
        <v>0</v>
      </c>
      <c r="E383" s="29" t="s">
        <v>42</v>
      </c>
      <c r="F383" s="29" t="s">
        <v>43</v>
      </c>
      <c r="G383" t="e">
        <v>#N/A</v>
      </c>
    </row>
    <row r="384" spans="1:7" ht="11.5" hidden="1" customHeight="1" x14ac:dyDescent="0.35">
      <c r="A384" s="29" t="s">
        <v>612</v>
      </c>
      <c r="B384" s="29" t="s">
        <v>2386</v>
      </c>
      <c r="C384" s="16">
        <v>0</v>
      </c>
      <c r="D384" s="16">
        <v>0</v>
      </c>
      <c r="E384" s="29" t="s">
        <v>42</v>
      </c>
      <c r="F384" s="29" t="s">
        <v>43</v>
      </c>
      <c r="G384" t="e">
        <v>#N/A</v>
      </c>
    </row>
    <row r="385" spans="1:7" ht="11.5" hidden="1" customHeight="1" x14ac:dyDescent="0.35">
      <c r="A385" s="29" t="s">
        <v>613</v>
      </c>
      <c r="B385" s="29" t="s">
        <v>2387</v>
      </c>
      <c r="C385" s="16">
        <v>0</v>
      </c>
      <c r="D385" s="16">
        <v>0</v>
      </c>
      <c r="E385" s="29" t="s">
        <v>42</v>
      </c>
      <c r="F385" s="29" t="s">
        <v>43</v>
      </c>
      <c r="G385" t="e">
        <v>#N/A</v>
      </c>
    </row>
    <row r="386" spans="1:7" ht="11.5" hidden="1" customHeight="1" x14ac:dyDescent="0.35">
      <c r="A386" s="29" t="s">
        <v>614</v>
      </c>
      <c r="B386" s="29" t="s">
        <v>2388</v>
      </c>
      <c r="C386" s="16">
        <v>0</v>
      </c>
      <c r="D386" s="16">
        <v>0</v>
      </c>
      <c r="E386" s="29" t="s">
        <v>42</v>
      </c>
      <c r="F386" s="29" t="s">
        <v>43</v>
      </c>
      <c r="G386" t="e">
        <v>#N/A</v>
      </c>
    </row>
    <row r="387" spans="1:7" ht="11.5" hidden="1" customHeight="1" x14ac:dyDescent="0.35">
      <c r="A387" s="29" t="s">
        <v>615</v>
      </c>
      <c r="B387" s="29" t="s">
        <v>2389</v>
      </c>
      <c r="C387" s="16">
        <v>0</v>
      </c>
      <c r="D387" s="16">
        <v>0</v>
      </c>
      <c r="E387" s="29" t="s">
        <v>42</v>
      </c>
      <c r="F387" s="29" t="s">
        <v>43</v>
      </c>
      <c r="G387" t="e">
        <v>#N/A</v>
      </c>
    </row>
    <row r="388" spans="1:7" ht="11.5" hidden="1" customHeight="1" x14ac:dyDescent="0.35">
      <c r="A388" s="29" t="s">
        <v>616</v>
      </c>
      <c r="B388" s="29" t="s">
        <v>2390</v>
      </c>
      <c r="C388" s="16">
        <v>0</v>
      </c>
      <c r="D388" s="16">
        <v>0</v>
      </c>
      <c r="E388" s="29" t="s">
        <v>42</v>
      </c>
      <c r="F388" s="29" t="s">
        <v>43</v>
      </c>
      <c r="G388" t="e">
        <v>#N/A</v>
      </c>
    </row>
    <row r="389" spans="1:7" ht="11.5" hidden="1" customHeight="1" x14ac:dyDescent="0.35">
      <c r="A389" s="29" t="s">
        <v>617</v>
      </c>
      <c r="B389" s="29" t="s">
        <v>2391</v>
      </c>
      <c r="C389" s="16">
        <v>0</v>
      </c>
      <c r="D389" s="16">
        <v>0</v>
      </c>
      <c r="E389" s="29" t="s">
        <v>42</v>
      </c>
      <c r="F389" s="29" t="s">
        <v>43</v>
      </c>
      <c r="G389" t="e">
        <v>#N/A</v>
      </c>
    </row>
    <row r="390" spans="1:7" ht="11.5" hidden="1" customHeight="1" x14ac:dyDescent="0.35">
      <c r="A390" s="29" t="s">
        <v>618</v>
      </c>
      <c r="B390" s="29" t="s">
        <v>2392</v>
      </c>
      <c r="C390" s="16">
        <v>0</v>
      </c>
      <c r="D390" s="16">
        <v>0</v>
      </c>
      <c r="E390" s="29" t="s">
        <v>42</v>
      </c>
      <c r="F390" s="29" t="s">
        <v>43</v>
      </c>
      <c r="G390" t="e">
        <v>#N/A</v>
      </c>
    </row>
    <row r="391" spans="1:7" ht="11.5" hidden="1" customHeight="1" x14ac:dyDescent="0.35">
      <c r="A391" s="29" t="s">
        <v>619</v>
      </c>
      <c r="B391" s="29" t="s">
        <v>2393</v>
      </c>
      <c r="C391" s="16">
        <v>0</v>
      </c>
      <c r="D391" s="16">
        <v>0</v>
      </c>
      <c r="E391" s="29" t="s">
        <v>42</v>
      </c>
      <c r="F391" s="29" t="s">
        <v>43</v>
      </c>
      <c r="G391" t="e">
        <v>#N/A</v>
      </c>
    </row>
    <row r="392" spans="1:7" ht="11.5" hidden="1" customHeight="1" x14ac:dyDescent="0.35">
      <c r="A392" s="29" t="s">
        <v>620</v>
      </c>
      <c r="B392" s="29" t="s">
        <v>2394</v>
      </c>
      <c r="C392" s="16">
        <v>0</v>
      </c>
      <c r="D392" s="16">
        <v>0</v>
      </c>
      <c r="E392" s="29" t="s">
        <v>42</v>
      </c>
      <c r="F392" s="29" t="s">
        <v>43</v>
      </c>
      <c r="G392" t="e">
        <v>#N/A</v>
      </c>
    </row>
    <row r="393" spans="1:7" ht="11.5" hidden="1" customHeight="1" x14ac:dyDescent="0.35">
      <c r="A393" s="29" t="s">
        <v>621</v>
      </c>
      <c r="B393" s="29" t="s">
        <v>2395</v>
      </c>
      <c r="C393" s="16">
        <v>0</v>
      </c>
      <c r="D393" s="16">
        <v>0</v>
      </c>
      <c r="E393" s="29" t="s">
        <v>42</v>
      </c>
      <c r="F393" s="29" t="s">
        <v>43</v>
      </c>
      <c r="G393" t="e">
        <v>#N/A</v>
      </c>
    </row>
    <row r="394" spans="1:7" ht="11.5" hidden="1" customHeight="1" x14ac:dyDescent="0.35">
      <c r="A394" s="29" t="s">
        <v>622</v>
      </c>
      <c r="B394" s="29" t="s">
        <v>2396</v>
      </c>
      <c r="C394" s="16">
        <v>0</v>
      </c>
      <c r="D394" s="16">
        <v>0</v>
      </c>
      <c r="E394" s="29" t="s">
        <v>42</v>
      </c>
      <c r="F394" s="29" t="s">
        <v>43</v>
      </c>
      <c r="G394" t="e">
        <v>#N/A</v>
      </c>
    </row>
    <row r="395" spans="1:7" ht="11.5" hidden="1" customHeight="1" x14ac:dyDescent="0.35">
      <c r="A395" s="29" t="s">
        <v>623</v>
      </c>
      <c r="B395" s="29" t="s">
        <v>2397</v>
      </c>
      <c r="C395" s="16">
        <v>0</v>
      </c>
      <c r="D395" s="16">
        <v>0</v>
      </c>
      <c r="E395" s="29" t="s">
        <v>42</v>
      </c>
      <c r="F395" s="29" t="s">
        <v>43</v>
      </c>
      <c r="G395" t="e">
        <v>#N/A</v>
      </c>
    </row>
    <row r="396" spans="1:7" ht="11.5" hidden="1" customHeight="1" x14ac:dyDescent="0.35">
      <c r="A396" s="29" t="s">
        <v>624</v>
      </c>
      <c r="B396" s="29" t="s">
        <v>2398</v>
      </c>
      <c r="C396" s="16">
        <v>0</v>
      </c>
      <c r="D396" s="16">
        <v>0</v>
      </c>
      <c r="E396" s="29" t="s">
        <v>42</v>
      </c>
      <c r="F396" s="29" t="s">
        <v>43</v>
      </c>
      <c r="G396" t="e">
        <v>#N/A</v>
      </c>
    </row>
    <row r="397" spans="1:7" ht="11.5" hidden="1" customHeight="1" x14ac:dyDescent="0.35">
      <c r="A397" s="29" t="s">
        <v>625</v>
      </c>
      <c r="B397" s="29" t="s">
        <v>2399</v>
      </c>
      <c r="C397" s="16">
        <v>0</v>
      </c>
      <c r="D397" s="16">
        <v>0</v>
      </c>
      <c r="E397" s="29" t="s">
        <v>42</v>
      </c>
      <c r="F397" s="29" t="s">
        <v>43</v>
      </c>
      <c r="G397" t="e">
        <v>#N/A</v>
      </c>
    </row>
    <row r="398" spans="1:7" ht="11.5" hidden="1" customHeight="1" x14ac:dyDescent="0.35">
      <c r="A398" s="29" t="s">
        <v>626</v>
      </c>
      <c r="B398" s="29" t="s">
        <v>2400</v>
      </c>
      <c r="C398" s="16">
        <v>0</v>
      </c>
      <c r="D398" s="16">
        <v>0</v>
      </c>
      <c r="E398" s="29" t="s">
        <v>42</v>
      </c>
      <c r="F398" s="29" t="s">
        <v>43</v>
      </c>
      <c r="G398" t="e">
        <v>#N/A</v>
      </c>
    </row>
    <row r="399" spans="1:7" ht="11.5" hidden="1" customHeight="1" x14ac:dyDescent="0.35">
      <c r="A399" s="29" t="s">
        <v>627</v>
      </c>
      <c r="B399" s="29" t="s">
        <v>2401</v>
      </c>
      <c r="C399" s="16">
        <v>0</v>
      </c>
      <c r="D399" s="16">
        <v>0</v>
      </c>
      <c r="E399" s="29" t="s">
        <v>42</v>
      </c>
      <c r="F399" s="29" t="s">
        <v>43</v>
      </c>
      <c r="G399" t="e">
        <v>#N/A</v>
      </c>
    </row>
    <row r="400" spans="1:7" ht="11.5" hidden="1" customHeight="1" x14ac:dyDescent="0.35">
      <c r="A400" s="29" t="s">
        <v>628</v>
      </c>
      <c r="B400" s="29" t="s">
        <v>2402</v>
      </c>
      <c r="C400" s="16">
        <v>0</v>
      </c>
      <c r="D400" s="16">
        <v>0</v>
      </c>
      <c r="E400" s="29" t="s">
        <v>42</v>
      </c>
      <c r="F400" s="29" t="s">
        <v>43</v>
      </c>
      <c r="G400" t="e">
        <v>#N/A</v>
      </c>
    </row>
    <row r="401" spans="1:7" ht="11.5" hidden="1" customHeight="1" x14ac:dyDescent="0.35">
      <c r="A401" s="29" t="s">
        <v>629</v>
      </c>
      <c r="B401" s="29" t="s">
        <v>2403</v>
      </c>
      <c r="C401" s="16">
        <v>0</v>
      </c>
      <c r="D401" s="16">
        <v>0</v>
      </c>
      <c r="E401" s="29" t="s">
        <v>42</v>
      </c>
      <c r="F401" s="29" t="s">
        <v>43</v>
      </c>
      <c r="G401" t="e">
        <v>#N/A</v>
      </c>
    </row>
    <row r="402" spans="1:7" ht="11.5" hidden="1" customHeight="1" x14ac:dyDescent="0.35">
      <c r="A402" s="29" t="s">
        <v>630</v>
      </c>
      <c r="B402" s="29" t="s">
        <v>2404</v>
      </c>
      <c r="C402" s="16">
        <v>0</v>
      </c>
      <c r="D402" s="16">
        <v>0</v>
      </c>
      <c r="E402" s="29" t="s">
        <v>42</v>
      </c>
      <c r="F402" s="29" t="s">
        <v>43</v>
      </c>
      <c r="G402" t="e">
        <v>#N/A</v>
      </c>
    </row>
    <row r="403" spans="1:7" ht="11.5" hidden="1" customHeight="1" x14ac:dyDescent="0.35">
      <c r="A403" s="29" t="s">
        <v>631</v>
      </c>
      <c r="B403" s="29" t="s">
        <v>2405</v>
      </c>
      <c r="C403" s="16">
        <v>0</v>
      </c>
      <c r="D403" s="16">
        <v>0</v>
      </c>
      <c r="E403" s="29" t="s">
        <v>42</v>
      </c>
      <c r="F403" s="29" t="s">
        <v>43</v>
      </c>
      <c r="G403" t="e">
        <v>#N/A</v>
      </c>
    </row>
    <row r="404" spans="1:7" ht="11.5" hidden="1" customHeight="1" x14ac:dyDescent="0.35">
      <c r="A404" s="29" t="s">
        <v>632</v>
      </c>
      <c r="B404" s="29" t="s">
        <v>2406</v>
      </c>
      <c r="C404" s="16">
        <v>0</v>
      </c>
      <c r="D404" s="16">
        <v>0</v>
      </c>
      <c r="E404" s="29" t="s">
        <v>42</v>
      </c>
      <c r="F404" s="29" t="s">
        <v>43</v>
      </c>
      <c r="G404" t="e">
        <v>#N/A</v>
      </c>
    </row>
    <row r="405" spans="1:7" ht="11.5" hidden="1" customHeight="1" x14ac:dyDescent="0.35">
      <c r="A405" s="29" t="s">
        <v>633</v>
      </c>
      <c r="B405" s="29" t="s">
        <v>2407</v>
      </c>
      <c r="C405" s="16">
        <v>0</v>
      </c>
      <c r="D405" s="16">
        <v>0</v>
      </c>
      <c r="E405" s="29" t="s">
        <v>42</v>
      </c>
      <c r="F405" s="29" t="s">
        <v>43</v>
      </c>
      <c r="G405" t="e">
        <v>#N/A</v>
      </c>
    </row>
    <row r="406" spans="1:7" ht="11.5" hidden="1" customHeight="1" x14ac:dyDescent="0.35">
      <c r="A406" s="29" t="s">
        <v>634</v>
      </c>
      <c r="B406" s="29" t="s">
        <v>2408</v>
      </c>
      <c r="C406" s="16">
        <v>0</v>
      </c>
      <c r="D406" s="16">
        <v>0</v>
      </c>
      <c r="E406" s="29" t="s">
        <v>42</v>
      </c>
      <c r="F406" s="29" t="s">
        <v>43</v>
      </c>
      <c r="G406" t="e">
        <v>#N/A</v>
      </c>
    </row>
    <row r="407" spans="1:7" ht="11.5" hidden="1" customHeight="1" x14ac:dyDescent="0.35">
      <c r="A407" s="29" t="s">
        <v>635</v>
      </c>
      <c r="B407" s="29" t="s">
        <v>2409</v>
      </c>
      <c r="C407" s="16">
        <v>0</v>
      </c>
      <c r="D407" s="16">
        <v>0</v>
      </c>
      <c r="E407" s="29" t="s">
        <v>42</v>
      </c>
      <c r="F407" s="29" t="s">
        <v>43</v>
      </c>
      <c r="G407" t="e">
        <v>#N/A</v>
      </c>
    </row>
    <row r="408" spans="1:7" ht="11.5" hidden="1" customHeight="1" x14ac:dyDescent="0.35">
      <c r="A408" s="29" t="s">
        <v>636</v>
      </c>
      <c r="B408" s="29" t="s">
        <v>2410</v>
      </c>
      <c r="C408" s="16">
        <v>0</v>
      </c>
      <c r="D408" s="16">
        <v>0</v>
      </c>
      <c r="E408" s="29" t="s">
        <v>42</v>
      </c>
      <c r="F408" s="29" t="s">
        <v>43</v>
      </c>
      <c r="G408" t="s">
        <v>3898</v>
      </c>
    </row>
    <row r="409" spans="1:7" ht="11.5" hidden="1" customHeight="1" x14ac:dyDescent="0.35">
      <c r="A409" s="29" t="s">
        <v>637</v>
      </c>
      <c r="B409" s="29" t="s">
        <v>2411</v>
      </c>
      <c r="C409" s="16">
        <v>0</v>
      </c>
      <c r="D409" s="16">
        <v>0</v>
      </c>
      <c r="E409" s="29" t="s">
        <v>42</v>
      </c>
      <c r="F409" s="29" t="s">
        <v>43</v>
      </c>
      <c r="G409" t="e">
        <v>#N/A</v>
      </c>
    </row>
    <row r="410" spans="1:7" ht="11.5" hidden="1" customHeight="1" x14ac:dyDescent="0.35">
      <c r="A410" s="29" t="s">
        <v>638</v>
      </c>
      <c r="B410" s="29" t="s">
        <v>2412</v>
      </c>
      <c r="C410" s="16">
        <v>0</v>
      </c>
      <c r="D410" s="16">
        <v>0</v>
      </c>
      <c r="E410" s="29" t="s">
        <v>42</v>
      </c>
      <c r="F410" s="29" t="s">
        <v>43</v>
      </c>
      <c r="G410" t="e">
        <v>#N/A</v>
      </c>
    </row>
    <row r="411" spans="1:7" ht="11.5" hidden="1" customHeight="1" x14ac:dyDescent="0.35">
      <c r="A411" s="29" t="s">
        <v>639</v>
      </c>
      <c r="B411" s="29" t="s">
        <v>2413</v>
      </c>
      <c r="C411" s="16">
        <v>0</v>
      </c>
      <c r="D411" s="16">
        <v>0</v>
      </c>
      <c r="E411" s="29" t="s">
        <v>42</v>
      </c>
      <c r="F411" s="29" t="s">
        <v>43</v>
      </c>
      <c r="G411" t="e">
        <v>#N/A</v>
      </c>
    </row>
    <row r="412" spans="1:7" ht="11.5" hidden="1" customHeight="1" x14ac:dyDescent="0.35">
      <c r="A412" s="29" t="s">
        <v>640</v>
      </c>
      <c r="B412" s="29" t="s">
        <v>2414</v>
      </c>
      <c r="C412" s="16">
        <v>0</v>
      </c>
      <c r="D412" s="16">
        <v>0</v>
      </c>
      <c r="E412" s="29" t="s">
        <v>42</v>
      </c>
      <c r="F412" s="29" t="s">
        <v>43</v>
      </c>
      <c r="G412" t="e">
        <v>#N/A</v>
      </c>
    </row>
    <row r="413" spans="1:7" ht="11.5" hidden="1" customHeight="1" x14ac:dyDescent="0.35">
      <c r="A413" s="29" t="s">
        <v>641</v>
      </c>
      <c r="B413" s="29" t="s">
        <v>2415</v>
      </c>
      <c r="C413" s="16">
        <v>0</v>
      </c>
      <c r="D413" s="16">
        <v>0</v>
      </c>
      <c r="E413" s="29" t="s">
        <v>42</v>
      </c>
      <c r="F413" s="29" t="s">
        <v>43</v>
      </c>
      <c r="G413" t="e">
        <v>#N/A</v>
      </c>
    </row>
    <row r="414" spans="1:7" ht="11.5" hidden="1" customHeight="1" x14ac:dyDescent="0.35">
      <c r="A414" s="29" t="s">
        <v>642</v>
      </c>
      <c r="B414" s="29" t="s">
        <v>2416</v>
      </c>
      <c r="C414" s="16">
        <v>0</v>
      </c>
      <c r="D414" s="16">
        <v>0</v>
      </c>
      <c r="E414" s="29" t="s">
        <v>42</v>
      </c>
      <c r="F414" s="29" t="s">
        <v>43</v>
      </c>
      <c r="G414" t="e">
        <v>#N/A</v>
      </c>
    </row>
    <row r="415" spans="1:7" ht="11.5" hidden="1" customHeight="1" x14ac:dyDescent="0.35">
      <c r="A415" s="29" t="s">
        <v>643</v>
      </c>
      <c r="B415" s="29" t="s">
        <v>2417</v>
      </c>
      <c r="C415" s="16">
        <v>0</v>
      </c>
      <c r="D415" s="16">
        <v>0</v>
      </c>
      <c r="E415" s="29" t="s">
        <v>42</v>
      </c>
      <c r="F415" s="29" t="s">
        <v>43</v>
      </c>
      <c r="G415" t="e">
        <v>#N/A</v>
      </c>
    </row>
    <row r="416" spans="1:7" ht="11.5" hidden="1" customHeight="1" x14ac:dyDescent="0.35">
      <c r="A416" s="29" t="s">
        <v>644</v>
      </c>
      <c r="B416" s="29" t="s">
        <v>2418</v>
      </c>
      <c r="C416" s="16">
        <v>0</v>
      </c>
      <c r="D416" s="16">
        <v>0</v>
      </c>
      <c r="E416" s="29" t="s">
        <v>42</v>
      </c>
      <c r="F416" s="29" t="s">
        <v>43</v>
      </c>
      <c r="G416" t="e">
        <v>#N/A</v>
      </c>
    </row>
    <row r="417" spans="1:7" ht="11.5" hidden="1" customHeight="1" x14ac:dyDescent="0.35">
      <c r="A417" s="29" t="s">
        <v>645</v>
      </c>
      <c r="B417" s="29" t="s">
        <v>2419</v>
      </c>
      <c r="C417" s="16">
        <v>0</v>
      </c>
      <c r="D417" s="16">
        <v>0</v>
      </c>
      <c r="E417" s="29" t="s">
        <v>42</v>
      </c>
      <c r="F417" s="29" t="s">
        <v>43</v>
      </c>
      <c r="G417" t="e">
        <v>#N/A</v>
      </c>
    </row>
    <row r="418" spans="1:7" ht="11.5" hidden="1" customHeight="1" x14ac:dyDescent="0.35">
      <c r="A418" s="29" t="s">
        <v>646</v>
      </c>
      <c r="B418" s="29" t="s">
        <v>2419</v>
      </c>
      <c r="C418" s="16">
        <v>0</v>
      </c>
      <c r="D418" s="16">
        <v>0</v>
      </c>
      <c r="E418" s="29" t="s">
        <v>42</v>
      </c>
      <c r="F418" s="29" t="s">
        <v>43</v>
      </c>
      <c r="G418" t="e">
        <v>#N/A</v>
      </c>
    </row>
    <row r="419" spans="1:7" ht="11.5" hidden="1" customHeight="1" x14ac:dyDescent="0.35">
      <c r="A419" s="29" t="s">
        <v>647</v>
      </c>
      <c r="B419" s="29" t="s">
        <v>2420</v>
      </c>
      <c r="C419" s="16">
        <v>0</v>
      </c>
      <c r="D419" s="16">
        <v>0</v>
      </c>
      <c r="E419" s="29" t="s">
        <v>42</v>
      </c>
      <c r="F419" s="29" t="s">
        <v>43</v>
      </c>
      <c r="G419" t="e">
        <v>#N/A</v>
      </c>
    </row>
    <row r="420" spans="1:7" ht="11.5" hidden="1" customHeight="1" x14ac:dyDescent="0.35">
      <c r="A420" s="29" t="s">
        <v>648</v>
      </c>
      <c r="B420" s="29" t="s">
        <v>2421</v>
      </c>
      <c r="C420" s="16">
        <v>0</v>
      </c>
      <c r="D420" s="16">
        <v>0</v>
      </c>
      <c r="E420" s="29" t="s">
        <v>42</v>
      </c>
      <c r="F420" s="29" t="s">
        <v>43</v>
      </c>
      <c r="G420" t="e">
        <v>#N/A</v>
      </c>
    </row>
    <row r="421" spans="1:7" ht="11.5" hidden="1" customHeight="1" x14ac:dyDescent="0.35">
      <c r="A421" s="29" t="s">
        <v>649</v>
      </c>
      <c r="B421" s="29" t="s">
        <v>2422</v>
      </c>
      <c r="C421" s="16">
        <v>0</v>
      </c>
      <c r="D421" s="16">
        <v>0</v>
      </c>
      <c r="E421" s="29" t="s">
        <v>42</v>
      </c>
      <c r="F421" s="29" t="s">
        <v>43</v>
      </c>
      <c r="G421" t="e">
        <v>#N/A</v>
      </c>
    </row>
    <row r="422" spans="1:7" ht="11.5" hidden="1" customHeight="1" x14ac:dyDescent="0.35">
      <c r="A422" s="29" t="s">
        <v>650</v>
      </c>
      <c r="B422" s="29" t="s">
        <v>2423</v>
      </c>
      <c r="C422" s="16">
        <v>0</v>
      </c>
      <c r="D422" s="16">
        <v>0</v>
      </c>
      <c r="E422" s="29" t="s">
        <v>42</v>
      </c>
      <c r="F422" s="29" t="s">
        <v>43</v>
      </c>
      <c r="G422" t="e">
        <v>#N/A</v>
      </c>
    </row>
    <row r="423" spans="1:7" ht="11.5" hidden="1" customHeight="1" x14ac:dyDescent="0.35">
      <c r="A423" s="29" t="s">
        <v>651</v>
      </c>
      <c r="B423" s="29" t="s">
        <v>2424</v>
      </c>
      <c r="C423" s="16">
        <v>0</v>
      </c>
      <c r="D423" s="16">
        <v>0</v>
      </c>
      <c r="E423" s="29" t="s">
        <v>42</v>
      </c>
      <c r="F423" s="29" t="s">
        <v>43</v>
      </c>
      <c r="G423" t="e">
        <v>#N/A</v>
      </c>
    </row>
    <row r="424" spans="1:7" ht="11.5" hidden="1" customHeight="1" x14ac:dyDescent="0.35">
      <c r="A424" s="29" t="s">
        <v>652</v>
      </c>
      <c r="B424" s="29" t="s">
        <v>2425</v>
      </c>
      <c r="C424" s="16">
        <v>0</v>
      </c>
      <c r="D424" s="16">
        <v>0</v>
      </c>
      <c r="E424" s="29" t="s">
        <v>42</v>
      </c>
      <c r="F424" s="29" t="s">
        <v>43</v>
      </c>
      <c r="G424" t="e">
        <v>#N/A</v>
      </c>
    </row>
    <row r="425" spans="1:7" ht="11.5" hidden="1" customHeight="1" x14ac:dyDescent="0.35">
      <c r="A425" s="29" t="s">
        <v>653</v>
      </c>
      <c r="B425" s="29" t="s">
        <v>2426</v>
      </c>
      <c r="C425" s="16">
        <v>0</v>
      </c>
      <c r="D425" s="16">
        <v>0</v>
      </c>
      <c r="E425" s="29" t="s">
        <v>42</v>
      </c>
      <c r="F425" s="29" t="s">
        <v>43</v>
      </c>
      <c r="G425" t="e">
        <v>#N/A</v>
      </c>
    </row>
    <row r="426" spans="1:7" ht="11.5" hidden="1" customHeight="1" x14ac:dyDescent="0.35">
      <c r="A426" s="29" t="s">
        <v>654</v>
      </c>
      <c r="B426" s="29" t="s">
        <v>2427</v>
      </c>
      <c r="C426" s="16">
        <v>0</v>
      </c>
      <c r="D426" s="16">
        <v>0</v>
      </c>
      <c r="E426" s="29" t="s">
        <v>42</v>
      </c>
      <c r="F426" s="29" t="s">
        <v>43</v>
      </c>
      <c r="G426" t="e">
        <v>#N/A</v>
      </c>
    </row>
    <row r="427" spans="1:7" ht="11.5" hidden="1" customHeight="1" x14ac:dyDescent="0.35">
      <c r="A427" s="29" t="s">
        <v>655</v>
      </c>
      <c r="B427" s="29" t="s">
        <v>2428</v>
      </c>
      <c r="C427" s="16">
        <v>0</v>
      </c>
      <c r="D427" s="16">
        <v>0</v>
      </c>
      <c r="E427" s="29" t="s">
        <v>42</v>
      </c>
      <c r="F427" s="29" t="s">
        <v>43</v>
      </c>
      <c r="G427" t="e">
        <v>#N/A</v>
      </c>
    </row>
    <row r="428" spans="1:7" ht="11.5" hidden="1" customHeight="1" x14ac:dyDescent="0.35">
      <c r="A428" s="29" t="s">
        <v>656</v>
      </c>
      <c r="B428" s="29" t="s">
        <v>2429</v>
      </c>
      <c r="C428" s="16">
        <v>0</v>
      </c>
      <c r="D428" s="16">
        <v>0</v>
      </c>
      <c r="E428" s="29" t="s">
        <v>42</v>
      </c>
      <c r="F428" s="29" t="s">
        <v>43</v>
      </c>
      <c r="G428" t="e">
        <v>#N/A</v>
      </c>
    </row>
    <row r="429" spans="1:7" ht="11.5" hidden="1" customHeight="1" x14ac:dyDescent="0.35">
      <c r="A429" s="29" t="s">
        <v>657</v>
      </c>
      <c r="B429" s="29" t="s">
        <v>2430</v>
      </c>
      <c r="C429" s="16">
        <v>0</v>
      </c>
      <c r="D429" s="16">
        <v>0</v>
      </c>
      <c r="E429" s="29" t="s">
        <v>42</v>
      </c>
      <c r="F429" s="29" t="s">
        <v>43</v>
      </c>
      <c r="G429" t="e">
        <v>#N/A</v>
      </c>
    </row>
    <row r="430" spans="1:7" ht="11.5" hidden="1" customHeight="1" x14ac:dyDescent="0.35">
      <c r="A430" s="29" t="s">
        <v>658</v>
      </c>
      <c r="B430" s="29" t="s">
        <v>2431</v>
      </c>
      <c r="C430" s="16">
        <v>0</v>
      </c>
      <c r="D430" s="16">
        <v>0</v>
      </c>
      <c r="E430" s="29" t="s">
        <v>42</v>
      </c>
      <c r="F430" s="29" t="s">
        <v>43</v>
      </c>
      <c r="G430" t="e">
        <v>#N/A</v>
      </c>
    </row>
    <row r="431" spans="1:7" ht="11.5" hidden="1" customHeight="1" x14ac:dyDescent="0.35">
      <c r="A431" s="29" t="s">
        <v>659</v>
      </c>
      <c r="B431" s="29" t="s">
        <v>2432</v>
      </c>
      <c r="C431" s="16">
        <v>0</v>
      </c>
      <c r="D431" s="16">
        <v>0</v>
      </c>
      <c r="E431" s="29" t="s">
        <v>42</v>
      </c>
      <c r="F431" s="29" t="s">
        <v>43</v>
      </c>
      <c r="G431" t="e">
        <v>#N/A</v>
      </c>
    </row>
    <row r="432" spans="1:7" ht="11.5" hidden="1" customHeight="1" x14ac:dyDescent="0.35">
      <c r="A432" s="29" t="s">
        <v>660</v>
      </c>
      <c r="B432" s="29" t="s">
        <v>2433</v>
      </c>
      <c r="C432" s="16">
        <v>0</v>
      </c>
      <c r="D432" s="16">
        <v>0</v>
      </c>
      <c r="E432" s="29" t="s">
        <v>42</v>
      </c>
      <c r="F432" s="29" t="s">
        <v>43</v>
      </c>
      <c r="G432" t="e">
        <v>#N/A</v>
      </c>
    </row>
    <row r="433" spans="1:7" ht="11.5" hidden="1" customHeight="1" x14ac:dyDescent="0.35">
      <c r="A433" s="29" t="s">
        <v>661</v>
      </c>
      <c r="B433" s="29" t="s">
        <v>2434</v>
      </c>
      <c r="C433" s="16">
        <v>0</v>
      </c>
      <c r="D433" s="16">
        <v>0</v>
      </c>
      <c r="E433" s="29" t="s">
        <v>42</v>
      </c>
      <c r="F433" s="29" t="s">
        <v>43</v>
      </c>
      <c r="G433" t="e">
        <v>#N/A</v>
      </c>
    </row>
    <row r="434" spans="1:7" ht="11.5" hidden="1" customHeight="1" x14ac:dyDescent="0.35">
      <c r="A434" s="29" t="s">
        <v>662</v>
      </c>
      <c r="B434" s="29" t="s">
        <v>2435</v>
      </c>
      <c r="C434" s="16">
        <v>0</v>
      </c>
      <c r="D434" s="16">
        <v>0</v>
      </c>
      <c r="E434" s="29" t="s">
        <v>42</v>
      </c>
      <c r="F434" s="29" t="s">
        <v>43</v>
      </c>
      <c r="G434" t="e">
        <v>#N/A</v>
      </c>
    </row>
    <row r="435" spans="1:7" ht="11.5" hidden="1" customHeight="1" x14ac:dyDescent="0.35">
      <c r="A435" s="29" t="s">
        <v>663</v>
      </c>
      <c r="B435" s="29" t="s">
        <v>2436</v>
      </c>
      <c r="C435" s="16">
        <v>0</v>
      </c>
      <c r="D435" s="16">
        <v>0</v>
      </c>
      <c r="E435" s="29" t="s">
        <v>42</v>
      </c>
      <c r="F435" s="29" t="s">
        <v>43</v>
      </c>
      <c r="G435" t="e">
        <v>#N/A</v>
      </c>
    </row>
    <row r="436" spans="1:7" ht="11.5" hidden="1" customHeight="1" x14ac:dyDescent="0.35">
      <c r="A436" s="29" t="s">
        <v>664</v>
      </c>
      <c r="B436" s="29" t="s">
        <v>2437</v>
      </c>
      <c r="C436" s="16">
        <v>0</v>
      </c>
      <c r="D436" s="16">
        <v>0</v>
      </c>
      <c r="E436" s="29" t="s">
        <v>42</v>
      </c>
      <c r="F436" s="29" t="s">
        <v>43</v>
      </c>
      <c r="G436" t="e">
        <v>#N/A</v>
      </c>
    </row>
    <row r="437" spans="1:7" ht="11.5" hidden="1" customHeight="1" x14ac:dyDescent="0.35">
      <c r="A437" s="29" t="s">
        <v>665</v>
      </c>
      <c r="B437" s="29" t="s">
        <v>2438</v>
      </c>
      <c r="C437" s="16">
        <v>0</v>
      </c>
      <c r="D437" s="16">
        <v>0</v>
      </c>
      <c r="E437" s="29" t="s">
        <v>42</v>
      </c>
      <c r="F437" s="29" t="s">
        <v>43</v>
      </c>
      <c r="G437" t="e">
        <v>#N/A</v>
      </c>
    </row>
    <row r="438" spans="1:7" ht="11.5" hidden="1" customHeight="1" x14ac:dyDescent="0.35">
      <c r="A438" s="29" t="s">
        <v>666</v>
      </c>
      <c r="B438" s="29" t="s">
        <v>2439</v>
      </c>
      <c r="C438" s="16">
        <v>0</v>
      </c>
      <c r="D438" s="16">
        <v>0</v>
      </c>
      <c r="E438" s="29" t="s">
        <v>42</v>
      </c>
      <c r="F438" s="29" t="s">
        <v>43</v>
      </c>
      <c r="G438" t="e">
        <v>#N/A</v>
      </c>
    </row>
    <row r="439" spans="1:7" ht="11.5" hidden="1" customHeight="1" x14ac:dyDescent="0.35">
      <c r="A439" s="29" t="s">
        <v>667</v>
      </c>
      <c r="B439" s="29" t="s">
        <v>2440</v>
      </c>
      <c r="C439" s="16">
        <v>0</v>
      </c>
      <c r="D439" s="16">
        <v>0</v>
      </c>
      <c r="E439" s="29" t="s">
        <v>42</v>
      </c>
      <c r="F439" s="29" t="s">
        <v>43</v>
      </c>
      <c r="G439" t="e">
        <v>#N/A</v>
      </c>
    </row>
    <row r="440" spans="1:7" ht="11.5" hidden="1" customHeight="1" x14ac:dyDescent="0.35">
      <c r="A440" s="29" t="s">
        <v>668</v>
      </c>
      <c r="B440" s="29" t="s">
        <v>2441</v>
      </c>
      <c r="C440" s="16">
        <v>0</v>
      </c>
      <c r="D440" s="16">
        <v>0</v>
      </c>
      <c r="E440" s="29" t="s">
        <v>42</v>
      </c>
      <c r="F440" s="29" t="s">
        <v>43</v>
      </c>
      <c r="G440" t="e">
        <v>#N/A</v>
      </c>
    </row>
    <row r="441" spans="1:7" ht="11.5" hidden="1" customHeight="1" x14ac:dyDescent="0.35">
      <c r="A441" s="29" t="s">
        <v>669</v>
      </c>
      <c r="B441" s="29" t="s">
        <v>2442</v>
      </c>
      <c r="C441" s="16">
        <v>0</v>
      </c>
      <c r="D441" s="16">
        <v>0</v>
      </c>
      <c r="E441" s="29" t="s">
        <v>42</v>
      </c>
      <c r="F441" s="29" t="s">
        <v>43</v>
      </c>
      <c r="G441" t="e">
        <v>#N/A</v>
      </c>
    </row>
    <row r="442" spans="1:7" ht="11.5" hidden="1" customHeight="1" x14ac:dyDescent="0.35">
      <c r="A442" s="29" t="s">
        <v>670</v>
      </c>
      <c r="B442" s="29" t="s">
        <v>2443</v>
      </c>
      <c r="C442" s="16">
        <v>0</v>
      </c>
      <c r="D442" s="16">
        <v>0</v>
      </c>
      <c r="E442" s="29" t="s">
        <v>42</v>
      </c>
      <c r="F442" s="29" t="s">
        <v>43</v>
      </c>
      <c r="G442" t="e">
        <v>#N/A</v>
      </c>
    </row>
    <row r="443" spans="1:7" ht="11.5" hidden="1" customHeight="1" x14ac:dyDescent="0.35">
      <c r="A443" s="29" t="s">
        <v>671</v>
      </c>
      <c r="B443" s="29" t="s">
        <v>2444</v>
      </c>
      <c r="C443" s="16">
        <v>0</v>
      </c>
      <c r="D443" s="16">
        <v>0</v>
      </c>
      <c r="E443" s="29" t="s">
        <v>42</v>
      </c>
      <c r="F443" s="29" t="s">
        <v>43</v>
      </c>
      <c r="G443" t="e">
        <v>#N/A</v>
      </c>
    </row>
    <row r="444" spans="1:7" ht="11.5" hidden="1" customHeight="1" x14ac:dyDescent="0.35">
      <c r="A444" s="29" t="s">
        <v>672</v>
      </c>
      <c r="B444" s="29" t="s">
        <v>2445</v>
      </c>
      <c r="C444" s="16">
        <v>0</v>
      </c>
      <c r="D444" s="16">
        <v>0</v>
      </c>
      <c r="E444" s="29" t="s">
        <v>42</v>
      </c>
      <c r="F444" s="29" t="s">
        <v>43</v>
      </c>
      <c r="G444" t="e">
        <v>#N/A</v>
      </c>
    </row>
    <row r="445" spans="1:7" ht="11.5" hidden="1" customHeight="1" x14ac:dyDescent="0.35">
      <c r="A445" s="29" t="s">
        <v>673</v>
      </c>
      <c r="B445" s="29" t="s">
        <v>2446</v>
      </c>
      <c r="C445" s="16">
        <v>0</v>
      </c>
      <c r="D445" s="16">
        <v>0</v>
      </c>
      <c r="E445" s="29" t="s">
        <v>42</v>
      </c>
      <c r="F445" s="29" t="s">
        <v>43</v>
      </c>
      <c r="G445" t="e">
        <v>#N/A</v>
      </c>
    </row>
    <row r="446" spans="1:7" ht="11.5" hidden="1" customHeight="1" x14ac:dyDescent="0.35">
      <c r="A446" s="29" t="s">
        <v>674</v>
      </c>
      <c r="B446" s="29" t="s">
        <v>2447</v>
      </c>
      <c r="C446" s="16">
        <v>0</v>
      </c>
      <c r="D446" s="16">
        <v>0</v>
      </c>
      <c r="E446" s="29" t="s">
        <v>42</v>
      </c>
      <c r="F446" s="29" t="s">
        <v>43</v>
      </c>
      <c r="G446" t="e">
        <v>#N/A</v>
      </c>
    </row>
    <row r="447" spans="1:7" ht="11.5" hidden="1" customHeight="1" x14ac:dyDescent="0.35">
      <c r="A447" s="29" t="s">
        <v>675</v>
      </c>
      <c r="B447" s="29" t="s">
        <v>2448</v>
      </c>
      <c r="C447" s="16">
        <v>0</v>
      </c>
      <c r="D447" s="16">
        <v>0</v>
      </c>
      <c r="E447" s="29" t="s">
        <v>42</v>
      </c>
      <c r="F447" s="29" t="s">
        <v>43</v>
      </c>
      <c r="G447" t="e">
        <v>#N/A</v>
      </c>
    </row>
    <row r="448" spans="1:7" ht="11.5" hidden="1" customHeight="1" x14ac:dyDescent="0.35">
      <c r="A448" s="29" t="s">
        <v>676</v>
      </c>
      <c r="B448" s="29" t="s">
        <v>2449</v>
      </c>
      <c r="C448" s="16">
        <v>0</v>
      </c>
      <c r="D448" s="16">
        <v>0</v>
      </c>
      <c r="E448" s="29" t="s">
        <v>42</v>
      </c>
      <c r="F448" s="29" t="s">
        <v>43</v>
      </c>
      <c r="G448" t="e">
        <v>#N/A</v>
      </c>
    </row>
    <row r="449" spans="1:7" ht="11.5" hidden="1" customHeight="1" x14ac:dyDescent="0.35">
      <c r="A449" s="29" t="s">
        <v>677</v>
      </c>
      <c r="B449" s="29" t="s">
        <v>2450</v>
      </c>
      <c r="C449" s="16">
        <v>0</v>
      </c>
      <c r="D449" s="16">
        <v>0</v>
      </c>
      <c r="E449" s="29" t="s">
        <v>42</v>
      </c>
      <c r="F449" s="29" t="s">
        <v>43</v>
      </c>
      <c r="G449" t="e">
        <v>#N/A</v>
      </c>
    </row>
    <row r="450" spans="1:7" ht="11.5" hidden="1" customHeight="1" x14ac:dyDescent="0.35">
      <c r="A450" s="29" t="s">
        <v>678</v>
      </c>
      <c r="B450" s="29" t="s">
        <v>2451</v>
      </c>
      <c r="C450" s="16">
        <v>0</v>
      </c>
      <c r="D450" s="16">
        <v>0</v>
      </c>
      <c r="E450" s="29" t="s">
        <v>42</v>
      </c>
      <c r="F450" s="29" t="s">
        <v>43</v>
      </c>
      <c r="G450" t="e">
        <v>#N/A</v>
      </c>
    </row>
    <row r="451" spans="1:7" ht="11.5" hidden="1" customHeight="1" x14ac:dyDescent="0.35">
      <c r="A451" s="29" t="s">
        <v>679</v>
      </c>
      <c r="B451" s="29" t="s">
        <v>2452</v>
      </c>
      <c r="C451" s="16">
        <v>0</v>
      </c>
      <c r="D451" s="16">
        <v>0</v>
      </c>
      <c r="E451" s="29" t="s">
        <v>42</v>
      </c>
      <c r="F451" s="29" t="s">
        <v>43</v>
      </c>
      <c r="G451" t="e">
        <v>#N/A</v>
      </c>
    </row>
    <row r="452" spans="1:7" ht="11.5" hidden="1" customHeight="1" x14ac:dyDescent="0.35">
      <c r="A452" s="29" t="s">
        <v>680</v>
      </c>
      <c r="B452" s="29" t="s">
        <v>2453</v>
      </c>
      <c r="C452" s="16">
        <v>0</v>
      </c>
      <c r="D452" s="16">
        <v>0</v>
      </c>
      <c r="E452" s="29" t="s">
        <v>42</v>
      </c>
      <c r="F452" s="29" t="s">
        <v>43</v>
      </c>
      <c r="G452" t="e">
        <v>#N/A</v>
      </c>
    </row>
    <row r="453" spans="1:7" ht="11.5" hidden="1" customHeight="1" x14ac:dyDescent="0.35">
      <c r="A453" s="29" t="s">
        <v>681</v>
      </c>
      <c r="B453" s="29" t="s">
        <v>2454</v>
      </c>
      <c r="C453" s="16">
        <v>0</v>
      </c>
      <c r="D453" s="16">
        <v>0</v>
      </c>
      <c r="E453" s="29" t="s">
        <v>42</v>
      </c>
      <c r="F453" s="29" t="s">
        <v>43</v>
      </c>
      <c r="G453" t="e">
        <v>#N/A</v>
      </c>
    </row>
    <row r="454" spans="1:7" ht="11.5" hidden="1" customHeight="1" x14ac:dyDescent="0.35">
      <c r="A454" s="29" t="s">
        <v>682</v>
      </c>
      <c r="B454" s="29" t="s">
        <v>2455</v>
      </c>
      <c r="C454" s="16">
        <v>0</v>
      </c>
      <c r="D454" s="16">
        <v>0</v>
      </c>
      <c r="E454" s="29" t="s">
        <v>42</v>
      </c>
      <c r="F454" s="29" t="s">
        <v>43</v>
      </c>
      <c r="G454" t="e">
        <v>#N/A</v>
      </c>
    </row>
    <row r="455" spans="1:7" ht="11.5" hidden="1" customHeight="1" x14ac:dyDescent="0.35">
      <c r="A455" s="29" t="s">
        <v>683</v>
      </c>
      <c r="B455" s="29" t="s">
        <v>2456</v>
      </c>
      <c r="C455" s="16">
        <v>0</v>
      </c>
      <c r="D455" s="16">
        <v>0</v>
      </c>
      <c r="E455" s="29" t="s">
        <v>42</v>
      </c>
      <c r="F455" s="29" t="s">
        <v>43</v>
      </c>
      <c r="G455" t="e">
        <v>#N/A</v>
      </c>
    </row>
    <row r="456" spans="1:7" ht="11.5" hidden="1" customHeight="1" x14ac:dyDescent="0.35">
      <c r="A456" s="29" t="s">
        <v>684</v>
      </c>
      <c r="B456" s="29" t="s">
        <v>2457</v>
      </c>
      <c r="C456" s="16">
        <v>0</v>
      </c>
      <c r="D456" s="16">
        <v>0</v>
      </c>
      <c r="E456" s="29" t="s">
        <v>42</v>
      </c>
      <c r="F456" s="29" t="s">
        <v>43</v>
      </c>
      <c r="G456" t="e">
        <v>#N/A</v>
      </c>
    </row>
    <row r="457" spans="1:7" ht="11.5" hidden="1" customHeight="1" x14ac:dyDescent="0.35">
      <c r="A457" s="29" t="s">
        <v>685</v>
      </c>
      <c r="B457" s="29" t="s">
        <v>2458</v>
      </c>
      <c r="C457" s="16">
        <v>0</v>
      </c>
      <c r="D457" s="16">
        <v>0</v>
      </c>
      <c r="E457" s="29" t="s">
        <v>42</v>
      </c>
      <c r="F457" s="29" t="s">
        <v>43</v>
      </c>
      <c r="G457" t="e">
        <v>#N/A</v>
      </c>
    </row>
    <row r="458" spans="1:7" ht="11.5" hidden="1" customHeight="1" x14ac:dyDescent="0.35">
      <c r="A458" s="29" t="s">
        <v>686</v>
      </c>
      <c r="B458" s="29" t="s">
        <v>2459</v>
      </c>
      <c r="C458" s="16">
        <v>0</v>
      </c>
      <c r="D458" s="16">
        <v>0</v>
      </c>
      <c r="E458" s="29" t="s">
        <v>42</v>
      </c>
      <c r="F458" s="29" t="s">
        <v>43</v>
      </c>
      <c r="G458" t="e">
        <v>#N/A</v>
      </c>
    </row>
    <row r="459" spans="1:7" ht="11.5" hidden="1" customHeight="1" x14ac:dyDescent="0.35">
      <c r="A459" s="29" t="s">
        <v>687</v>
      </c>
      <c r="B459" s="29" t="s">
        <v>2460</v>
      </c>
      <c r="C459" s="16">
        <v>0</v>
      </c>
      <c r="D459" s="16">
        <v>0</v>
      </c>
      <c r="E459" s="29" t="s">
        <v>42</v>
      </c>
      <c r="F459" s="29" t="s">
        <v>43</v>
      </c>
      <c r="G459" t="e">
        <v>#N/A</v>
      </c>
    </row>
    <row r="460" spans="1:7" ht="11.5" hidden="1" customHeight="1" x14ac:dyDescent="0.35">
      <c r="A460" s="29" t="s">
        <v>688</v>
      </c>
      <c r="B460" s="29" t="s">
        <v>2461</v>
      </c>
      <c r="C460" s="16">
        <v>0</v>
      </c>
      <c r="D460" s="16">
        <v>0</v>
      </c>
      <c r="E460" s="29" t="s">
        <v>42</v>
      </c>
      <c r="F460" s="29" t="s">
        <v>43</v>
      </c>
      <c r="G460" t="e">
        <v>#N/A</v>
      </c>
    </row>
    <row r="461" spans="1:7" ht="11.5" hidden="1" customHeight="1" x14ac:dyDescent="0.35">
      <c r="A461" s="29" t="s">
        <v>689</v>
      </c>
      <c r="B461" s="29" t="s">
        <v>2462</v>
      </c>
      <c r="C461" s="16">
        <v>0</v>
      </c>
      <c r="D461" s="16">
        <v>0</v>
      </c>
      <c r="E461" s="29" t="s">
        <v>42</v>
      </c>
      <c r="F461" s="29" t="s">
        <v>43</v>
      </c>
      <c r="G461" t="e">
        <v>#N/A</v>
      </c>
    </row>
    <row r="462" spans="1:7" ht="11.5" hidden="1" customHeight="1" x14ac:dyDescent="0.35">
      <c r="A462" s="29" t="s">
        <v>690</v>
      </c>
      <c r="B462" s="29" t="s">
        <v>2463</v>
      </c>
      <c r="C462" s="16">
        <v>0</v>
      </c>
      <c r="D462" s="16">
        <v>0</v>
      </c>
      <c r="E462" s="29" t="s">
        <v>42</v>
      </c>
      <c r="F462" s="29" t="s">
        <v>43</v>
      </c>
      <c r="G462" t="e">
        <v>#N/A</v>
      </c>
    </row>
    <row r="463" spans="1:7" ht="11.5" hidden="1" customHeight="1" x14ac:dyDescent="0.35">
      <c r="A463" s="29" t="s">
        <v>691</v>
      </c>
      <c r="B463" s="29" t="s">
        <v>2464</v>
      </c>
      <c r="C463" s="16">
        <v>0</v>
      </c>
      <c r="D463" s="16">
        <v>0</v>
      </c>
      <c r="E463" s="29" t="s">
        <v>42</v>
      </c>
      <c r="F463" s="29" t="s">
        <v>43</v>
      </c>
      <c r="G463" t="e">
        <v>#N/A</v>
      </c>
    </row>
    <row r="464" spans="1:7" ht="11.5" hidden="1" customHeight="1" x14ac:dyDescent="0.35">
      <c r="A464" s="29" t="s">
        <v>692</v>
      </c>
      <c r="B464" s="29" t="s">
        <v>2465</v>
      </c>
      <c r="C464" s="16">
        <v>0</v>
      </c>
      <c r="D464" s="16">
        <v>0</v>
      </c>
      <c r="E464" s="29" t="s">
        <v>42</v>
      </c>
      <c r="F464" s="29" t="s">
        <v>43</v>
      </c>
      <c r="G464" t="e">
        <v>#N/A</v>
      </c>
    </row>
    <row r="465" spans="1:7" ht="11.5" hidden="1" customHeight="1" x14ac:dyDescent="0.35">
      <c r="A465" s="29" t="s">
        <v>693</v>
      </c>
      <c r="B465" s="29" t="s">
        <v>2466</v>
      </c>
      <c r="C465" s="16">
        <v>0</v>
      </c>
      <c r="D465" s="16">
        <v>0</v>
      </c>
      <c r="E465" s="29" t="s">
        <v>42</v>
      </c>
      <c r="F465" s="29" t="s">
        <v>43</v>
      </c>
      <c r="G465" t="e">
        <v>#N/A</v>
      </c>
    </row>
    <row r="466" spans="1:7" ht="11.5" hidden="1" customHeight="1" x14ac:dyDescent="0.35">
      <c r="A466" s="29" t="s">
        <v>694</v>
      </c>
      <c r="B466" s="29" t="s">
        <v>2467</v>
      </c>
      <c r="C466" s="16">
        <v>0</v>
      </c>
      <c r="D466" s="16">
        <v>0</v>
      </c>
      <c r="E466" s="29" t="s">
        <v>42</v>
      </c>
      <c r="F466" s="29" t="s">
        <v>43</v>
      </c>
      <c r="G466" t="e">
        <v>#N/A</v>
      </c>
    </row>
    <row r="467" spans="1:7" ht="11.5" hidden="1" customHeight="1" x14ac:dyDescent="0.35">
      <c r="A467" s="29" t="s">
        <v>695</v>
      </c>
      <c r="B467" s="29" t="s">
        <v>2468</v>
      </c>
      <c r="C467" s="16">
        <v>0</v>
      </c>
      <c r="D467" s="16">
        <v>0</v>
      </c>
      <c r="E467" s="29" t="s">
        <v>42</v>
      </c>
      <c r="F467" s="29" t="s">
        <v>43</v>
      </c>
      <c r="G467" t="e">
        <v>#N/A</v>
      </c>
    </row>
    <row r="468" spans="1:7" ht="11.5" hidden="1" customHeight="1" x14ac:dyDescent="0.35">
      <c r="A468" s="29" t="s">
        <v>696</v>
      </c>
      <c r="B468" s="29" t="s">
        <v>2469</v>
      </c>
      <c r="C468" s="16">
        <v>0</v>
      </c>
      <c r="D468" s="16">
        <v>0</v>
      </c>
      <c r="E468" s="29" t="s">
        <v>42</v>
      </c>
      <c r="F468" s="29" t="s">
        <v>43</v>
      </c>
      <c r="G468" t="e">
        <v>#N/A</v>
      </c>
    </row>
    <row r="469" spans="1:7" ht="11.5" hidden="1" customHeight="1" x14ac:dyDescent="0.35">
      <c r="A469" s="29" t="s">
        <v>697</v>
      </c>
      <c r="B469" s="29" t="s">
        <v>2470</v>
      </c>
      <c r="C469" s="16">
        <v>0</v>
      </c>
      <c r="D469" s="16">
        <v>0</v>
      </c>
      <c r="E469" s="29" t="s">
        <v>42</v>
      </c>
      <c r="F469" s="29" t="s">
        <v>43</v>
      </c>
      <c r="G469" t="e">
        <v>#N/A</v>
      </c>
    </row>
    <row r="470" spans="1:7" ht="11.5" hidden="1" customHeight="1" x14ac:dyDescent="0.35">
      <c r="A470" s="29" t="s">
        <v>698</v>
      </c>
      <c r="B470" s="29" t="s">
        <v>2471</v>
      </c>
      <c r="C470" s="16">
        <v>0</v>
      </c>
      <c r="D470" s="16">
        <v>0</v>
      </c>
      <c r="E470" s="29" t="s">
        <v>42</v>
      </c>
      <c r="F470" s="29" t="s">
        <v>43</v>
      </c>
      <c r="G470" t="e">
        <v>#N/A</v>
      </c>
    </row>
    <row r="471" spans="1:7" ht="11.5" hidden="1" customHeight="1" x14ac:dyDescent="0.35">
      <c r="A471" s="29" t="s">
        <v>699</v>
      </c>
      <c r="B471" s="29" t="s">
        <v>2472</v>
      </c>
      <c r="C471" s="16">
        <v>0</v>
      </c>
      <c r="D471" s="16">
        <v>0</v>
      </c>
      <c r="E471" s="29" t="s">
        <v>42</v>
      </c>
      <c r="F471" s="29" t="s">
        <v>43</v>
      </c>
      <c r="G471" t="e">
        <v>#N/A</v>
      </c>
    </row>
    <row r="472" spans="1:7" ht="11.5" hidden="1" customHeight="1" x14ac:dyDescent="0.35">
      <c r="A472" s="29" t="s">
        <v>700</v>
      </c>
      <c r="B472" s="29" t="s">
        <v>2473</v>
      </c>
      <c r="C472" s="16">
        <v>0</v>
      </c>
      <c r="D472" s="16">
        <v>0</v>
      </c>
      <c r="E472" s="29" t="s">
        <v>42</v>
      </c>
      <c r="F472" s="29" t="s">
        <v>43</v>
      </c>
      <c r="G472" t="e">
        <v>#N/A</v>
      </c>
    </row>
    <row r="473" spans="1:7" ht="11.5" hidden="1" customHeight="1" x14ac:dyDescent="0.35">
      <c r="A473" s="29" t="s">
        <v>701</v>
      </c>
      <c r="B473" s="29" t="s">
        <v>2474</v>
      </c>
      <c r="C473" s="16">
        <v>0</v>
      </c>
      <c r="D473" s="16">
        <v>0</v>
      </c>
      <c r="E473" s="29" t="s">
        <v>42</v>
      </c>
      <c r="F473" s="29" t="s">
        <v>43</v>
      </c>
      <c r="G473" t="s">
        <v>3899</v>
      </c>
    </row>
    <row r="474" spans="1:7" ht="11.5" hidden="1" customHeight="1" x14ac:dyDescent="0.35">
      <c r="A474" s="29" t="s">
        <v>702</v>
      </c>
      <c r="B474" s="29" t="s">
        <v>2475</v>
      </c>
      <c r="C474" s="16">
        <v>0</v>
      </c>
      <c r="D474" s="16">
        <v>0</v>
      </c>
      <c r="E474" s="29" t="s">
        <v>42</v>
      </c>
      <c r="F474" s="29" t="s">
        <v>43</v>
      </c>
      <c r="G474" t="e">
        <v>#N/A</v>
      </c>
    </row>
    <row r="475" spans="1:7" ht="11.5" hidden="1" customHeight="1" x14ac:dyDescent="0.35">
      <c r="A475" s="29" t="s">
        <v>703</v>
      </c>
      <c r="B475" s="29" t="s">
        <v>2476</v>
      </c>
      <c r="C475" s="16">
        <v>0</v>
      </c>
      <c r="D475" s="16">
        <v>0</v>
      </c>
      <c r="E475" s="29" t="s">
        <v>42</v>
      </c>
      <c r="F475" s="29" t="s">
        <v>43</v>
      </c>
      <c r="G475" t="e">
        <v>#N/A</v>
      </c>
    </row>
    <row r="476" spans="1:7" ht="11.5" hidden="1" customHeight="1" x14ac:dyDescent="0.35">
      <c r="A476" s="29" t="s">
        <v>704</v>
      </c>
      <c r="B476" s="29" t="s">
        <v>2477</v>
      </c>
      <c r="C476" s="16">
        <v>0</v>
      </c>
      <c r="D476" s="16">
        <v>0</v>
      </c>
      <c r="E476" s="29" t="s">
        <v>42</v>
      </c>
      <c r="F476" s="29" t="s">
        <v>43</v>
      </c>
      <c r="G476" t="e">
        <v>#N/A</v>
      </c>
    </row>
    <row r="477" spans="1:7" ht="11.5" hidden="1" customHeight="1" x14ac:dyDescent="0.35">
      <c r="A477" s="29" t="s">
        <v>705</v>
      </c>
      <c r="B477" s="29" t="s">
        <v>2478</v>
      </c>
      <c r="C477" s="16">
        <v>0</v>
      </c>
      <c r="D477" s="16">
        <v>0</v>
      </c>
      <c r="E477" s="29" t="s">
        <v>42</v>
      </c>
      <c r="F477" s="29" t="s">
        <v>43</v>
      </c>
      <c r="G477" t="e">
        <v>#N/A</v>
      </c>
    </row>
    <row r="478" spans="1:7" ht="11.5" hidden="1" customHeight="1" x14ac:dyDescent="0.35">
      <c r="A478" s="29" t="s">
        <v>706</v>
      </c>
      <c r="B478" s="29" t="s">
        <v>2479</v>
      </c>
      <c r="C478" s="16">
        <v>0</v>
      </c>
      <c r="D478" s="16">
        <v>0</v>
      </c>
      <c r="E478" s="29" t="s">
        <v>42</v>
      </c>
      <c r="F478" s="29" t="s">
        <v>43</v>
      </c>
      <c r="G478" t="e">
        <v>#N/A</v>
      </c>
    </row>
    <row r="479" spans="1:7" ht="11.5" hidden="1" customHeight="1" x14ac:dyDescent="0.35">
      <c r="A479" s="29" t="s">
        <v>707</v>
      </c>
      <c r="B479" s="29" t="s">
        <v>2480</v>
      </c>
      <c r="C479" s="16">
        <v>0</v>
      </c>
      <c r="D479" s="16">
        <v>0</v>
      </c>
      <c r="E479" s="29" t="s">
        <v>42</v>
      </c>
      <c r="F479" s="29" t="s">
        <v>43</v>
      </c>
      <c r="G479" t="e">
        <v>#N/A</v>
      </c>
    </row>
    <row r="480" spans="1:7" ht="11.5" hidden="1" customHeight="1" x14ac:dyDescent="0.35">
      <c r="A480" s="29" t="s">
        <v>708</v>
      </c>
      <c r="B480" s="29" t="s">
        <v>2481</v>
      </c>
      <c r="C480" s="16">
        <v>0</v>
      </c>
      <c r="D480" s="16">
        <v>0</v>
      </c>
      <c r="E480" s="29" t="s">
        <v>42</v>
      </c>
      <c r="F480" s="29" t="s">
        <v>43</v>
      </c>
      <c r="G480" t="e">
        <v>#N/A</v>
      </c>
    </row>
    <row r="481" spans="1:7" ht="11.5" hidden="1" customHeight="1" x14ac:dyDescent="0.35">
      <c r="A481" s="29" t="s">
        <v>709</v>
      </c>
      <c r="B481" s="29" t="s">
        <v>2482</v>
      </c>
      <c r="C481" s="16">
        <v>0</v>
      </c>
      <c r="D481" s="16">
        <v>0</v>
      </c>
      <c r="E481" s="29" t="s">
        <v>42</v>
      </c>
      <c r="F481" s="29" t="s">
        <v>43</v>
      </c>
      <c r="G481" t="e">
        <v>#N/A</v>
      </c>
    </row>
    <row r="482" spans="1:7" ht="11.5" hidden="1" customHeight="1" x14ac:dyDescent="0.35">
      <c r="A482" s="29" t="s">
        <v>710</v>
      </c>
      <c r="B482" s="29" t="s">
        <v>2483</v>
      </c>
      <c r="C482" s="16">
        <v>0</v>
      </c>
      <c r="D482" s="16">
        <v>0</v>
      </c>
      <c r="E482" s="29" t="s">
        <v>42</v>
      </c>
      <c r="F482" s="29" t="s">
        <v>43</v>
      </c>
      <c r="G482" t="e">
        <v>#N/A</v>
      </c>
    </row>
    <row r="483" spans="1:7" ht="11.5" hidden="1" customHeight="1" x14ac:dyDescent="0.35">
      <c r="A483" s="29" t="s">
        <v>711</v>
      </c>
      <c r="B483" s="29" t="s">
        <v>2483</v>
      </c>
      <c r="C483" s="16">
        <v>0</v>
      </c>
      <c r="D483" s="16">
        <v>0</v>
      </c>
      <c r="E483" s="29" t="s">
        <v>42</v>
      </c>
      <c r="F483" s="29" t="s">
        <v>43</v>
      </c>
      <c r="G483" t="e">
        <v>#N/A</v>
      </c>
    </row>
    <row r="484" spans="1:7" ht="11.5" hidden="1" customHeight="1" x14ac:dyDescent="0.35">
      <c r="A484" s="29" t="s">
        <v>712</v>
      </c>
      <c r="B484" s="29" t="s">
        <v>2484</v>
      </c>
      <c r="C484" s="16">
        <v>0</v>
      </c>
      <c r="D484" s="16">
        <v>0</v>
      </c>
      <c r="E484" s="29" t="s">
        <v>42</v>
      </c>
      <c r="F484" s="29" t="s">
        <v>43</v>
      </c>
      <c r="G484" t="e">
        <v>#N/A</v>
      </c>
    </row>
    <row r="485" spans="1:7" ht="11.5" hidden="1" customHeight="1" x14ac:dyDescent="0.35">
      <c r="A485" s="29" t="s">
        <v>713</v>
      </c>
      <c r="B485" s="29" t="s">
        <v>2485</v>
      </c>
      <c r="C485" s="16">
        <v>0</v>
      </c>
      <c r="D485" s="16">
        <v>0</v>
      </c>
      <c r="E485" s="29" t="s">
        <v>42</v>
      </c>
      <c r="F485" s="29" t="s">
        <v>43</v>
      </c>
      <c r="G485" t="e">
        <v>#N/A</v>
      </c>
    </row>
    <row r="486" spans="1:7" ht="11.5" hidden="1" customHeight="1" x14ac:dyDescent="0.35">
      <c r="A486" s="29" t="s">
        <v>714</v>
      </c>
      <c r="B486" s="29" t="s">
        <v>2486</v>
      </c>
      <c r="C486" s="16">
        <v>0</v>
      </c>
      <c r="D486" s="16">
        <v>0</v>
      </c>
      <c r="E486" s="29" t="s">
        <v>42</v>
      </c>
      <c r="F486" s="29" t="s">
        <v>43</v>
      </c>
      <c r="G486" t="e">
        <v>#N/A</v>
      </c>
    </row>
    <row r="487" spans="1:7" ht="11.5" hidden="1" customHeight="1" x14ac:dyDescent="0.35">
      <c r="A487" s="29" t="s">
        <v>715</v>
      </c>
      <c r="B487" s="29" t="s">
        <v>2487</v>
      </c>
      <c r="C487" s="16">
        <v>0</v>
      </c>
      <c r="D487" s="16">
        <v>0</v>
      </c>
      <c r="E487" s="29" t="s">
        <v>42</v>
      </c>
      <c r="F487" s="29" t="s">
        <v>43</v>
      </c>
      <c r="G487" t="e">
        <v>#N/A</v>
      </c>
    </row>
    <row r="488" spans="1:7" ht="11.5" hidden="1" customHeight="1" x14ac:dyDescent="0.35">
      <c r="A488" s="29" t="s">
        <v>716</v>
      </c>
      <c r="B488" s="29" t="s">
        <v>2488</v>
      </c>
      <c r="C488" s="16">
        <v>0</v>
      </c>
      <c r="D488" s="16">
        <v>0</v>
      </c>
      <c r="E488" s="29" t="s">
        <v>42</v>
      </c>
      <c r="F488" s="29" t="s">
        <v>43</v>
      </c>
      <c r="G488" t="e">
        <v>#N/A</v>
      </c>
    </row>
    <row r="489" spans="1:7" ht="11.5" hidden="1" customHeight="1" x14ac:dyDescent="0.35">
      <c r="A489" s="29" t="s">
        <v>717</v>
      </c>
      <c r="B489" s="29" t="s">
        <v>2489</v>
      </c>
      <c r="C489" s="16">
        <v>0</v>
      </c>
      <c r="D489" s="16">
        <v>0</v>
      </c>
      <c r="E489" s="29" t="s">
        <v>42</v>
      </c>
      <c r="F489" s="29" t="s">
        <v>43</v>
      </c>
      <c r="G489" t="e">
        <v>#N/A</v>
      </c>
    </row>
    <row r="490" spans="1:7" ht="11.5" hidden="1" customHeight="1" x14ac:dyDescent="0.35">
      <c r="A490" s="29" t="s">
        <v>718</v>
      </c>
      <c r="B490" s="29" t="s">
        <v>2490</v>
      </c>
      <c r="C490" s="16">
        <v>0</v>
      </c>
      <c r="D490" s="16">
        <v>0</v>
      </c>
      <c r="E490" s="29" t="s">
        <v>42</v>
      </c>
      <c r="F490" s="29" t="s">
        <v>43</v>
      </c>
      <c r="G490" t="e">
        <v>#N/A</v>
      </c>
    </row>
    <row r="491" spans="1:7" ht="11.5" hidden="1" customHeight="1" x14ac:dyDescent="0.35">
      <c r="A491" s="29" t="s">
        <v>719</v>
      </c>
      <c r="B491" s="29" t="s">
        <v>2491</v>
      </c>
      <c r="C491" s="16">
        <v>0</v>
      </c>
      <c r="D491" s="16">
        <v>0</v>
      </c>
      <c r="E491" s="29" t="s">
        <v>42</v>
      </c>
      <c r="F491" s="29" t="s">
        <v>43</v>
      </c>
      <c r="G491" t="e">
        <v>#N/A</v>
      </c>
    </row>
    <row r="492" spans="1:7" ht="11.5" hidden="1" customHeight="1" x14ac:dyDescent="0.35">
      <c r="A492" s="29" t="s">
        <v>720</v>
      </c>
      <c r="B492" s="29" t="s">
        <v>2492</v>
      </c>
      <c r="C492" s="16">
        <v>0</v>
      </c>
      <c r="D492" s="16">
        <v>0</v>
      </c>
      <c r="E492" s="29" t="s">
        <v>42</v>
      </c>
      <c r="F492" s="29" t="s">
        <v>43</v>
      </c>
      <c r="G492" t="e">
        <v>#N/A</v>
      </c>
    </row>
    <row r="493" spans="1:7" ht="11.5" hidden="1" customHeight="1" x14ac:dyDescent="0.35">
      <c r="A493" s="29" t="s">
        <v>721</v>
      </c>
      <c r="B493" s="29" t="s">
        <v>2493</v>
      </c>
      <c r="C493" s="16">
        <v>0</v>
      </c>
      <c r="D493" s="16">
        <v>0</v>
      </c>
      <c r="E493" s="29" t="s">
        <v>42</v>
      </c>
      <c r="F493" s="29" t="s">
        <v>43</v>
      </c>
      <c r="G493" t="e">
        <v>#N/A</v>
      </c>
    </row>
    <row r="494" spans="1:7" ht="11.5" hidden="1" customHeight="1" x14ac:dyDescent="0.35">
      <c r="A494" s="29" t="s">
        <v>722</v>
      </c>
      <c r="B494" s="29" t="s">
        <v>2494</v>
      </c>
      <c r="C494" s="16">
        <v>0</v>
      </c>
      <c r="D494" s="16">
        <v>0</v>
      </c>
      <c r="E494" s="29" t="s">
        <v>42</v>
      </c>
      <c r="F494" s="29" t="s">
        <v>43</v>
      </c>
      <c r="G494" t="e">
        <v>#N/A</v>
      </c>
    </row>
    <row r="495" spans="1:7" ht="11.5" hidden="1" customHeight="1" x14ac:dyDescent="0.35">
      <c r="A495" s="29" t="s">
        <v>723</v>
      </c>
      <c r="B495" s="29" t="s">
        <v>2495</v>
      </c>
      <c r="C495" s="16">
        <v>0</v>
      </c>
      <c r="D495" s="16">
        <v>0</v>
      </c>
      <c r="E495" s="29" t="s">
        <v>42</v>
      </c>
      <c r="F495" s="29" t="s">
        <v>43</v>
      </c>
      <c r="G495" t="e">
        <v>#N/A</v>
      </c>
    </row>
    <row r="496" spans="1:7" ht="11.5" hidden="1" customHeight="1" x14ac:dyDescent="0.35">
      <c r="A496" s="29" t="s">
        <v>724</v>
      </c>
      <c r="B496" s="29" t="s">
        <v>2496</v>
      </c>
      <c r="C496" s="16">
        <v>0</v>
      </c>
      <c r="D496" s="16">
        <v>0</v>
      </c>
      <c r="E496" s="29" t="s">
        <v>42</v>
      </c>
      <c r="F496" s="29" t="s">
        <v>43</v>
      </c>
      <c r="G496" t="e">
        <v>#N/A</v>
      </c>
    </row>
    <row r="497" spans="1:7" ht="11.5" hidden="1" customHeight="1" x14ac:dyDescent="0.35">
      <c r="A497" s="29" t="s">
        <v>725</v>
      </c>
      <c r="B497" s="29" t="s">
        <v>2497</v>
      </c>
      <c r="C497" s="16">
        <v>0</v>
      </c>
      <c r="D497" s="16">
        <v>0</v>
      </c>
      <c r="E497" s="29" t="s">
        <v>42</v>
      </c>
      <c r="F497" s="29" t="s">
        <v>43</v>
      </c>
      <c r="G497" t="e">
        <v>#N/A</v>
      </c>
    </row>
    <row r="498" spans="1:7" ht="11.5" hidden="1" customHeight="1" x14ac:dyDescent="0.35">
      <c r="A498" s="29" t="s">
        <v>726</v>
      </c>
      <c r="B498" s="29" t="s">
        <v>2498</v>
      </c>
      <c r="C498" s="16">
        <v>0</v>
      </c>
      <c r="D498" s="16">
        <v>0</v>
      </c>
      <c r="E498" s="29" t="s">
        <v>42</v>
      </c>
      <c r="F498" s="29" t="s">
        <v>43</v>
      </c>
      <c r="G498" t="e">
        <v>#N/A</v>
      </c>
    </row>
    <row r="499" spans="1:7" ht="11.5" hidden="1" customHeight="1" x14ac:dyDescent="0.35">
      <c r="A499" s="29" t="s">
        <v>727</v>
      </c>
      <c r="B499" s="29" t="s">
        <v>2499</v>
      </c>
      <c r="C499" s="16">
        <v>0</v>
      </c>
      <c r="D499" s="16">
        <v>0</v>
      </c>
      <c r="E499" s="29" t="s">
        <v>42</v>
      </c>
      <c r="F499" s="29" t="s">
        <v>43</v>
      </c>
      <c r="G499" t="e">
        <v>#N/A</v>
      </c>
    </row>
    <row r="500" spans="1:7" ht="11.5" hidden="1" customHeight="1" x14ac:dyDescent="0.35">
      <c r="A500" s="29" t="s">
        <v>728</v>
      </c>
      <c r="B500" s="29" t="s">
        <v>2500</v>
      </c>
      <c r="C500" s="16">
        <v>0</v>
      </c>
      <c r="D500" s="16">
        <v>0</v>
      </c>
      <c r="E500" s="29" t="s">
        <v>42</v>
      </c>
      <c r="F500" s="29" t="s">
        <v>43</v>
      </c>
      <c r="G500" t="e">
        <v>#N/A</v>
      </c>
    </row>
    <row r="501" spans="1:7" ht="11.5" hidden="1" customHeight="1" x14ac:dyDescent="0.35">
      <c r="A501" s="29" t="s">
        <v>729</v>
      </c>
      <c r="B501" s="29" t="s">
        <v>2501</v>
      </c>
      <c r="C501" s="16">
        <v>0</v>
      </c>
      <c r="D501" s="16">
        <v>0</v>
      </c>
      <c r="E501" s="29" t="s">
        <v>42</v>
      </c>
      <c r="F501" s="29" t="s">
        <v>43</v>
      </c>
      <c r="G501" t="e">
        <v>#N/A</v>
      </c>
    </row>
    <row r="502" spans="1:7" ht="11.5" hidden="1" customHeight="1" x14ac:dyDescent="0.35">
      <c r="A502" s="29" t="s">
        <v>730</v>
      </c>
      <c r="B502" s="29" t="s">
        <v>2502</v>
      </c>
      <c r="C502" s="16">
        <v>0</v>
      </c>
      <c r="D502" s="16">
        <v>0</v>
      </c>
      <c r="E502" s="29" t="s">
        <v>42</v>
      </c>
      <c r="F502" s="29" t="s">
        <v>43</v>
      </c>
      <c r="G502" t="e">
        <v>#N/A</v>
      </c>
    </row>
    <row r="503" spans="1:7" ht="11.5" hidden="1" customHeight="1" x14ac:dyDescent="0.35">
      <c r="A503" s="29" t="s">
        <v>731</v>
      </c>
      <c r="B503" s="29" t="s">
        <v>2503</v>
      </c>
      <c r="C503" s="16">
        <v>0</v>
      </c>
      <c r="D503" s="16">
        <v>0</v>
      </c>
      <c r="E503" s="29" t="s">
        <v>42</v>
      </c>
      <c r="F503" s="29" t="s">
        <v>43</v>
      </c>
      <c r="G503" t="e">
        <v>#N/A</v>
      </c>
    </row>
    <row r="504" spans="1:7" ht="11.5" hidden="1" customHeight="1" x14ac:dyDescent="0.35">
      <c r="A504" s="29" t="s">
        <v>732</v>
      </c>
      <c r="B504" s="29" t="s">
        <v>2504</v>
      </c>
      <c r="C504" s="16">
        <v>0</v>
      </c>
      <c r="D504" s="16">
        <v>0</v>
      </c>
      <c r="E504" s="29" t="s">
        <v>42</v>
      </c>
      <c r="F504" s="29" t="s">
        <v>43</v>
      </c>
      <c r="G504" t="e">
        <v>#N/A</v>
      </c>
    </row>
    <row r="505" spans="1:7" ht="11.5" hidden="1" customHeight="1" x14ac:dyDescent="0.35">
      <c r="A505" s="29" t="s">
        <v>733</v>
      </c>
      <c r="B505" s="29" t="s">
        <v>2505</v>
      </c>
      <c r="C505" s="16">
        <v>0</v>
      </c>
      <c r="D505" s="16">
        <v>0</v>
      </c>
      <c r="E505" s="29" t="s">
        <v>42</v>
      </c>
      <c r="F505" s="29" t="s">
        <v>43</v>
      </c>
      <c r="G505" t="e">
        <v>#N/A</v>
      </c>
    </row>
    <row r="506" spans="1:7" ht="11.5" hidden="1" customHeight="1" x14ac:dyDescent="0.35">
      <c r="A506" s="29" t="s">
        <v>734</v>
      </c>
      <c r="B506" s="29" t="s">
        <v>2506</v>
      </c>
      <c r="C506" s="16">
        <v>0</v>
      </c>
      <c r="D506" s="16">
        <v>0</v>
      </c>
      <c r="E506" s="29" t="s">
        <v>42</v>
      </c>
      <c r="F506" s="29" t="s">
        <v>43</v>
      </c>
      <c r="G506" t="e">
        <v>#N/A</v>
      </c>
    </row>
    <row r="507" spans="1:7" ht="11.5" hidden="1" customHeight="1" x14ac:dyDescent="0.35">
      <c r="A507" s="29" t="s">
        <v>735</v>
      </c>
      <c r="B507" s="29" t="s">
        <v>2507</v>
      </c>
      <c r="C507" s="16">
        <v>0</v>
      </c>
      <c r="D507" s="16">
        <v>0</v>
      </c>
      <c r="E507" s="29" t="s">
        <v>42</v>
      </c>
      <c r="F507" s="29" t="s">
        <v>43</v>
      </c>
      <c r="G507" t="e">
        <v>#N/A</v>
      </c>
    </row>
    <row r="508" spans="1:7" ht="11.5" hidden="1" customHeight="1" x14ac:dyDescent="0.35">
      <c r="A508" s="29" t="s">
        <v>736</v>
      </c>
      <c r="B508" s="29" t="s">
        <v>2508</v>
      </c>
      <c r="C508" s="16">
        <v>0</v>
      </c>
      <c r="D508" s="16">
        <v>0</v>
      </c>
      <c r="E508" s="29" t="s">
        <v>42</v>
      </c>
      <c r="F508" s="29" t="s">
        <v>43</v>
      </c>
      <c r="G508" t="e">
        <v>#N/A</v>
      </c>
    </row>
    <row r="509" spans="1:7" ht="11.5" hidden="1" customHeight="1" x14ac:dyDescent="0.35">
      <c r="A509" s="29" t="s">
        <v>737</v>
      </c>
      <c r="B509" s="29" t="s">
        <v>2509</v>
      </c>
      <c r="C509" s="16">
        <v>0</v>
      </c>
      <c r="D509" s="16">
        <v>0</v>
      </c>
      <c r="E509" s="29" t="s">
        <v>42</v>
      </c>
      <c r="F509" s="29" t="s">
        <v>43</v>
      </c>
      <c r="G509" t="e">
        <v>#N/A</v>
      </c>
    </row>
    <row r="510" spans="1:7" ht="11.5" hidden="1" customHeight="1" x14ac:dyDescent="0.35">
      <c r="A510" s="29" t="s">
        <v>738</v>
      </c>
      <c r="B510" s="29" t="s">
        <v>2510</v>
      </c>
      <c r="C510" s="16">
        <v>0</v>
      </c>
      <c r="D510" s="16">
        <v>0</v>
      </c>
      <c r="E510" s="29" t="s">
        <v>42</v>
      </c>
      <c r="F510" s="29" t="s">
        <v>43</v>
      </c>
      <c r="G510" t="e">
        <v>#N/A</v>
      </c>
    </row>
    <row r="511" spans="1:7" ht="11.5" hidden="1" customHeight="1" x14ac:dyDescent="0.35">
      <c r="A511" s="29" t="s">
        <v>739</v>
      </c>
      <c r="B511" s="29" t="s">
        <v>2511</v>
      </c>
      <c r="C511" s="16">
        <v>0</v>
      </c>
      <c r="D511" s="16">
        <v>0</v>
      </c>
      <c r="E511" s="29" t="s">
        <v>42</v>
      </c>
      <c r="F511" s="29" t="s">
        <v>43</v>
      </c>
      <c r="G511" t="e">
        <v>#N/A</v>
      </c>
    </row>
    <row r="512" spans="1:7" ht="11.5" hidden="1" customHeight="1" x14ac:dyDescent="0.35">
      <c r="A512" s="29" t="s">
        <v>740</v>
      </c>
      <c r="B512" s="29" t="s">
        <v>2512</v>
      </c>
      <c r="C512" s="16">
        <v>0</v>
      </c>
      <c r="D512" s="16">
        <v>0</v>
      </c>
      <c r="E512" s="29" t="s">
        <v>42</v>
      </c>
      <c r="F512" s="29" t="s">
        <v>43</v>
      </c>
      <c r="G512" t="e">
        <v>#N/A</v>
      </c>
    </row>
    <row r="513" spans="1:7" ht="11.5" hidden="1" customHeight="1" x14ac:dyDescent="0.35">
      <c r="A513" s="29" t="s">
        <v>741</v>
      </c>
      <c r="B513" s="29" t="s">
        <v>2513</v>
      </c>
      <c r="C513" s="16">
        <v>0</v>
      </c>
      <c r="D513" s="16">
        <v>0</v>
      </c>
      <c r="E513" s="29" t="s">
        <v>42</v>
      </c>
      <c r="F513" s="29" t="s">
        <v>43</v>
      </c>
      <c r="G513" t="e">
        <v>#N/A</v>
      </c>
    </row>
    <row r="514" spans="1:7" ht="11.5" hidden="1" customHeight="1" x14ac:dyDescent="0.35">
      <c r="A514" s="29" t="s">
        <v>742</v>
      </c>
      <c r="B514" s="29" t="s">
        <v>2514</v>
      </c>
      <c r="C514" s="16">
        <v>0</v>
      </c>
      <c r="D514" s="16">
        <v>0</v>
      </c>
      <c r="E514" s="29" t="s">
        <v>42</v>
      </c>
      <c r="F514" s="29" t="s">
        <v>43</v>
      </c>
      <c r="G514" t="e">
        <v>#N/A</v>
      </c>
    </row>
    <row r="515" spans="1:7" ht="11.5" hidden="1" customHeight="1" x14ac:dyDescent="0.35">
      <c r="A515" s="29" t="s">
        <v>743</v>
      </c>
      <c r="B515" s="29" t="s">
        <v>2515</v>
      </c>
      <c r="C515" s="16">
        <v>0</v>
      </c>
      <c r="D515" s="16">
        <v>0</v>
      </c>
      <c r="E515" s="29" t="s">
        <v>42</v>
      </c>
      <c r="F515" s="29" t="s">
        <v>43</v>
      </c>
      <c r="G515" t="e">
        <v>#N/A</v>
      </c>
    </row>
    <row r="516" spans="1:7" ht="11.5" hidden="1" customHeight="1" x14ac:dyDescent="0.35">
      <c r="A516" s="29" t="s">
        <v>744</v>
      </c>
      <c r="B516" s="29" t="s">
        <v>2516</v>
      </c>
      <c r="C516" s="16">
        <v>0</v>
      </c>
      <c r="D516" s="16">
        <v>0</v>
      </c>
      <c r="E516" s="29" t="s">
        <v>42</v>
      </c>
      <c r="F516" s="29" t="s">
        <v>43</v>
      </c>
      <c r="G516" t="e">
        <v>#N/A</v>
      </c>
    </row>
    <row r="517" spans="1:7" ht="11.5" hidden="1" customHeight="1" x14ac:dyDescent="0.35">
      <c r="A517" s="29" t="s">
        <v>745</v>
      </c>
      <c r="B517" s="29" t="s">
        <v>2517</v>
      </c>
      <c r="C517" s="16">
        <v>0</v>
      </c>
      <c r="D517" s="16">
        <v>0</v>
      </c>
      <c r="E517" s="29" t="s">
        <v>42</v>
      </c>
      <c r="F517" s="29" t="s">
        <v>43</v>
      </c>
      <c r="G517" t="e">
        <v>#N/A</v>
      </c>
    </row>
    <row r="518" spans="1:7" ht="11.5" hidden="1" customHeight="1" x14ac:dyDescent="0.35">
      <c r="A518" s="29" t="s">
        <v>746</v>
      </c>
      <c r="B518" s="29" t="s">
        <v>2518</v>
      </c>
      <c r="C518" s="16">
        <v>0</v>
      </c>
      <c r="D518" s="16">
        <v>0</v>
      </c>
      <c r="E518" s="29" t="s">
        <v>42</v>
      </c>
      <c r="F518" s="29" t="s">
        <v>43</v>
      </c>
      <c r="G518" t="e">
        <v>#N/A</v>
      </c>
    </row>
    <row r="519" spans="1:7" ht="11.5" hidden="1" customHeight="1" x14ac:dyDescent="0.35">
      <c r="A519" s="29" t="s">
        <v>747</v>
      </c>
      <c r="B519" s="29" t="s">
        <v>2519</v>
      </c>
      <c r="C519" s="16">
        <v>0</v>
      </c>
      <c r="D519" s="16">
        <v>0</v>
      </c>
      <c r="E519" s="29" t="s">
        <v>42</v>
      </c>
      <c r="F519" s="29" t="s">
        <v>43</v>
      </c>
      <c r="G519" t="e">
        <v>#N/A</v>
      </c>
    </row>
    <row r="520" spans="1:7" ht="11.5" hidden="1" customHeight="1" x14ac:dyDescent="0.35">
      <c r="A520" s="29" t="s">
        <v>748</v>
      </c>
      <c r="B520" s="29" t="s">
        <v>2520</v>
      </c>
      <c r="C520" s="16">
        <v>0</v>
      </c>
      <c r="D520" s="16">
        <v>0</v>
      </c>
      <c r="E520" s="29" t="s">
        <v>42</v>
      </c>
      <c r="F520" s="29" t="s">
        <v>43</v>
      </c>
      <c r="G520" t="e">
        <v>#N/A</v>
      </c>
    </row>
    <row r="521" spans="1:7" ht="11.5" hidden="1" customHeight="1" x14ac:dyDescent="0.35">
      <c r="A521" s="29" t="s">
        <v>749</v>
      </c>
      <c r="B521" s="29" t="s">
        <v>2521</v>
      </c>
      <c r="C521" s="16">
        <v>0</v>
      </c>
      <c r="D521" s="16">
        <v>0</v>
      </c>
      <c r="E521" s="29" t="s">
        <v>42</v>
      </c>
      <c r="F521" s="29" t="s">
        <v>43</v>
      </c>
      <c r="G521" t="e">
        <v>#N/A</v>
      </c>
    </row>
    <row r="522" spans="1:7" ht="11.5" hidden="1" customHeight="1" x14ac:dyDescent="0.35">
      <c r="A522" s="29" t="s">
        <v>750</v>
      </c>
      <c r="B522" s="29" t="s">
        <v>2522</v>
      </c>
      <c r="C522" s="16">
        <v>0</v>
      </c>
      <c r="D522" s="16">
        <v>0</v>
      </c>
      <c r="E522" s="29" t="s">
        <v>42</v>
      </c>
      <c r="F522" s="29" t="s">
        <v>43</v>
      </c>
      <c r="G522" t="e">
        <v>#N/A</v>
      </c>
    </row>
    <row r="523" spans="1:7" ht="11.5" hidden="1" customHeight="1" x14ac:dyDescent="0.35">
      <c r="A523" s="29" t="s">
        <v>751</v>
      </c>
      <c r="B523" s="29" t="s">
        <v>2523</v>
      </c>
      <c r="C523" s="16">
        <v>0</v>
      </c>
      <c r="D523" s="16">
        <v>0</v>
      </c>
      <c r="E523" s="29" t="s">
        <v>42</v>
      </c>
      <c r="F523" s="29" t="s">
        <v>43</v>
      </c>
      <c r="G523" t="e">
        <v>#N/A</v>
      </c>
    </row>
    <row r="524" spans="1:7" ht="11.5" hidden="1" customHeight="1" x14ac:dyDescent="0.35">
      <c r="A524" s="29" t="s">
        <v>752</v>
      </c>
      <c r="B524" s="29" t="s">
        <v>2524</v>
      </c>
      <c r="C524" s="16">
        <v>0</v>
      </c>
      <c r="D524" s="16">
        <v>0</v>
      </c>
      <c r="E524" s="29" t="s">
        <v>42</v>
      </c>
      <c r="F524" s="29" t="s">
        <v>43</v>
      </c>
      <c r="G524" t="e">
        <v>#N/A</v>
      </c>
    </row>
    <row r="525" spans="1:7" ht="11.5" hidden="1" customHeight="1" x14ac:dyDescent="0.35">
      <c r="A525" s="29" t="s">
        <v>753</v>
      </c>
      <c r="B525" s="29" t="s">
        <v>2525</v>
      </c>
      <c r="C525" s="16">
        <v>0</v>
      </c>
      <c r="D525" s="16">
        <v>0</v>
      </c>
      <c r="E525" s="29" t="s">
        <v>42</v>
      </c>
      <c r="F525" s="29" t="s">
        <v>43</v>
      </c>
      <c r="G525" t="e">
        <v>#N/A</v>
      </c>
    </row>
    <row r="526" spans="1:7" ht="11.5" hidden="1" customHeight="1" x14ac:dyDescent="0.35">
      <c r="A526" s="29" t="s">
        <v>754</v>
      </c>
      <c r="B526" s="29" t="s">
        <v>2526</v>
      </c>
      <c r="C526" s="16">
        <v>0</v>
      </c>
      <c r="D526" s="16">
        <v>0</v>
      </c>
      <c r="E526" s="29" t="s">
        <v>42</v>
      </c>
      <c r="F526" s="29" t="s">
        <v>43</v>
      </c>
      <c r="G526" t="e">
        <v>#N/A</v>
      </c>
    </row>
    <row r="527" spans="1:7" ht="11.5" hidden="1" customHeight="1" x14ac:dyDescent="0.35">
      <c r="A527" s="29" t="s">
        <v>755</v>
      </c>
      <c r="B527" s="29" t="s">
        <v>2527</v>
      </c>
      <c r="C527" s="16">
        <v>0</v>
      </c>
      <c r="D527" s="16">
        <v>0</v>
      </c>
      <c r="E527" s="29" t="s">
        <v>42</v>
      </c>
      <c r="F527" s="29" t="s">
        <v>43</v>
      </c>
      <c r="G527" t="e">
        <v>#N/A</v>
      </c>
    </row>
    <row r="528" spans="1:7" ht="11.5" hidden="1" customHeight="1" x14ac:dyDescent="0.35">
      <c r="A528" s="29" t="s">
        <v>756</v>
      </c>
      <c r="B528" s="29" t="s">
        <v>2528</v>
      </c>
      <c r="C528" s="16">
        <v>0</v>
      </c>
      <c r="D528" s="16">
        <v>0</v>
      </c>
      <c r="E528" s="29" t="s">
        <v>42</v>
      </c>
      <c r="F528" s="29" t="s">
        <v>43</v>
      </c>
      <c r="G528" t="e">
        <v>#N/A</v>
      </c>
    </row>
    <row r="529" spans="1:7" ht="11.5" hidden="1" customHeight="1" x14ac:dyDescent="0.35">
      <c r="A529" s="29" t="s">
        <v>757</v>
      </c>
      <c r="B529" s="29" t="s">
        <v>2529</v>
      </c>
      <c r="C529" s="16">
        <v>0</v>
      </c>
      <c r="D529" s="16">
        <v>0</v>
      </c>
      <c r="E529" s="29" t="s">
        <v>42</v>
      </c>
      <c r="F529" s="29" t="s">
        <v>43</v>
      </c>
      <c r="G529" t="e">
        <v>#N/A</v>
      </c>
    </row>
    <row r="530" spans="1:7" ht="11.5" hidden="1" customHeight="1" x14ac:dyDescent="0.35">
      <c r="A530" s="29" t="s">
        <v>758</v>
      </c>
      <c r="B530" s="29" t="s">
        <v>2530</v>
      </c>
      <c r="C530" s="16">
        <v>0</v>
      </c>
      <c r="D530" s="16">
        <v>0</v>
      </c>
      <c r="E530" s="29" t="s">
        <v>42</v>
      </c>
      <c r="F530" s="29" t="s">
        <v>43</v>
      </c>
      <c r="G530" t="e">
        <v>#N/A</v>
      </c>
    </row>
    <row r="531" spans="1:7" ht="11.5" hidden="1" customHeight="1" x14ac:dyDescent="0.35">
      <c r="A531" s="29" t="s">
        <v>759</v>
      </c>
      <c r="B531" s="29" t="s">
        <v>2531</v>
      </c>
      <c r="C531" s="16">
        <v>0</v>
      </c>
      <c r="D531" s="16">
        <v>0</v>
      </c>
      <c r="E531" s="29" t="s">
        <v>42</v>
      </c>
      <c r="F531" s="29" t="s">
        <v>43</v>
      </c>
      <c r="G531" t="e">
        <v>#N/A</v>
      </c>
    </row>
    <row r="532" spans="1:7" ht="11.5" hidden="1" customHeight="1" x14ac:dyDescent="0.35">
      <c r="A532" s="29" t="s">
        <v>760</v>
      </c>
      <c r="B532" s="29" t="s">
        <v>2532</v>
      </c>
      <c r="C532" s="16">
        <v>0</v>
      </c>
      <c r="D532" s="16">
        <v>0</v>
      </c>
      <c r="E532" s="29" t="s">
        <v>42</v>
      </c>
      <c r="F532" s="29" t="s">
        <v>43</v>
      </c>
      <c r="G532" t="e">
        <v>#N/A</v>
      </c>
    </row>
    <row r="533" spans="1:7" ht="11.5" hidden="1" customHeight="1" x14ac:dyDescent="0.35">
      <c r="A533" s="29" t="s">
        <v>761</v>
      </c>
      <c r="B533" s="29" t="s">
        <v>2533</v>
      </c>
      <c r="C533" s="16">
        <v>0</v>
      </c>
      <c r="D533" s="16">
        <v>0</v>
      </c>
      <c r="E533" s="29" t="s">
        <v>42</v>
      </c>
      <c r="F533" s="29" t="s">
        <v>43</v>
      </c>
      <c r="G533" t="e">
        <v>#N/A</v>
      </c>
    </row>
    <row r="534" spans="1:7" ht="11.5" hidden="1" customHeight="1" x14ac:dyDescent="0.35">
      <c r="A534" s="29" t="s">
        <v>762</v>
      </c>
      <c r="B534" s="29" t="s">
        <v>2534</v>
      </c>
      <c r="C534" s="16">
        <v>0</v>
      </c>
      <c r="D534" s="16">
        <v>0</v>
      </c>
      <c r="E534" s="29" t="s">
        <v>42</v>
      </c>
      <c r="F534" s="29" t="s">
        <v>43</v>
      </c>
      <c r="G534" t="e">
        <v>#N/A</v>
      </c>
    </row>
    <row r="535" spans="1:7" ht="11.5" hidden="1" customHeight="1" x14ac:dyDescent="0.35">
      <c r="A535" s="29" t="s">
        <v>763</v>
      </c>
      <c r="B535" s="29" t="s">
        <v>2535</v>
      </c>
      <c r="C535" s="16">
        <v>0</v>
      </c>
      <c r="D535" s="16">
        <v>0</v>
      </c>
      <c r="E535" s="29" t="s">
        <v>42</v>
      </c>
      <c r="F535" s="29" t="s">
        <v>43</v>
      </c>
      <c r="G535" t="e">
        <v>#N/A</v>
      </c>
    </row>
    <row r="536" spans="1:7" ht="11.5" hidden="1" customHeight="1" x14ac:dyDescent="0.35">
      <c r="A536" s="29" t="s">
        <v>764</v>
      </c>
      <c r="B536" s="29" t="s">
        <v>2536</v>
      </c>
      <c r="C536" s="16">
        <v>0</v>
      </c>
      <c r="D536" s="16">
        <v>0</v>
      </c>
      <c r="E536" s="29" t="s">
        <v>42</v>
      </c>
      <c r="F536" s="29" t="s">
        <v>43</v>
      </c>
      <c r="G536" t="e">
        <v>#N/A</v>
      </c>
    </row>
    <row r="537" spans="1:7" ht="11.5" hidden="1" customHeight="1" x14ac:dyDescent="0.35">
      <c r="A537" s="29" t="s">
        <v>765</v>
      </c>
      <c r="B537" s="29" t="s">
        <v>2537</v>
      </c>
      <c r="C537" s="16">
        <v>0</v>
      </c>
      <c r="D537" s="16">
        <v>0</v>
      </c>
      <c r="E537" s="29" t="s">
        <v>42</v>
      </c>
      <c r="F537" s="29" t="s">
        <v>43</v>
      </c>
      <c r="G537" t="e">
        <v>#N/A</v>
      </c>
    </row>
    <row r="538" spans="1:7" ht="11.5" hidden="1" customHeight="1" x14ac:dyDescent="0.35">
      <c r="A538" s="29" t="s">
        <v>766</v>
      </c>
      <c r="B538" s="29" t="s">
        <v>2538</v>
      </c>
      <c r="C538" s="16">
        <v>0</v>
      </c>
      <c r="D538" s="16">
        <v>0</v>
      </c>
      <c r="E538" s="29" t="s">
        <v>42</v>
      </c>
      <c r="F538" s="29" t="s">
        <v>43</v>
      </c>
      <c r="G538" t="s">
        <v>3900</v>
      </c>
    </row>
    <row r="539" spans="1:7" ht="11.5" hidden="1" customHeight="1" x14ac:dyDescent="0.35">
      <c r="A539" s="29" t="s">
        <v>767</v>
      </c>
      <c r="B539" s="29" t="s">
        <v>2539</v>
      </c>
      <c r="C539" s="16">
        <v>0</v>
      </c>
      <c r="D539" s="16">
        <v>0</v>
      </c>
      <c r="E539" s="29" t="s">
        <v>42</v>
      </c>
      <c r="F539" s="29" t="s">
        <v>43</v>
      </c>
      <c r="G539" t="e">
        <v>#N/A</v>
      </c>
    </row>
    <row r="540" spans="1:7" ht="11.5" hidden="1" customHeight="1" x14ac:dyDescent="0.35">
      <c r="A540" s="29" t="s">
        <v>768</v>
      </c>
      <c r="B540" s="29" t="s">
        <v>2540</v>
      </c>
      <c r="C540" s="16">
        <v>0</v>
      </c>
      <c r="D540" s="16">
        <v>0</v>
      </c>
      <c r="E540" s="29" t="s">
        <v>42</v>
      </c>
      <c r="F540" s="29" t="s">
        <v>43</v>
      </c>
      <c r="G540" t="e">
        <v>#N/A</v>
      </c>
    </row>
    <row r="541" spans="1:7" ht="11.5" hidden="1" customHeight="1" x14ac:dyDescent="0.35">
      <c r="A541" s="29" t="s">
        <v>769</v>
      </c>
      <c r="B541" s="29" t="s">
        <v>2541</v>
      </c>
      <c r="C541" s="16">
        <v>0</v>
      </c>
      <c r="D541" s="16">
        <v>0</v>
      </c>
      <c r="E541" s="29" t="s">
        <v>42</v>
      </c>
      <c r="F541" s="29" t="s">
        <v>43</v>
      </c>
      <c r="G541" t="e">
        <v>#N/A</v>
      </c>
    </row>
    <row r="542" spans="1:7" ht="11.5" hidden="1" customHeight="1" x14ac:dyDescent="0.35">
      <c r="A542" s="29" t="s">
        <v>770</v>
      </c>
      <c r="B542" s="29" t="s">
        <v>2542</v>
      </c>
      <c r="C542" s="16">
        <v>0</v>
      </c>
      <c r="D542" s="16">
        <v>0</v>
      </c>
      <c r="E542" s="29" t="s">
        <v>42</v>
      </c>
      <c r="F542" s="29" t="s">
        <v>43</v>
      </c>
      <c r="G542" t="e">
        <v>#N/A</v>
      </c>
    </row>
    <row r="543" spans="1:7" ht="11.5" hidden="1" customHeight="1" x14ac:dyDescent="0.35">
      <c r="A543" s="29" t="s">
        <v>771</v>
      </c>
      <c r="B543" s="29" t="s">
        <v>2543</v>
      </c>
      <c r="C543" s="16">
        <v>0</v>
      </c>
      <c r="D543" s="16">
        <v>0</v>
      </c>
      <c r="E543" s="29" t="s">
        <v>42</v>
      </c>
      <c r="F543" s="29" t="s">
        <v>43</v>
      </c>
      <c r="G543" t="e">
        <v>#N/A</v>
      </c>
    </row>
    <row r="544" spans="1:7" ht="11.5" hidden="1" customHeight="1" x14ac:dyDescent="0.35">
      <c r="A544" s="29" t="s">
        <v>772</v>
      </c>
      <c r="B544" s="29" t="s">
        <v>2544</v>
      </c>
      <c r="C544" s="16">
        <v>0</v>
      </c>
      <c r="D544" s="16">
        <v>0</v>
      </c>
      <c r="E544" s="29" t="s">
        <v>42</v>
      </c>
      <c r="F544" s="29" t="s">
        <v>43</v>
      </c>
      <c r="G544" t="e">
        <v>#N/A</v>
      </c>
    </row>
    <row r="545" spans="1:7" ht="11.5" hidden="1" customHeight="1" x14ac:dyDescent="0.35">
      <c r="A545" s="29" t="s">
        <v>773</v>
      </c>
      <c r="B545" s="29" t="s">
        <v>2545</v>
      </c>
      <c r="C545" s="16">
        <v>0</v>
      </c>
      <c r="D545" s="16">
        <v>0</v>
      </c>
      <c r="E545" s="29" t="s">
        <v>42</v>
      </c>
      <c r="F545" s="29" t="s">
        <v>43</v>
      </c>
      <c r="G545" t="e">
        <v>#N/A</v>
      </c>
    </row>
    <row r="546" spans="1:7" ht="11.5" hidden="1" customHeight="1" x14ac:dyDescent="0.35">
      <c r="A546" s="29" t="s">
        <v>774</v>
      </c>
      <c r="B546" s="29" t="s">
        <v>2546</v>
      </c>
      <c r="C546" s="16">
        <v>0</v>
      </c>
      <c r="D546" s="16">
        <v>0</v>
      </c>
      <c r="E546" s="29" t="s">
        <v>42</v>
      </c>
      <c r="F546" s="29" t="s">
        <v>43</v>
      </c>
      <c r="G546" t="e">
        <v>#N/A</v>
      </c>
    </row>
    <row r="547" spans="1:7" ht="11.5" hidden="1" customHeight="1" x14ac:dyDescent="0.35">
      <c r="A547" s="29" t="s">
        <v>775</v>
      </c>
      <c r="B547" s="29" t="s">
        <v>2547</v>
      </c>
      <c r="C547" s="16">
        <v>0</v>
      </c>
      <c r="D547" s="16">
        <v>0</v>
      </c>
      <c r="E547" s="29" t="s">
        <v>42</v>
      </c>
      <c r="F547" s="29" t="s">
        <v>43</v>
      </c>
      <c r="G547" t="e">
        <v>#N/A</v>
      </c>
    </row>
    <row r="548" spans="1:7" ht="11.5" hidden="1" customHeight="1" x14ac:dyDescent="0.35">
      <c r="A548" s="29" t="s">
        <v>776</v>
      </c>
      <c r="B548" s="29" t="s">
        <v>2547</v>
      </c>
      <c r="C548" s="16">
        <v>0</v>
      </c>
      <c r="D548" s="16">
        <v>0</v>
      </c>
      <c r="E548" s="29" t="s">
        <v>42</v>
      </c>
      <c r="F548" s="29" t="s">
        <v>43</v>
      </c>
      <c r="G548" t="e">
        <v>#N/A</v>
      </c>
    </row>
    <row r="549" spans="1:7" ht="11.5" hidden="1" customHeight="1" x14ac:dyDescent="0.35">
      <c r="A549" s="29" t="s">
        <v>777</v>
      </c>
      <c r="B549" s="29" t="s">
        <v>2548</v>
      </c>
      <c r="C549" s="16">
        <v>0</v>
      </c>
      <c r="D549" s="16">
        <v>0</v>
      </c>
      <c r="E549" s="29" t="s">
        <v>42</v>
      </c>
      <c r="F549" s="29" t="s">
        <v>43</v>
      </c>
      <c r="G549" t="e">
        <v>#N/A</v>
      </c>
    </row>
    <row r="550" spans="1:7" ht="11.5" hidden="1" customHeight="1" x14ac:dyDescent="0.35">
      <c r="A550" s="29" t="s">
        <v>778</v>
      </c>
      <c r="B550" s="29" t="s">
        <v>2549</v>
      </c>
      <c r="C550" s="16">
        <v>0</v>
      </c>
      <c r="D550" s="16">
        <v>0</v>
      </c>
      <c r="E550" s="29" t="s">
        <v>42</v>
      </c>
      <c r="F550" s="29" t="s">
        <v>43</v>
      </c>
      <c r="G550" t="e">
        <v>#N/A</v>
      </c>
    </row>
    <row r="551" spans="1:7" ht="11.5" hidden="1" customHeight="1" x14ac:dyDescent="0.35">
      <c r="A551" s="29" t="s">
        <v>779</v>
      </c>
      <c r="B551" s="29" t="s">
        <v>2550</v>
      </c>
      <c r="C551" s="16">
        <v>0</v>
      </c>
      <c r="D551" s="16">
        <v>0</v>
      </c>
      <c r="E551" s="29" t="s">
        <v>42</v>
      </c>
      <c r="F551" s="29" t="s">
        <v>43</v>
      </c>
      <c r="G551" t="e">
        <v>#N/A</v>
      </c>
    </row>
    <row r="552" spans="1:7" ht="11.5" hidden="1" customHeight="1" x14ac:dyDescent="0.35">
      <c r="A552" s="29" t="s">
        <v>780</v>
      </c>
      <c r="B552" s="29" t="s">
        <v>2551</v>
      </c>
      <c r="C552" s="16">
        <v>0</v>
      </c>
      <c r="D552" s="16">
        <v>0</v>
      </c>
      <c r="E552" s="29" t="s">
        <v>42</v>
      </c>
      <c r="F552" s="29" t="s">
        <v>43</v>
      </c>
      <c r="G552" t="e">
        <v>#N/A</v>
      </c>
    </row>
    <row r="553" spans="1:7" ht="11.5" hidden="1" customHeight="1" x14ac:dyDescent="0.35">
      <c r="A553" s="29" t="s">
        <v>781</v>
      </c>
      <c r="B553" s="29" t="s">
        <v>2552</v>
      </c>
      <c r="C553" s="16">
        <v>0</v>
      </c>
      <c r="D553" s="16">
        <v>0</v>
      </c>
      <c r="E553" s="29" t="s">
        <v>42</v>
      </c>
      <c r="F553" s="29" t="s">
        <v>43</v>
      </c>
      <c r="G553" t="e">
        <v>#N/A</v>
      </c>
    </row>
    <row r="554" spans="1:7" ht="11.5" hidden="1" customHeight="1" x14ac:dyDescent="0.35">
      <c r="A554" s="29" t="s">
        <v>782</v>
      </c>
      <c r="B554" s="29" t="s">
        <v>2553</v>
      </c>
      <c r="C554" s="16">
        <v>0</v>
      </c>
      <c r="D554" s="16">
        <v>0</v>
      </c>
      <c r="E554" s="29" t="s">
        <v>42</v>
      </c>
      <c r="F554" s="29" t="s">
        <v>43</v>
      </c>
      <c r="G554" t="e">
        <v>#N/A</v>
      </c>
    </row>
    <row r="555" spans="1:7" ht="11.5" hidden="1" customHeight="1" x14ac:dyDescent="0.35">
      <c r="A555" s="29" t="s">
        <v>783</v>
      </c>
      <c r="B555" s="29" t="s">
        <v>2554</v>
      </c>
      <c r="C555" s="16">
        <v>0</v>
      </c>
      <c r="D555" s="16">
        <v>0</v>
      </c>
      <c r="E555" s="29" t="s">
        <v>42</v>
      </c>
      <c r="F555" s="29" t="s">
        <v>43</v>
      </c>
      <c r="G555" t="e">
        <v>#N/A</v>
      </c>
    </row>
    <row r="556" spans="1:7" ht="11.5" hidden="1" customHeight="1" x14ac:dyDescent="0.35">
      <c r="A556" s="29" t="s">
        <v>784</v>
      </c>
      <c r="B556" s="29" t="s">
        <v>2555</v>
      </c>
      <c r="C556" s="16">
        <v>0</v>
      </c>
      <c r="D556" s="16">
        <v>0</v>
      </c>
      <c r="E556" s="29" t="s">
        <v>42</v>
      </c>
      <c r="F556" s="29" t="s">
        <v>43</v>
      </c>
      <c r="G556" t="e">
        <v>#N/A</v>
      </c>
    </row>
    <row r="557" spans="1:7" ht="11.5" hidden="1" customHeight="1" x14ac:dyDescent="0.35">
      <c r="A557" s="29" t="s">
        <v>785</v>
      </c>
      <c r="B557" s="29" t="s">
        <v>2556</v>
      </c>
      <c r="C557" s="16">
        <v>0</v>
      </c>
      <c r="D557" s="16">
        <v>0</v>
      </c>
      <c r="E557" s="29" t="s">
        <v>42</v>
      </c>
      <c r="F557" s="29" t="s">
        <v>43</v>
      </c>
      <c r="G557" t="e">
        <v>#N/A</v>
      </c>
    </row>
    <row r="558" spans="1:7" ht="11.5" hidden="1" customHeight="1" x14ac:dyDescent="0.35">
      <c r="A558" s="29" t="s">
        <v>786</v>
      </c>
      <c r="B558" s="29" t="s">
        <v>2557</v>
      </c>
      <c r="C558" s="16">
        <v>0</v>
      </c>
      <c r="D558" s="16">
        <v>0</v>
      </c>
      <c r="E558" s="29" t="s">
        <v>42</v>
      </c>
      <c r="F558" s="29" t="s">
        <v>43</v>
      </c>
      <c r="G558" t="e">
        <v>#N/A</v>
      </c>
    </row>
    <row r="559" spans="1:7" ht="11.5" hidden="1" customHeight="1" x14ac:dyDescent="0.35">
      <c r="A559" s="29" t="s">
        <v>787</v>
      </c>
      <c r="B559" s="29" t="s">
        <v>2558</v>
      </c>
      <c r="C559" s="16">
        <v>0</v>
      </c>
      <c r="D559" s="16">
        <v>0</v>
      </c>
      <c r="E559" s="29" t="s">
        <v>42</v>
      </c>
      <c r="F559" s="29" t="s">
        <v>43</v>
      </c>
      <c r="G559" t="e">
        <v>#N/A</v>
      </c>
    </row>
    <row r="560" spans="1:7" ht="11.5" hidden="1" customHeight="1" x14ac:dyDescent="0.35">
      <c r="A560" s="29" t="s">
        <v>788</v>
      </c>
      <c r="B560" s="29" t="s">
        <v>2559</v>
      </c>
      <c r="C560" s="16">
        <v>0</v>
      </c>
      <c r="D560" s="16">
        <v>0</v>
      </c>
      <c r="E560" s="29" t="s">
        <v>42</v>
      </c>
      <c r="F560" s="29" t="s">
        <v>43</v>
      </c>
      <c r="G560" t="e">
        <v>#N/A</v>
      </c>
    </row>
    <row r="561" spans="1:7" ht="11.5" hidden="1" customHeight="1" x14ac:dyDescent="0.35">
      <c r="A561" s="29" t="s">
        <v>789</v>
      </c>
      <c r="B561" s="29" t="s">
        <v>2560</v>
      </c>
      <c r="C561" s="16">
        <v>0</v>
      </c>
      <c r="D561" s="16">
        <v>0</v>
      </c>
      <c r="E561" s="29" t="s">
        <v>42</v>
      </c>
      <c r="F561" s="29" t="s">
        <v>43</v>
      </c>
      <c r="G561" t="e">
        <v>#N/A</v>
      </c>
    </row>
    <row r="562" spans="1:7" ht="11.5" hidden="1" customHeight="1" x14ac:dyDescent="0.35">
      <c r="A562" s="29" t="s">
        <v>790</v>
      </c>
      <c r="B562" s="29" t="s">
        <v>2561</v>
      </c>
      <c r="C562" s="16">
        <v>0</v>
      </c>
      <c r="D562" s="16">
        <v>0</v>
      </c>
      <c r="E562" s="29" t="s">
        <v>42</v>
      </c>
      <c r="F562" s="29" t="s">
        <v>43</v>
      </c>
      <c r="G562" t="e">
        <v>#N/A</v>
      </c>
    </row>
    <row r="563" spans="1:7" ht="11.5" hidden="1" customHeight="1" x14ac:dyDescent="0.35">
      <c r="A563" s="29" t="s">
        <v>791</v>
      </c>
      <c r="B563" s="29" t="s">
        <v>2562</v>
      </c>
      <c r="C563" s="16">
        <v>0</v>
      </c>
      <c r="D563" s="16">
        <v>0</v>
      </c>
      <c r="E563" s="29" t="s">
        <v>42</v>
      </c>
      <c r="F563" s="29" t="s">
        <v>43</v>
      </c>
      <c r="G563" t="e">
        <v>#N/A</v>
      </c>
    </row>
    <row r="564" spans="1:7" ht="11.5" hidden="1" customHeight="1" x14ac:dyDescent="0.35">
      <c r="A564" s="29" t="s">
        <v>792</v>
      </c>
      <c r="B564" s="29" t="s">
        <v>2563</v>
      </c>
      <c r="C564" s="16">
        <v>0</v>
      </c>
      <c r="D564" s="16">
        <v>0</v>
      </c>
      <c r="E564" s="29" t="s">
        <v>42</v>
      </c>
      <c r="F564" s="29" t="s">
        <v>43</v>
      </c>
      <c r="G564" t="e">
        <v>#N/A</v>
      </c>
    </row>
    <row r="565" spans="1:7" ht="11.5" hidden="1" customHeight="1" x14ac:dyDescent="0.35">
      <c r="A565" s="29" t="s">
        <v>793</v>
      </c>
      <c r="B565" s="29" t="s">
        <v>2564</v>
      </c>
      <c r="C565" s="16">
        <v>0</v>
      </c>
      <c r="D565" s="16">
        <v>0</v>
      </c>
      <c r="E565" s="29" t="s">
        <v>42</v>
      </c>
      <c r="F565" s="29" t="s">
        <v>43</v>
      </c>
      <c r="G565" t="e">
        <v>#N/A</v>
      </c>
    </row>
    <row r="566" spans="1:7" ht="11.5" hidden="1" customHeight="1" x14ac:dyDescent="0.35">
      <c r="A566" s="29" t="s">
        <v>794</v>
      </c>
      <c r="B566" s="29" t="s">
        <v>2565</v>
      </c>
      <c r="C566" s="16">
        <v>0</v>
      </c>
      <c r="D566" s="16">
        <v>0</v>
      </c>
      <c r="E566" s="29" t="s">
        <v>42</v>
      </c>
      <c r="F566" s="29" t="s">
        <v>43</v>
      </c>
      <c r="G566" t="e">
        <v>#N/A</v>
      </c>
    </row>
    <row r="567" spans="1:7" ht="11.5" customHeight="1" x14ac:dyDescent="0.35">
      <c r="A567" s="29" t="s">
        <v>795</v>
      </c>
      <c r="B567" s="29" t="s">
        <v>2566</v>
      </c>
      <c r="C567" s="16">
        <v>0</v>
      </c>
      <c r="D567" s="16">
        <v>0</v>
      </c>
      <c r="E567" s="29" t="s">
        <v>42</v>
      </c>
      <c r="F567" s="29" t="s">
        <v>43</v>
      </c>
      <c r="G567" t="e">
        <v>#N/A</v>
      </c>
    </row>
    <row r="568" spans="1:7" ht="11.5" customHeight="1" x14ac:dyDescent="0.35">
      <c r="A568" s="29" t="s">
        <v>796</v>
      </c>
      <c r="B568" s="29" t="s">
        <v>2567</v>
      </c>
      <c r="C568" s="16">
        <v>0</v>
      </c>
      <c r="D568" s="16">
        <v>0</v>
      </c>
      <c r="E568" s="29" t="s">
        <v>42</v>
      </c>
      <c r="F568" s="29" t="s">
        <v>43</v>
      </c>
      <c r="G568" t="e">
        <v>#N/A</v>
      </c>
    </row>
    <row r="569" spans="1:7" ht="11.5" customHeight="1" x14ac:dyDescent="0.35">
      <c r="A569" s="29" t="s">
        <v>797</v>
      </c>
      <c r="B569" s="29" t="s">
        <v>2568</v>
      </c>
      <c r="C569" s="16">
        <v>0</v>
      </c>
      <c r="D569" s="16">
        <v>0</v>
      </c>
      <c r="E569" s="29" t="s">
        <v>42</v>
      </c>
      <c r="F569" s="29" t="s">
        <v>43</v>
      </c>
      <c r="G569" t="e">
        <v>#N/A</v>
      </c>
    </row>
    <row r="570" spans="1:7" ht="11.5" customHeight="1" x14ac:dyDescent="0.35">
      <c r="A570" s="29" t="s">
        <v>798</v>
      </c>
      <c r="B570" s="29" t="s">
        <v>2569</v>
      </c>
      <c r="C570" s="16">
        <v>0</v>
      </c>
      <c r="D570" s="16">
        <v>0</v>
      </c>
      <c r="E570" s="29" t="s">
        <v>42</v>
      </c>
      <c r="F570" s="29" t="s">
        <v>43</v>
      </c>
      <c r="G570" t="e">
        <v>#N/A</v>
      </c>
    </row>
    <row r="571" spans="1:7" ht="11.5" customHeight="1" x14ac:dyDescent="0.35">
      <c r="A571" s="29" t="s">
        <v>799</v>
      </c>
      <c r="B571" s="29" t="s">
        <v>2570</v>
      </c>
      <c r="C571" s="16">
        <v>0</v>
      </c>
      <c r="D571" s="16">
        <v>0</v>
      </c>
      <c r="E571" s="29" t="s">
        <v>42</v>
      </c>
      <c r="F571" s="29" t="s">
        <v>43</v>
      </c>
      <c r="G571" t="e">
        <v>#N/A</v>
      </c>
    </row>
    <row r="572" spans="1:7" ht="11.5" customHeight="1" x14ac:dyDescent="0.35">
      <c r="A572" s="29" t="s">
        <v>800</v>
      </c>
      <c r="B572" s="29" t="s">
        <v>2571</v>
      </c>
      <c r="C572" s="16">
        <v>0</v>
      </c>
      <c r="D572" s="16">
        <v>0</v>
      </c>
      <c r="E572" s="29" t="s">
        <v>42</v>
      </c>
      <c r="F572" s="29" t="s">
        <v>43</v>
      </c>
      <c r="G572" t="e">
        <v>#N/A</v>
      </c>
    </row>
    <row r="573" spans="1:7" ht="11.5" customHeight="1" x14ac:dyDescent="0.35">
      <c r="A573" s="29" t="s">
        <v>801</v>
      </c>
      <c r="B573" s="29" t="s">
        <v>2572</v>
      </c>
      <c r="C573" s="16">
        <v>0</v>
      </c>
      <c r="D573" s="16">
        <v>0</v>
      </c>
      <c r="E573" s="29" t="s">
        <v>42</v>
      </c>
      <c r="F573" s="29" t="s">
        <v>43</v>
      </c>
      <c r="G573" t="e">
        <v>#N/A</v>
      </c>
    </row>
    <row r="574" spans="1:7" ht="11.5" customHeight="1" x14ac:dyDescent="0.35">
      <c r="A574" s="29" t="s">
        <v>802</v>
      </c>
      <c r="B574" s="29" t="s">
        <v>2573</v>
      </c>
      <c r="C574" s="16">
        <v>0</v>
      </c>
      <c r="D574" s="16">
        <v>0</v>
      </c>
      <c r="E574" s="29" t="s">
        <v>42</v>
      </c>
      <c r="F574" s="29" t="s">
        <v>43</v>
      </c>
      <c r="G574" t="e">
        <v>#N/A</v>
      </c>
    </row>
    <row r="575" spans="1:7" ht="11.5" customHeight="1" x14ac:dyDescent="0.35">
      <c r="A575" s="29" t="s">
        <v>803</v>
      </c>
      <c r="B575" s="29" t="s">
        <v>2574</v>
      </c>
      <c r="C575" s="16">
        <v>0</v>
      </c>
      <c r="D575" s="16">
        <v>0</v>
      </c>
      <c r="E575" s="29" t="s">
        <v>42</v>
      </c>
      <c r="F575" s="29" t="s">
        <v>43</v>
      </c>
      <c r="G575" t="e">
        <v>#N/A</v>
      </c>
    </row>
    <row r="576" spans="1:7" ht="11.5" customHeight="1" x14ac:dyDescent="0.35">
      <c r="A576" s="29" t="s">
        <v>804</v>
      </c>
      <c r="B576" s="29" t="s">
        <v>2575</v>
      </c>
      <c r="C576" s="16">
        <v>0</v>
      </c>
      <c r="D576" s="16">
        <v>0</v>
      </c>
      <c r="E576" s="29" t="s">
        <v>42</v>
      </c>
      <c r="F576" s="29" t="s">
        <v>43</v>
      </c>
      <c r="G576" t="e">
        <v>#N/A</v>
      </c>
    </row>
    <row r="577" spans="1:7" ht="11.5" customHeight="1" x14ac:dyDescent="0.35">
      <c r="A577" s="29" t="s">
        <v>805</v>
      </c>
      <c r="B577" s="29" t="s">
        <v>2576</v>
      </c>
      <c r="C577" s="16">
        <v>0</v>
      </c>
      <c r="D577" s="16">
        <v>0</v>
      </c>
      <c r="E577" s="29" t="s">
        <v>42</v>
      </c>
      <c r="F577" s="29" t="s">
        <v>43</v>
      </c>
      <c r="G577" t="e">
        <v>#N/A</v>
      </c>
    </row>
    <row r="578" spans="1:7" ht="11.5" customHeight="1" x14ac:dyDescent="0.35">
      <c r="A578" s="29" t="s">
        <v>806</v>
      </c>
      <c r="B578" s="29" t="s">
        <v>2577</v>
      </c>
      <c r="C578" s="16">
        <v>0</v>
      </c>
      <c r="D578" s="16">
        <v>0</v>
      </c>
      <c r="E578" s="29" t="s">
        <v>42</v>
      </c>
      <c r="F578" s="29" t="s">
        <v>43</v>
      </c>
      <c r="G578" t="e">
        <v>#N/A</v>
      </c>
    </row>
    <row r="579" spans="1:7" ht="11.5" customHeight="1" x14ac:dyDescent="0.35">
      <c r="A579" s="29" t="s">
        <v>807</v>
      </c>
      <c r="B579" s="29" t="s">
        <v>2578</v>
      </c>
      <c r="C579" s="16">
        <v>0</v>
      </c>
      <c r="D579" s="16">
        <v>0</v>
      </c>
      <c r="E579" s="29" t="s">
        <v>42</v>
      </c>
      <c r="F579" s="29" t="s">
        <v>43</v>
      </c>
      <c r="G579" t="e">
        <v>#N/A</v>
      </c>
    </row>
    <row r="580" spans="1:7" ht="11.5" customHeight="1" x14ac:dyDescent="0.35">
      <c r="A580" s="29" t="s">
        <v>808</v>
      </c>
      <c r="B580" s="29" t="s">
        <v>2579</v>
      </c>
      <c r="C580" s="16">
        <v>0</v>
      </c>
      <c r="D580" s="16">
        <v>0</v>
      </c>
      <c r="E580" s="29" t="s">
        <v>42</v>
      </c>
      <c r="F580" s="29" t="s">
        <v>43</v>
      </c>
      <c r="G580" t="e">
        <v>#N/A</v>
      </c>
    </row>
    <row r="581" spans="1:7" ht="11.5" customHeight="1" x14ac:dyDescent="0.35">
      <c r="A581" s="29" t="s">
        <v>809</v>
      </c>
      <c r="B581" s="29" t="s">
        <v>2580</v>
      </c>
      <c r="C581" s="16">
        <v>0</v>
      </c>
      <c r="D581" s="16">
        <v>0</v>
      </c>
      <c r="E581" s="29" t="s">
        <v>42</v>
      </c>
      <c r="F581" s="29" t="s">
        <v>43</v>
      </c>
      <c r="G581" t="e">
        <v>#N/A</v>
      </c>
    </row>
    <row r="582" spans="1:7" ht="11.5" customHeight="1" x14ac:dyDescent="0.35">
      <c r="A582" s="29" t="s">
        <v>810</v>
      </c>
      <c r="B582" s="29" t="s">
        <v>2581</v>
      </c>
      <c r="C582" s="16">
        <v>0</v>
      </c>
      <c r="D582" s="16">
        <v>0</v>
      </c>
      <c r="E582" s="29" t="s">
        <v>42</v>
      </c>
      <c r="F582" s="29" t="s">
        <v>43</v>
      </c>
      <c r="G582" t="e">
        <v>#N/A</v>
      </c>
    </row>
    <row r="583" spans="1:7" ht="11.5" customHeight="1" x14ac:dyDescent="0.35">
      <c r="A583" s="29" t="s">
        <v>811</v>
      </c>
      <c r="B583" s="29" t="s">
        <v>2582</v>
      </c>
      <c r="C583" s="16">
        <v>0</v>
      </c>
      <c r="D583" s="16">
        <v>0</v>
      </c>
      <c r="E583" s="29" t="s">
        <v>42</v>
      </c>
      <c r="F583" s="29" t="s">
        <v>43</v>
      </c>
      <c r="G583" t="e">
        <v>#N/A</v>
      </c>
    </row>
    <row r="584" spans="1:7" ht="11.5" customHeight="1" x14ac:dyDescent="0.35">
      <c r="A584" s="29" t="s">
        <v>812</v>
      </c>
      <c r="B584" s="29" t="s">
        <v>2583</v>
      </c>
      <c r="C584" s="16">
        <v>0</v>
      </c>
      <c r="D584" s="16">
        <v>0</v>
      </c>
      <c r="E584" s="29" t="s">
        <v>42</v>
      </c>
      <c r="F584" s="29" t="s">
        <v>43</v>
      </c>
      <c r="G584" t="e">
        <v>#N/A</v>
      </c>
    </row>
    <row r="585" spans="1:7" ht="11.5" customHeight="1" x14ac:dyDescent="0.35">
      <c r="A585" s="29" t="s">
        <v>813</v>
      </c>
      <c r="B585" s="29" t="s">
        <v>2584</v>
      </c>
      <c r="C585" s="16">
        <v>0</v>
      </c>
      <c r="D585" s="16">
        <v>0</v>
      </c>
      <c r="E585" s="29" t="s">
        <v>42</v>
      </c>
      <c r="F585" s="29" t="s">
        <v>43</v>
      </c>
      <c r="G585" t="e">
        <v>#N/A</v>
      </c>
    </row>
    <row r="586" spans="1:7" ht="11.5" customHeight="1" x14ac:dyDescent="0.35">
      <c r="A586" s="29" t="s">
        <v>814</v>
      </c>
      <c r="B586" s="29" t="s">
        <v>2585</v>
      </c>
      <c r="C586" s="16">
        <v>0</v>
      </c>
      <c r="D586" s="16">
        <v>0</v>
      </c>
      <c r="E586" s="29" t="s">
        <v>42</v>
      </c>
      <c r="F586" s="29" t="s">
        <v>43</v>
      </c>
      <c r="G586" t="e">
        <v>#N/A</v>
      </c>
    </row>
    <row r="587" spans="1:7" ht="11.5" customHeight="1" x14ac:dyDescent="0.35">
      <c r="A587" s="29" t="s">
        <v>815</v>
      </c>
      <c r="B587" s="29" t="s">
        <v>2586</v>
      </c>
      <c r="C587" s="16">
        <v>0</v>
      </c>
      <c r="D587" s="16">
        <v>0</v>
      </c>
      <c r="E587" s="29" t="s">
        <v>42</v>
      </c>
      <c r="F587" s="29" t="s">
        <v>43</v>
      </c>
      <c r="G587" t="e">
        <v>#N/A</v>
      </c>
    </row>
    <row r="588" spans="1:7" ht="11.5" customHeight="1" x14ac:dyDescent="0.35">
      <c r="A588" s="29" t="s">
        <v>816</v>
      </c>
      <c r="B588" s="29" t="s">
        <v>2587</v>
      </c>
      <c r="C588" s="16">
        <v>0</v>
      </c>
      <c r="D588" s="16">
        <v>0</v>
      </c>
      <c r="E588" s="29" t="s">
        <v>42</v>
      </c>
      <c r="F588" s="29" t="s">
        <v>43</v>
      </c>
      <c r="G588" t="e">
        <v>#N/A</v>
      </c>
    </row>
    <row r="589" spans="1:7" ht="11.5" customHeight="1" x14ac:dyDescent="0.35">
      <c r="A589" s="29" t="s">
        <v>817</v>
      </c>
      <c r="B589" s="29" t="s">
        <v>2588</v>
      </c>
      <c r="C589" s="16">
        <v>0</v>
      </c>
      <c r="D589" s="16">
        <v>0</v>
      </c>
      <c r="E589" s="29" t="s">
        <v>42</v>
      </c>
      <c r="F589" s="29" t="s">
        <v>43</v>
      </c>
      <c r="G589" t="e">
        <v>#N/A</v>
      </c>
    </row>
    <row r="590" spans="1:7" ht="11.5" customHeight="1" x14ac:dyDescent="0.35">
      <c r="A590" s="29" t="s">
        <v>818</v>
      </c>
      <c r="B590" s="29" t="s">
        <v>2589</v>
      </c>
      <c r="C590" s="16">
        <v>0</v>
      </c>
      <c r="D590" s="16">
        <v>0</v>
      </c>
      <c r="E590" s="29" t="s">
        <v>42</v>
      </c>
      <c r="F590" s="29" t="s">
        <v>43</v>
      </c>
      <c r="G590" t="e">
        <v>#N/A</v>
      </c>
    </row>
    <row r="591" spans="1:7" ht="11.5" customHeight="1" x14ac:dyDescent="0.35">
      <c r="A591" s="29" t="s">
        <v>819</v>
      </c>
      <c r="B591" s="29" t="s">
        <v>2590</v>
      </c>
      <c r="C591" s="16">
        <v>0</v>
      </c>
      <c r="D591" s="16">
        <v>0</v>
      </c>
      <c r="E591" s="29" t="s">
        <v>42</v>
      </c>
      <c r="F591" s="29" t="s">
        <v>43</v>
      </c>
      <c r="G591" t="e">
        <v>#N/A</v>
      </c>
    </row>
    <row r="592" spans="1:7" ht="11.5" customHeight="1" x14ac:dyDescent="0.35">
      <c r="A592" s="29" t="s">
        <v>820</v>
      </c>
      <c r="B592" s="29" t="s">
        <v>2591</v>
      </c>
      <c r="C592" s="16">
        <v>0</v>
      </c>
      <c r="D592" s="16">
        <v>0</v>
      </c>
      <c r="E592" s="29" t="s">
        <v>42</v>
      </c>
      <c r="F592" s="29" t="s">
        <v>43</v>
      </c>
      <c r="G592" t="e">
        <v>#N/A</v>
      </c>
    </row>
    <row r="593" spans="1:7" ht="11.5" customHeight="1" x14ac:dyDescent="0.35">
      <c r="A593" s="29" t="s">
        <v>821</v>
      </c>
      <c r="B593" s="29" t="s">
        <v>2592</v>
      </c>
      <c r="C593" s="16">
        <v>0</v>
      </c>
      <c r="D593" s="16">
        <v>0</v>
      </c>
      <c r="E593" s="29" t="s">
        <v>42</v>
      </c>
      <c r="F593" s="29" t="s">
        <v>43</v>
      </c>
      <c r="G593" t="e">
        <v>#N/A</v>
      </c>
    </row>
    <row r="594" spans="1:7" ht="11.5" customHeight="1" x14ac:dyDescent="0.35">
      <c r="A594" s="29" t="s">
        <v>822</v>
      </c>
      <c r="B594" s="29" t="s">
        <v>2593</v>
      </c>
      <c r="C594" s="16">
        <v>0</v>
      </c>
      <c r="D594" s="16">
        <v>0</v>
      </c>
      <c r="E594" s="29" t="s">
        <v>42</v>
      </c>
      <c r="F594" s="29" t="s">
        <v>43</v>
      </c>
      <c r="G594" t="e">
        <v>#N/A</v>
      </c>
    </row>
    <row r="595" spans="1:7" ht="11.5" customHeight="1" x14ac:dyDescent="0.35">
      <c r="A595" s="29" t="s">
        <v>823</v>
      </c>
      <c r="B595" s="29" t="s">
        <v>2594</v>
      </c>
      <c r="C595" s="16">
        <v>0</v>
      </c>
      <c r="D595" s="16">
        <v>0</v>
      </c>
      <c r="E595" s="29" t="s">
        <v>42</v>
      </c>
      <c r="F595" s="29" t="s">
        <v>43</v>
      </c>
      <c r="G595" t="e">
        <v>#N/A</v>
      </c>
    </row>
    <row r="596" spans="1:7" ht="11.5" customHeight="1" x14ac:dyDescent="0.35">
      <c r="A596" s="29" t="s">
        <v>824</v>
      </c>
      <c r="B596" s="29" t="s">
        <v>2595</v>
      </c>
      <c r="C596" s="16">
        <v>0</v>
      </c>
      <c r="D596" s="16">
        <v>0</v>
      </c>
      <c r="E596" s="29" t="s">
        <v>42</v>
      </c>
      <c r="F596" s="29" t="s">
        <v>43</v>
      </c>
      <c r="G596" t="e">
        <v>#N/A</v>
      </c>
    </row>
    <row r="597" spans="1:7" ht="11.5" customHeight="1" x14ac:dyDescent="0.35">
      <c r="A597" s="29" t="s">
        <v>825</v>
      </c>
      <c r="B597" s="29" t="s">
        <v>2596</v>
      </c>
      <c r="C597" s="16">
        <v>0</v>
      </c>
      <c r="D597" s="16">
        <v>0</v>
      </c>
      <c r="E597" s="29" t="s">
        <v>42</v>
      </c>
      <c r="F597" s="29" t="s">
        <v>43</v>
      </c>
      <c r="G597" t="e">
        <v>#N/A</v>
      </c>
    </row>
    <row r="598" spans="1:7" ht="11.5" customHeight="1" x14ac:dyDescent="0.35">
      <c r="A598" s="29" t="s">
        <v>826</v>
      </c>
      <c r="B598" s="29" t="s">
        <v>2597</v>
      </c>
      <c r="C598" s="16">
        <v>0</v>
      </c>
      <c r="D598" s="16">
        <v>0</v>
      </c>
      <c r="E598" s="29" t="s">
        <v>42</v>
      </c>
      <c r="F598" s="29" t="s">
        <v>43</v>
      </c>
      <c r="G598" t="s">
        <v>3879</v>
      </c>
    </row>
    <row r="599" spans="1:7" ht="11.5" customHeight="1" x14ac:dyDescent="0.35">
      <c r="A599" s="29" t="s">
        <v>827</v>
      </c>
      <c r="B599" s="29" t="s">
        <v>2598</v>
      </c>
      <c r="C599" s="16">
        <v>0</v>
      </c>
      <c r="D599" s="16">
        <v>0</v>
      </c>
      <c r="E599" s="29" t="s">
        <v>42</v>
      </c>
      <c r="F599" s="29" t="s">
        <v>43</v>
      </c>
      <c r="G599" t="e">
        <v>#N/A</v>
      </c>
    </row>
    <row r="600" spans="1:7" ht="11.5" customHeight="1" x14ac:dyDescent="0.35">
      <c r="A600" s="29" t="s">
        <v>828</v>
      </c>
      <c r="B600" s="29" t="s">
        <v>2599</v>
      </c>
      <c r="C600" s="16">
        <v>0</v>
      </c>
      <c r="D600" s="16">
        <v>0</v>
      </c>
      <c r="E600" s="29" t="s">
        <v>42</v>
      </c>
      <c r="F600" s="29" t="s">
        <v>43</v>
      </c>
      <c r="G600" t="e">
        <v>#N/A</v>
      </c>
    </row>
    <row r="601" spans="1:7" ht="11.5" customHeight="1" x14ac:dyDescent="0.35">
      <c r="A601" s="29" t="s">
        <v>829</v>
      </c>
      <c r="B601" s="29" t="s">
        <v>2600</v>
      </c>
      <c r="C601" s="16">
        <v>0</v>
      </c>
      <c r="D601" s="16">
        <v>0</v>
      </c>
      <c r="E601" s="29" t="s">
        <v>42</v>
      </c>
      <c r="F601" s="29" t="s">
        <v>43</v>
      </c>
      <c r="G601" t="e">
        <v>#N/A</v>
      </c>
    </row>
    <row r="602" spans="1:7" ht="11.5" customHeight="1" x14ac:dyDescent="0.35">
      <c r="A602" s="29" t="s">
        <v>830</v>
      </c>
      <c r="B602" s="29" t="s">
        <v>2601</v>
      </c>
      <c r="C602" s="16">
        <v>0</v>
      </c>
      <c r="D602" s="16">
        <v>0</v>
      </c>
      <c r="E602" s="29" t="s">
        <v>42</v>
      </c>
      <c r="F602" s="29" t="s">
        <v>43</v>
      </c>
      <c r="G602" t="e">
        <v>#N/A</v>
      </c>
    </row>
    <row r="603" spans="1:7" ht="11.5" customHeight="1" x14ac:dyDescent="0.35">
      <c r="A603" s="29" t="s">
        <v>831</v>
      </c>
      <c r="B603" s="29" t="s">
        <v>2602</v>
      </c>
      <c r="C603" s="16">
        <v>0</v>
      </c>
      <c r="D603" s="16">
        <v>0</v>
      </c>
      <c r="E603" s="29" t="s">
        <v>42</v>
      </c>
      <c r="F603" s="29" t="s">
        <v>43</v>
      </c>
      <c r="G603" t="s">
        <v>3901</v>
      </c>
    </row>
    <row r="604" spans="1:7" ht="11.5" customHeight="1" x14ac:dyDescent="0.35">
      <c r="A604" s="29" t="s">
        <v>832</v>
      </c>
      <c r="B604" s="29" t="s">
        <v>2603</v>
      </c>
      <c r="C604" s="16">
        <v>0</v>
      </c>
      <c r="D604" s="16">
        <v>0</v>
      </c>
      <c r="E604" s="29" t="s">
        <v>42</v>
      </c>
      <c r="F604" s="29" t="s">
        <v>43</v>
      </c>
      <c r="G604" t="e">
        <v>#N/A</v>
      </c>
    </row>
    <row r="605" spans="1:7" ht="11.5" customHeight="1" x14ac:dyDescent="0.35">
      <c r="A605" s="29" t="s">
        <v>833</v>
      </c>
      <c r="B605" s="29" t="s">
        <v>2604</v>
      </c>
      <c r="C605" s="16">
        <v>0</v>
      </c>
      <c r="D605" s="16">
        <v>0</v>
      </c>
      <c r="E605" s="29" t="s">
        <v>42</v>
      </c>
      <c r="F605" s="29" t="s">
        <v>43</v>
      </c>
      <c r="G605" t="e">
        <v>#N/A</v>
      </c>
    </row>
    <row r="606" spans="1:7" ht="11.5" customHeight="1" x14ac:dyDescent="0.35">
      <c r="A606" s="29" t="s">
        <v>834</v>
      </c>
      <c r="B606" s="29" t="s">
        <v>2605</v>
      </c>
      <c r="C606" s="16">
        <v>0</v>
      </c>
      <c r="D606" s="16">
        <v>0</v>
      </c>
      <c r="E606" s="29" t="s">
        <v>42</v>
      </c>
      <c r="F606" s="29" t="s">
        <v>43</v>
      </c>
      <c r="G606" t="e">
        <v>#N/A</v>
      </c>
    </row>
    <row r="607" spans="1:7" ht="11.5" customHeight="1" x14ac:dyDescent="0.35">
      <c r="A607" s="29" t="s">
        <v>835</v>
      </c>
      <c r="B607" s="29" t="s">
        <v>2606</v>
      </c>
      <c r="C607" s="16">
        <v>0</v>
      </c>
      <c r="D607" s="16">
        <v>0</v>
      </c>
      <c r="E607" s="29" t="s">
        <v>42</v>
      </c>
      <c r="F607" s="29" t="s">
        <v>43</v>
      </c>
      <c r="G607" t="e">
        <v>#N/A</v>
      </c>
    </row>
    <row r="608" spans="1:7" ht="11.5" customHeight="1" x14ac:dyDescent="0.35">
      <c r="A608" s="29" t="s">
        <v>836</v>
      </c>
      <c r="B608" s="29" t="s">
        <v>2607</v>
      </c>
      <c r="C608" s="16">
        <v>0</v>
      </c>
      <c r="D608" s="16">
        <v>0</v>
      </c>
      <c r="E608" s="29" t="s">
        <v>42</v>
      </c>
      <c r="F608" s="29" t="s">
        <v>43</v>
      </c>
      <c r="G608" t="e">
        <v>#N/A</v>
      </c>
    </row>
    <row r="609" spans="1:7" ht="11.5" customHeight="1" x14ac:dyDescent="0.35">
      <c r="A609" s="29" t="s">
        <v>837</v>
      </c>
      <c r="B609" s="29" t="s">
        <v>2608</v>
      </c>
      <c r="C609" s="16">
        <v>0</v>
      </c>
      <c r="D609" s="16">
        <v>0</v>
      </c>
      <c r="E609" s="29" t="s">
        <v>42</v>
      </c>
      <c r="F609" s="29" t="s">
        <v>43</v>
      </c>
      <c r="G609" t="e">
        <v>#N/A</v>
      </c>
    </row>
    <row r="610" spans="1:7" ht="11.5" customHeight="1" x14ac:dyDescent="0.35">
      <c r="A610" s="29" t="s">
        <v>838</v>
      </c>
      <c r="B610" s="29" t="s">
        <v>2609</v>
      </c>
      <c r="C610" s="16">
        <v>0</v>
      </c>
      <c r="D610" s="16">
        <v>0</v>
      </c>
      <c r="E610" s="29" t="s">
        <v>42</v>
      </c>
      <c r="F610" s="29" t="s">
        <v>43</v>
      </c>
      <c r="G610" t="e">
        <v>#N/A</v>
      </c>
    </row>
    <row r="611" spans="1:7" ht="11.5" customHeight="1" x14ac:dyDescent="0.35">
      <c r="A611" s="29" t="s">
        <v>839</v>
      </c>
      <c r="B611" s="29" t="s">
        <v>2610</v>
      </c>
      <c r="C611" s="16">
        <v>0</v>
      </c>
      <c r="D611" s="16">
        <v>0</v>
      </c>
      <c r="E611" s="29" t="s">
        <v>42</v>
      </c>
      <c r="F611" s="29" t="s">
        <v>43</v>
      </c>
      <c r="G611" t="e">
        <v>#N/A</v>
      </c>
    </row>
    <row r="612" spans="1:7" ht="11.5" customHeight="1" x14ac:dyDescent="0.35">
      <c r="A612" s="29" t="s">
        <v>840</v>
      </c>
      <c r="B612" s="29" t="s">
        <v>2611</v>
      </c>
      <c r="C612" s="16">
        <v>0</v>
      </c>
      <c r="D612" s="16">
        <v>0</v>
      </c>
      <c r="E612" s="29" t="s">
        <v>42</v>
      </c>
      <c r="F612" s="29" t="s">
        <v>43</v>
      </c>
      <c r="G612" t="e">
        <v>#N/A</v>
      </c>
    </row>
    <row r="613" spans="1:7" ht="11.5" customHeight="1" x14ac:dyDescent="0.35">
      <c r="A613" s="29" t="s">
        <v>841</v>
      </c>
      <c r="B613" s="29" t="s">
        <v>2611</v>
      </c>
      <c r="C613" s="16">
        <v>0</v>
      </c>
      <c r="D613" s="16">
        <v>0</v>
      </c>
      <c r="E613" s="29" t="s">
        <v>42</v>
      </c>
      <c r="F613" s="29" t="s">
        <v>43</v>
      </c>
      <c r="G613" t="e">
        <v>#N/A</v>
      </c>
    </row>
    <row r="614" spans="1:7" ht="11.5" customHeight="1" x14ac:dyDescent="0.35">
      <c r="A614" s="29" t="s">
        <v>842</v>
      </c>
      <c r="B614" s="29" t="s">
        <v>2612</v>
      </c>
      <c r="C614" s="16">
        <v>0</v>
      </c>
      <c r="D614" s="16">
        <v>0</v>
      </c>
      <c r="E614" s="29" t="s">
        <v>42</v>
      </c>
      <c r="F614" s="29" t="s">
        <v>43</v>
      </c>
      <c r="G614" t="e">
        <v>#N/A</v>
      </c>
    </row>
    <row r="615" spans="1:7" ht="11.5" customHeight="1" x14ac:dyDescent="0.35">
      <c r="A615" s="29" t="s">
        <v>843</v>
      </c>
      <c r="B615" s="29" t="s">
        <v>2613</v>
      </c>
      <c r="C615" s="16">
        <v>0</v>
      </c>
      <c r="D615" s="16">
        <v>0</v>
      </c>
      <c r="E615" s="29" t="s">
        <v>42</v>
      </c>
      <c r="F615" s="29" t="s">
        <v>43</v>
      </c>
      <c r="G615" t="e">
        <v>#N/A</v>
      </c>
    </row>
    <row r="616" spans="1:7" ht="11.5" customHeight="1" x14ac:dyDescent="0.35">
      <c r="A616" s="29" t="s">
        <v>844</v>
      </c>
      <c r="B616" s="29" t="s">
        <v>2614</v>
      </c>
      <c r="C616" s="16">
        <v>0</v>
      </c>
      <c r="D616" s="16">
        <v>0</v>
      </c>
      <c r="E616" s="29" t="s">
        <v>42</v>
      </c>
      <c r="F616" s="29" t="s">
        <v>43</v>
      </c>
      <c r="G616" t="e">
        <v>#N/A</v>
      </c>
    </row>
    <row r="617" spans="1:7" ht="11.5" customHeight="1" x14ac:dyDescent="0.35">
      <c r="A617" s="29" t="s">
        <v>845</v>
      </c>
      <c r="B617" s="29" t="s">
        <v>2615</v>
      </c>
      <c r="C617" s="16">
        <v>0</v>
      </c>
      <c r="D617" s="16">
        <v>0</v>
      </c>
      <c r="E617" s="29" t="s">
        <v>42</v>
      </c>
      <c r="F617" s="29" t="s">
        <v>43</v>
      </c>
      <c r="G617" t="e">
        <v>#N/A</v>
      </c>
    </row>
    <row r="618" spans="1:7" ht="11.5" customHeight="1" x14ac:dyDescent="0.35">
      <c r="A618" s="29" t="s">
        <v>846</v>
      </c>
      <c r="B618" s="29" t="s">
        <v>2616</v>
      </c>
      <c r="C618" s="16">
        <v>0</v>
      </c>
      <c r="D618" s="16">
        <v>0</v>
      </c>
      <c r="E618" s="29" t="s">
        <v>42</v>
      </c>
      <c r="F618" s="29" t="s">
        <v>43</v>
      </c>
      <c r="G618" t="e">
        <v>#N/A</v>
      </c>
    </row>
    <row r="619" spans="1:7" ht="11.5" customHeight="1" x14ac:dyDescent="0.35">
      <c r="A619" s="29" t="s">
        <v>847</v>
      </c>
      <c r="B619" s="29" t="s">
        <v>2617</v>
      </c>
      <c r="C619" s="16">
        <v>0</v>
      </c>
      <c r="D619" s="16">
        <v>0</v>
      </c>
      <c r="E619" s="29" t="s">
        <v>42</v>
      </c>
      <c r="F619" s="29" t="s">
        <v>43</v>
      </c>
      <c r="G619" t="e">
        <v>#N/A</v>
      </c>
    </row>
    <row r="620" spans="1:7" ht="11.5" customHeight="1" x14ac:dyDescent="0.35">
      <c r="A620" s="29" t="s">
        <v>848</v>
      </c>
      <c r="B620" s="29" t="s">
        <v>2618</v>
      </c>
      <c r="C620" s="16">
        <v>0</v>
      </c>
      <c r="D620" s="16">
        <v>0</v>
      </c>
      <c r="E620" s="29" t="s">
        <v>42</v>
      </c>
      <c r="F620" s="29" t="s">
        <v>43</v>
      </c>
      <c r="G620" t="e">
        <v>#N/A</v>
      </c>
    </row>
    <row r="621" spans="1:7" ht="11.5" customHeight="1" x14ac:dyDescent="0.35">
      <c r="A621" s="29" t="s">
        <v>849</v>
      </c>
      <c r="B621" s="29" t="s">
        <v>2619</v>
      </c>
      <c r="C621" s="16">
        <v>0</v>
      </c>
      <c r="D621" s="16">
        <v>0</v>
      </c>
      <c r="E621" s="29" t="s">
        <v>42</v>
      </c>
      <c r="F621" s="29" t="s">
        <v>43</v>
      </c>
      <c r="G621" t="e">
        <v>#N/A</v>
      </c>
    </row>
    <row r="622" spans="1:7" ht="11.5" customHeight="1" x14ac:dyDescent="0.35">
      <c r="A622" s="29" t="s">
        <v>850</v>
      </c>
      <c r="B622" s="29" t="s">
        <v>2620</v>
      </c>
      <c r="C622" s="16">
        <v>0</v>
      </c>
      <c r="D622" s="16">
        <v>0</v>
      </c>
      <c r="E622" s="29" t="s">
        <v>42</v>
      </c>
      <c r="F622" s="29" t="s">
        <v>43</v>
      </c>
      <c r="G622" t="e">
        <v>#N/A</v>
      </c>
    </row>
    <row r="623" spans="1:7" ht="11.5" customHeight="1" x14ac:dyDescent="0.35">
      <c r="A623" s="29" t="s">
        <v>851</v>
      </c>
      <c r="B623" s="29" t="s">
        <v>2621</v>
      </c>
      <c r="C623" s="16">
        <v>0</v>
      </c>
      <c r="D623" s="16">
        <v>0</v>
      </c>
      <c r="E623" s="29" t="s">
        <v>42</v>
      </c>
      <c r="F623" s="29" t="s">
        <v>43</v>
      </c>
      <c r="G623" t="e">
        <v>#N/A</v>
      </c>
    </row>
    <row r="624" spans="1:7" ht="11.5" customHeight="1" x14ac:dyDescent="0.35">
      <c r="A624" s="29" t="s">
        <v>852</v>
      </c>
      <c r="B624" s="29" t="s">
        <v>2622</v>
      </c>
      <c r="C624" s="16">
        <v>0</v>
      </c>
      <c r="D624" s="16">
        <v>0</v>
      </c>
      <c r="E624" s="29" t="s">
        <v>42</v>
      </c>
      <c r="F624" s="29" t="s">
        <v>43</v>
      </c>
      <c r="G624" t="e">
        <v>#N/A</v>
      </c>
    </row>
    <row r="625" spans="1:7" ht="11.5" customHeight="1" x14ac:dyDescent="0.35">
      <c r="A625" s="29" t="s">
        <v>853</v>
      </c>
      <c r="B625" s="29" t="s">
        <v>2623</v>
      </c>
      <c r="C625" s="16">
        <v>0</v>
      </c>
      <c r="D625" s="16">
        <v>0</v>
      </c>
      <c r="E625" s="29" t="s">
        <v>42</v>
      </c>
      <c r="F625" s="29" t="s">
        <v>43</v>
      </c>
      <c r="G625" t="e">
        <v>#N/A</v>
      </c>
    </row>
    <row r="626" spans="1:7" ht="11.5" customHeight="1" x14ac:dyDescent="0.35">
      <c r="A626" s="29" t="s">
        <v>854</v>
      </c>
      <c r="B626" s="29" t="s">
        <v>2624</v>
      </c>
      <c r="C626" s="16">
        <v>0</v>
      </c>
      <c r="D626" s="16">
        <v>0</v>
      </c>
      <c r="E626" s="29" t="s">
        <v>42</v>
      </c>
      <c r="F626" s="29" t="s">
        <v>43</v>
      </c>
      <c r="G626" t="e">
        <v>#N/A</v>
      </c>
    </row>
    <row r="627" spans="1:7" ht="11.5" customHeight="1" x14ac:dyDescent="0.35">
      <c r="A627" s="29" t="s">
        <v>855</v>
      </c>
      <c r="B627" s="29" t="s">
        <v>2625</v>
      </c>
      <c r="C627" s="16">
        <v>0</v>
      </c>
      <c r="D627" s="16">
        <v>0</v>
      </c>
      <c r="E627" s="29" t="s">
        <v>42</v>
      </c>
      <c r="F627" s="29" t="s">
        <v>43</v>
      </c>
      <c r="G627" t="e">
        <v>#N/A</v>
      </c>
    </row>
    <row r="628" spans="1:7" ht="11.5" customHeight="1" x14ac:dyDescent="0.35">
      <c r="A628" s="29" t="s">
        <v>856</v>
      </c>
      <c r="B628" s="29" t="s">
        <v>2626</v>
      </c>
      <c r="C628" s="16">
        <v>0</v>
      </c>
      <c r="D628" s="16">
        <v>0</v>
      </c>
      <c r="E628" s="29" t="s">
        <v>42</v>
      </c>
      <c r="F628" s="29" t="s">
        <v>43</v>
      </c>
      <c r="G628" t="e">
        <v>#N/A</v>
      </c>
    </row>
    <row r="629" spans="1:7" ht="11.5" customHeight="1" x14ac:dyDescent="0.35">
      <c r="A629" s="29" t="s">
        <v>857</v>
      </c>
      <c r="B629" s="29" t="s">
        <v>2627</v>
      </c>
      <c r="C629" s="16">
        <v>0</v>
      </c>
      <c r="D629" s="16">
        <v>0</v>
      </c>
      <c r="E629" s="29" t="s">
        <v>42</v>
      </c>
      <c r="F629" s="29" t="s">
        <v>43</v>
      </c>
      <c r="G629" t="e">
        <v>#N/A</v>
      </c>
    </row>
    <row r="630" spans="1:7" ht="11.5" customHeight="1" x14ac:dyDescent="0.35">
      <c r="A630" s="29" t="s">
        <v>858</v>
      </c>
      <c r="B630" s="29" t="s">
        <v>2628</v>
      </c>
      <c r="C630" s="16">
        <v>0</v>
      </c>
      <c r="D630" s="16">
        <v>0</v>
      </c>
      <c r="E630" s="29" t="s">
        <v>42</v>
      </c>
      <c r="F630" s="29" t="s">
        <v>43</v>
      </c>
      <c r="G630" t="e">
        <v>#N/A</v>
      </c>
    </row>
    <row r="631" spans="1:7" ht="11.5" customHeight="1" x14ac:dyDescent="0.35">
      <c r="A631" s="29" t="s">
        <v>859</v>
      </c>
      <c r="B631" s="29" t="s">
        <v>2629</v>
      </c>
      <c r="C631" s="16">
        <v>0</v>
      </c>
      <c r="D631" s="16">
        <v>0</v>
      </c>
      <c r="E631" s="29" t="s">
        <v>42</v>
      </c>
      <c r="F631" s="29" t="s">
        <v>43</v>
      </c>
      <c r="G631" t="e">
        <v>#N/A</v>
      </c>
    </row>
    <row r="632" spans="1:7" ht="11.5" hidden="1" customHeight="1" x14ac:dyDescent="0.35">
      <c r="A632" s="29" t="s">
        <v>860</v>
      </c>
      <c r="B632" s="29" t="s">
        <v>2630</v>
      </c>
      <c r="C632" s="16">
        <v>0</v>
      </c>
      <c r="D632" s="16">
        <v>0</v>
      </c>
      <c r="E632" s="29" t="s">
        <v>42</v>
      </c>
      <c r="F632" s="29" t="s">
        <v>43</v>
      </c>
      <c r="G632" t="e">
        <v>#N/A</v>
      </c>
    </row>
    <row r="633" spans="1:7" ht="11.5" hidden="1" customHeight="1" x14ac:dyDescent="0.35">
      <c r="A633" s="29" t="s">
        <v>861</v>
      </c>
      <c r="B633" s="29" t="s">
        <v>2631</v>
      </c>
      <c r="C633" s="16">
        <v>0</v>
      </c>
      <c r="D633" s="16">
        <v>0</v>
      </c>
      <c r="E633" s="29" t="s">
        <v>42</v>
      </c>
      <c r="F633" s="29" t="s">
        <v>43</v>
      </c>
      <c r="G633" t="e">
        <v>#N/A</v>
      </c>
    </row>
    <row r="634" spans="1:7" ht="11.5" hidden="1" customHeight="1" x14ac:dyDescent="0.35">
      <c r="A634" s="29" t="s">
        <v>862</v>
      </c>
      <c r="B634" s="29" t="s">
        <v>2632</v>
      </c>
      <c r="C634" s="16">
        <v>0</v>
      </c>
      <c r="D634" s="16">
        <v>0</v>
      </c>
      <c r="E634" s="29" t="s">
        <v>42</v>
      </c>
      <c r="F634" s="29" t="s">
        <v>43</v>
      </c>
      <c r="G634" t="e">
        <v>#N/A</v>
      </c>
    </row>
    <row r="635" spans="1:7" ht="11.5" hidden="1" customHeight="1" x14ac:dyDescent="0.35">
      <c r="A635" s="29" t="s">
        <v>863</v>
      </c>
      <c r="B635" s="29" t="s">
        <v>2633</v>
      </c>
      <c r="C635" s="16">
        <v>0</v>
      </c>
      <c r="D635" s="16">
        <v>0</v>
      </c>
      <c r="E635" s="29" t="s">
        <v>42</v>
      </c>
      <c r="F635" s="29" t="s">
        <v>43</v>
      </c>
      <c r="G635" t="e">
        <v>#N/A</v>
      </c>
    </row>
    <row r="636" spans="1:7" ht="11.5" hidden="1" customHeight="1" x14ac:dyDescent="0.35">
      <c r="A636" s="29" t="s">
        <v>864</v>
      </c>
      <c r="B636" s="29" t="s">
        <v>2634</v>
      </c>
      <c r="C636" s="16">
        <v>0</v>
      </c>
      <c r="D636" s="16">
        <v>0</v>
      </c>
      <c r="E636" s="29" t="s">
        <v>42</v>
      </c>
      <c r="F636" s="29" t="s">
        <v>43</v>
      </c>
      <c r="G636" t="e">
        <v>#N/A</v>
      </c>
    </row>
    <row r="637" spans="1:7" ht="11.5" hidden="1" customHeight="1" x14ac:dyDescent="0.35">
      <c r="A637" s="29" t="s">
        <v>865</v>
      </c>
      <c r="B637" s="29" t="s">
        <v>2635</v>
      </c>
      <c r="C637" s="16">
        <v>0</v>
      </c>
      <c r="D637" s="16">
        <v>0</v>
      </c>
      <c r="E637" s="29" t="s">
        <v>42</v>
      </c>
      <c r="F637" s="29" t="s">
        <v>43</v>
      </c>
      <c r="G637" t="e">
        <v>#N/A</v>
      </c>
    </row>
    <row r="638" spans="1:7" ht="11.5" hidden="1" customHeight="1" x14ac:dyDescent="0.35">
      <c r="A638" s="29" t="s">
        <v>866</v>
      </c>
      <c r="B638" s="29" t="s">
        <v>2636</v>
      </c>
      <c r="C638" s="16">
        <v>0</v>
      </c>
      <c r="D638" s="16">
        <v>0</v>
      </c>
      <c r="E638" s="29" t="s">
        <v>42</v>
      </c>
      <c r="F638" s="29" t="s">
        <v>43</v>
      </c>
      <c r="G638" t="e">
        <v>#N/A</v>
      </c>
    </row>
    <row r="639" spans="1:7" ht="11.5" hidden="1" customHeight="1" x14ac:dyDescent="0.35">
      <c r="A639" s="29" t="s">
        <v>867</v>
      </c>
      <c r="B639" s="29" t="s">
        <v>2637</v>
      </c>
      <c r="C639" s="16">
        <v>0</v>
      </c>
      <c r="D639" s="16">
        <v>0</v>
      </c>
      <c r="E639" s="29" t="s">
        <v>42</v>
      </c>
      <c r="F639" s="29" t="s">
        <v>43</v>
      </c>
      <c r="G639" t="e">
        <v>#N/A</v>
      </c>
    </row>
    <row r="640" spans="1:7" ht="11.5" hidden="1" customHeight="1" x14ac:dyDescent="0.35">
      <c r="A640" s="29" t="s">
        <v>868</v>
      </c>
      <c r="B640" s="29" t="s">
        <v>2638</v>
      </c>
      <c r="C640" s="16">
        <v>0</v>
      </c>
      <c r="D640" s="16">
        <v>0</v>
      </c>
      <c r="E640" s="29" t="s">
        <v>42</v>
      </c>
      <c r="F640" s="29" t="s">
        <v>43</v>
      </c>
      <c r="G640" t="e">
        <v>#N/A</v>
      </c>
    </row>
    <row r="641" spans="1:7" ht="11.5" hidden="1" customHeight="1" x14ac:dyDescent="0.35">
      <c r="A641" s="29" t="s">
        <v>869</v>
      </c>
      <c r="B641" s="29" t="s">
        <v>2639</v>
      </c>
      <c r="C641" s="16">
        <v>0</v>
      </c>
      <c r="D641" s="16">
        <v>0</v>
      </c>
      <c r="E641" s="29" t="s">
        <v>42</v>
      </c>
      <c r="F641" s="29" t="s">
        <v>43</v>
      </c>
      <c r="G641" t="e">
        <v>#N/A</v>
      </c>
    </row>
    <row r="642" spans="1:7" ht="11.5" hidden="1" customHeight="1" x14ac:dyDescent="0.35">
      <c r="A642" s="29" t="s">
        <v>870</v>
      </c>
      <c r="B642" s="29" t="s">
        <v>2640</v>
      </c>
      <c r="C642" s="16">
        <v>0</v>
      </c>
      <c r="D642" s="16">
        <v>0</v>
      </c>
      <c r="E642" s="29" t="s">
        <v>42</v>
      </c>
      <c r="F642" s="29" t="s">
        <v>43</v>
      </c>
      <c r="G642" t="e">
        <v>#N/A</v>
      </c>
    </row>
    <row r="643" spans="1:7" ht="11.5" hidden="1" customHeight="1" x14ac:dyDescent="0.35">
      <c r="A643" s="29" t="s">
        <v>871</v>
      </c>
      <c r="B643" s="29" t="s">
        <v>2641</v>
      </c>
      <c r="C643" s="16">
        <v>0</v>
      </c>
      <c r="D643" s="16">
        <v>0</v>
      </c>
      <c r="E643" s="29" t="s">
        <v>42</v>
      </c>
      <c r="F643" s="29" t="s">
        <v>43</v>
      </c>
      <c r="G643" t="e">
        <v>#N/A</v>
      </c>
    </row>
    <row r="644" spans="1:7" ht="11.5" hidden="1" customHeight="1" x14ac:dyDescent="0.35">
      <c r="A644" s="29" t="s">
        <v>872</v>
      </c>
      <c r="B644" s="29" t="s">
        <v>2642</v>
      </c>
      <c r="C644" s="16">
        <v>0</v>
      </c>
      <c r="D644" s="16">
        <v>0</v>
      </c>
      <c r="E644" s="29" t="s">
        <v>42</v>
      </c>
      <c r="F644" s="29" t="s">
        <v>43</v>
      </c>
      <c r="G644" t="e">
        <v>#N/A</v>
      </c>
    </row>
    <row r="645" spans="1:7" ht="11.5" hidden="1" customHeight="1" x14ac:dyDescent="0.35">
      <c r="A645" s="29" t="s">
        <v>873</v>
      </c>
      <c r="B645" s="29" t="s">
        <v>2643</v>
      </c>
      <c r="C645" s="16">
        <v>0</v>
      </c>
      <c r="D645" s="16">
        <v>0</v>
      </c>
      <c r="E645" s="29" t="s">
        <v>42</v>
      </c>
      <c r="F645" s="29" t="s">
        <v>43</v>
      </c>
      <c r="G645" t="e">
        <v>#N/A</v>
      </c>
    </row>
    <row r="646" spans="1:7" ht="11.5" hidden="1" customHeight="1" x14ac:dyDescent="0.35">
      <c r="A646" s="29" t="s">
        <v>874</v>
      </c>
      <c r="B646" s="29" t="s">
        <v>2644</v>
      </c>
      <c r="C646" s="16">
        <v>0</v>
      </c>
      <c r="D646" s="16">
        <v>0</v>
      </c>
      <c r="E646" s="29" t="s">
        <v>42</v>
      </c>
      <c r="F646" s="29" t="s">
        <v>43</v>
      </c>
      <c r="G646" t="e">
        <v>#N/A</v>
      </c>
    </row>
    <row r="647" spans="1:7" ht="11.5" hidden="1" customHeight="1" x14ac:dyDescent="0.35">
      <c r="A647" s="29" t="s">
        <v>875</v>
      </c>
      <c r="B647" s="29" t="s">
        <v>2645</v>
      </c>
      <c r="C647" s="16">
        <v>0</v>
      </c>
      <c r="D647" s="16">
        <v>0</v>
      </c>
      <c r="E647" s="29" t="s">
        <v>42</v>
      </c>
      <c r="F647" s="29" t="s">
        <v>43</v>
      </c>
      <c r="G647" t="e">
        <v>#N/A</v>
      </c>
    </row>
    <row r="648" spans="1:7" ht="11.5" hidden="1" customHeight="1" x14ac:dyDescent="0.35">
      <c r="A648" s="29" t="s">
        <v>876</v>
      </c>
      <c r="B648" s="29" t="s">
        <v>2646</v>
      </c>
      <c r="C648" s="16">
        <v>0</v>
      </c>
      <c r="D648" s="16">
        <v>0</v>
      </c>
      <c r="E648" s="29" t="s">
        <v>42</v>
      </c>
      <c r="F648" s="29" t="s">
        <v>43</v>
      </c>
      <c r="G648" t="e">
        <v>#N/A</v>
      </c>
    </row>
    <row r="649" spans="1:7" ht="11.5" hidden="1" customHeight="1" x14ac:dyDescent="0.35">
      <c r="A649" s="29" t="s">
        <v>877</v>
      </c>
      <c r="B649" s="29" t="s">
        <v>2647</v>
      </c>
      <c r="C649" s="16">
        <v>0</v>
      </c>
      <c r="D649" s="16">
        <v>0</v>
      </c>
      <c r="E649" s="29" t="s">
        <v>42</v>
      </c>
      <c r="F649" s="29" t="s">
        <v>43</v>
      </c>
      <c r="G649" t="e">
        <v>#N/A</v>
      </c>
    </row>
    <row r="650" spans="1:7" ht="11.5" hidden="1" customHeight="1" x14ac:dyDescent="0.35">
      <c r="A650" s="29" t="s">
        <v>878</v>
      </c>
      <c r="B650" s="29" t="s">
        <v>2648</v>
      </c>
      <c r="C650" s="16">
        <v>0</v>
      </c>
      <c r="D650" s="16">
        <v>0</v>
      </c>
      <c r="E650" s="29" t="s">
        <v>42</v>
      </c>
      <c r="F650" s="29" t="s">
        <v>43</v>
      </c>
      <c r="G650" t="e">
        <v>#N/A</v>
      </c>
    </row>
    <row r="651" spans="1:7" ht="11.5" hidden="1" customHeight="1" x14ac:dyDescent="0.35">
      <c r="A651" s="29" t="s">
        <v>879</v>
      </c>
      <c r="B651" s="29" t="s">
        <v>2649</v>
      </c>
      <c r="C651" s="16">
        <v>0</v>
      </c>
      <c r="D651" s="16">
        <v>0</v>
      </c>
      <c r="E651" s="29" t="s">
        <v>42</v>
      </c>
      <c r="F651" s="29" t="s">
        <v>43</v>
      </c>
      <c r="G651" t="e">
        <v>#N/A</v>
      </c>
    </row>
    <row r="652" spans="1:7" ht="11.5" hidden="1" customHeight="1" x14ac:dyDescent="0.35">
      <c r="A652" s="29" t="s">
        <v>880</v>
      </c>
      <c r="B652" s="29" t="s">
        <v>2650</v>
      </c>
      <c r="C652" s="16">
        <v>0</v>
      </c>
      <c r="D652" s="16">
        <v>0</v>
      </c>
      <c r="E652" s="29" t="s">
        <v>42</v>
      </c>
      <c r="F652" s="29" t="s">
        <v>43</v>
      </c>
      <c r="G652" t="e">
        <v>#N/A</v>
      </c>
    </row>
    <row r="653" spans="1:7" ht="11.5" hidden="1" customHeight="1" x14ac:dyDescent="0.35">
      <c r="A653" s="29" t="s">
        <v>881</v>
      </c>
      <c r="B653" s="29" t="s">
        <v>2651</v>
      </c>
      <c r="C653" s="16">
        <v>0</v>
      </c>
      <c r="D653" s="16">
        <v>0</v>
      </c>
      <c r="E653" s="29" t="s">
        <v>42</v>
      </c>
      <c r="F653" s="29" t="s">
        <v>43</v>
      </c>
      <c r="G653" t="e">
        <v>#N/A</v>
      </c>
    </row>
    <row r="654" spans="1:7" ht="11.5" hidden="1" customHeight="1" x14ac:dyDescent="0.35">
      <c r="A654" s="29" t="s">
        <v>882</v>
      </c>
      <c r="B654" s="29" t="s">
        <v>2652</v>
      </c>
      <c r="C654" s="16">
        <v>0</v>
      </c>
      <c r="D654" s="16">
        <v>0</v>
      </c>
      <c r="E654" s="29" t="s">
        <v>42</v>
      </c>
      <c r="F654" s="29" t="s">
        <v>43</v>
      </c>
      <c r="G654" t="e">
        <v>#N/A</v>
      </c>
    </row>
    <row r="655" spans="1:7" ht="11.5" hidden="1" customHeight="1" x14ac:dyDescent="0.35">
      <c r="A655" s="29" t="s">
        <v>883</v>
      </c>
      <c r="B655" s="29" t="s">
        <v>2653</v>
      </c>
      <c r="C655" s="16">
        <v>0</v>
      </c>
      <c r="D655" s="16">
        <v>0</v>
      </c>
      <c r="E655" s="29" t="s">
        <v>42</v>
      </c>
      <c r="F655" s="29" t="s">
        <v>43</v>
      </c>
      <c r="G655" t="e">
        <v>#N/A</v>
      </c>
    </row>
    <row r="656" spans="1:7" ht="11.5" hidden="1" customHeight="1" x14ac:dyDescent="0.35">
      <c r="A656" s="29" t="s">
        <v>884</v>
      </c>
      <c r="B656" s="29" t="s">
        <v>2654</v>
      </c>
      <c r="C656" s="16">
        <v>0</v>
      </c>
      <c r="D656" s="16">
        <v>0</v>
      </c>
      <c r="E656" s="29" t="s">
        <v>42</v>
      </c>
      <c r="F656" s="29" t="s">
        <v>43</v>
      </c>
      <c r="G656" t="e">
        <v>#N/A</v>
      </c>
    </row>
    <row r="657" spans="1:7" ht="11.5" hidden="1" customHeight="1" x14ac:dyDescent="0.35">
      <c r="A657" s="29" t="s">
        <v>885</v>
      </c>
      <c r="B657" s="29" t="s">
        <v>2655</v>
      </c>
      <c r="C657" s="16">
        <v>0</v>
      </c>
      <c r="D657" s="16">
        <v>0</v>
      </c>
      <c r="E657" s="29" t="s">
        <v>42</v>
      </c>
      <c r="F657" s="29" t="s">
        <v>43</v>
      </c>
      <c r="G657" t="e">
        <v>#N/A</v>
      </c>
    </row>
    <row r="658" spans="1:7" ht="11.5" hidden="1" customHeight="1" x14ac:dyDescent="0.35">
      <c r="A658" s="29" t="s">
        <v>886</v>
      </c>
      <c r="B658" s="29" t="s">
        <v>2656</v>
      </c>
      <c r="C658" s="16">
        <v>0</v>
      </c>
      <c r="D658" s="16">
        <v>0</v>
      </c>
      <c r="E658" s="29" t="s">
        <v>42</v>
      </c>
      <c r="F658" s="29" t="s">
        <v>43</v>
      </c>
      <c r="G658" t="e">
        <v>#N/A</v>
      </c>
    </row>
    <row r="659" spans="1:7" ht="11.5" hidden="1" customHeight="1" x14ac:dyDescent="0.35">
      <c r="A659" s="29" t="s">
        <v>887</v>
      </c>
      <c r="B659" s="29" t="s">
        <v>2657</v>
      </c>
      <c r="C659" s="16">
        <v>0</v>
      </c>
      <c r="D659" s="16">
        <v>0</v>
      </c>
      <c r="E659" s="29" t="s">
        <v>42</v>
      </c>
      <c r="F659" s="29" t="s">
        <v>43</v>
      </c>
      <c r="G659" t="e">
        <v>#N/A</v>
      </c>
    </row>
    <row r="660" spans="1:7" ht="11.5" hidden="1" customHeight="1" x14ac:dyDescent="0.35">
      <c r="A660" s="29" t="s">
        <v>888</v>
      </c>
      <c r="B660" s="29" t="s">
        <v>2658</v>
      </c>
      <c r="C660" s="16">
        <v>0</v>
      </c>
      <c r="D660" s="16">
        <v>0</v>
      </c>
      <c r="E660" s="29" t="s">
        <v>42</v>
      </c>
      <c r="F660" s="29" t="s">
        <v>43</v>
      </c>
      <c r="G660" t="e">
        <v>#N/A</v>
      </c>
    </row>
    <row r="661" spans="1:7" ht="11.5" hidden="1" customHeight="1" x14ac:dyDescent="0.35">
      <c r="A661" s="29" t="s">
        <v>889</v>
      </c>
      <c r="B661" s="29" t="s">
        <v>2659</v>
      </c>
      <c r="C661" s="16">
        <v>0</v>
      </c>
      <c r="D661" s="16">
        <v>0</v>
      </c>
      <c r="E661" s="29" t="s">
        <v>42</v>
      </c>
      <c r="F661" s="29" t="s">
        <v>43</v>
      </c>
      <c r="G661" t="e">
        <v>#N/A</v>
      </c>
    </row>
    <row r="662" spans="1:7" ht="11.5" hidden="1" customHeight="1" x14ac:dyDescent="0.35">
      <c r="A662" s="29" t="s">
        <v>890</v>
      </c>
      <c r="B662" s="29" t="s">
        <v>2660</v>
      </c>
      <c r="C662" s="16">
        <v>0</v>
      </c>
      <c r="D662" s="16">
        <v>0</v>
      </c>
      <c r="E662" s="29" t="s">
        <v>42</v>
      </c>
      <c r="F662" s="29" t="s">
        <v>43</v>
      </c>
      <c r="G662" t="e">
        <v>#N/A</v>
      </c>
    </row>
    <row r="663" spans="1:7" ht="11.5" hidden="1" customHeight="1" x14ac:dyDescent="0.35">
      <c r="A663" s="29" t="s">
        <v>891</v>
      </c>
      <c r="B663" s="29" t="s">
        <v>2661</v>
      </c>
      <c r="C663" s="16">
        <v>0</v>
      </c>
      <c r="D663" s="16">
        <v>0</v>
      </c>
      <c r="E663" s="29" t="s">
        <v>42</v>
      </c>
      <c r="F663" s="29" t="s">
        <v>43</v>
      </c>
      <c r="G663" t="s">
        <v>3880</v>
      </c>
    </row>
    <row r="664" spans="1:7" ht="11.5" hidden="1" customHeight="1" x14ac:dyDescent="0.35">
      <c r="A664" s="29" t="s">
        <v>892</v>
      </c>
      <c r="B664" s="29" t="s">
        <v>2662</v>
      </c>
      <c r="C664" s="16">
        <v>0</v>
      </c>
      <c r="D664" s="16">
        <v>0</v>
      </c>
      <c r="E664" s="29" t="s">
        <v>42</v>
      </c>
      <c r="F664" s="29" t="s">
        <v>43</v>
      </c>
      <c r="G664" t="e">
        <v>#N/A</v>
      </c>
    </row>
    <row r="665" spans="1:7" ht="11.5" hidden="1" customHeight="1" x14ac:dyDescent="0.35">
      <c r="A665" s="29" t="s">
        <v>893</v>
      </c>
      <c r="B665" s="29" t="s">
        <v>2663</v>
      </c>
      <c r="C665" s="16">
        <v>0</v>
      </c>
      <c r="D665" s="16">
        <v>0</v>
      </c>
      <c r="E665" s="29" t="s">
        <v>42</v>
      </c>
      <c r="F665" s="29" t="s">
        <v>43</v>
      </c>
      <c r="G665" t="e">
        <v>#N/A</v>
      </c>
    </row>
    <row r="666" spans="1:7" ht="11.5" hidden="1" customHeight="1" x14ac:dyDescent="0.35">
      <c r="A666" s="29" t="s">
        <v>894</v>
      </c>
      <c r="B666" s="29" t="s">
        <v>2664</v>
      </c>
      <c r="C666" s="16">
        <v>0</v>
      </c>
      <c r="D666" s="16">
        <v>0</v>
      </c>
      <c r="E666" s="29" t="s">
        <v>42</v>
      </c>
      <c r="F666" s="29" t="s">
        <v>43</v>
      </c>
      <c r="G666" t="e">
        <v>#N/A</v>
      </c>
    </row>
    <row r="667" spans="1:7" ht="11.5" hidden="1" customHeight="1" x14ac:dyDescent="0.35">
      <c r="A667" s="29" t="s">
        <v>895</v>
      </c>
      <c r="B667" s="29" t="s">
        <v>2665</v>
      </c>
      <c r="C667" s="16">
        <v>0</v>
      </c>
      <c r="D667" s="16">
        <v>0</v>
      </c>
      <c r="E667" s="29" t="s">
        <v>42</v>
      </c>
      <c r="F667" s="29" t="s">
        <v>43</v>
      </c>
      <c r="G667" t="e">
        <v>#N/A</v>
      </c>
    </row>
    <row r="668" spans="1:7" ht="11.5" hidden="1" customHeight="1" x14ac:dyDescent="0.35">
      <c r="A668" s="29" t="s">
        <v>896</v>
      </c>
      <c r="B668" s="29" t="s">
        <v>2666</v>
      </c>
      <c r="C668" s="16">
        <v>0</v>
      </c>
      <c r="D668" s="16">
        <v>0</v>
      </c>
      <c r="E668" s="29" t="s">
        <v>42</v>
      </c>
      <c r="F668" s="29" t="s">
        <v>43</v>
      </c>
      <c r="G668" t="s">
        <v>3902</v>
      </c>
    </row>
    <row r="669" spans="1:7" ht="11.5" hidden="1" customHeight="1" x14ac:dyDescent="0.35">
      <c r="A669" s="29" t="s">
        <v>897</v>
      </c>
      <c r="B669" s="29" t="s">
        <v>2667</v>
      </c>
      <c r="C669" s="16">
        <v>0</v>
      </c>
      <c r="D669" s="16">
        <v>0</v>
      </c>
      <c r="E669" s="29" t="s">
        <v>42</v>
      </c>
      <c r="F669" s="29" t="s">
        <v>43</v>
      </c>
      <c r="G669" t="e">
        <v>#N/A</v>
      </c>
    </row>
    <row r="670" spans="1:7" ht="11.5" hidden="1" customHeight="1" x14ac:dyDescent="0.35">
      <c r="A670" s="29" t="s">
        <v>898</v>
      </c>
      <c r="B670" s="29" t="s">
        <v>2668</v>
      </c>
      <c r="C670" s="16">
        <v>0</v>
      </c>
      <c r="D670" s="16">
        <v>0</v>
      </c>
      <c r="E670" s="29" t="s">
        <v>42</v>
      </c>
      <c r="F670" s="29" t="s">
        <v>43</v>
      </c>
      <c r="G670" t="e">
        <v>#N/A</v>
      </c>
    </row>
    <row r="671" spans="1:7" ht="11.5" hidden="1" customHeight="1" x14ac:dyDescent="0.35">
      <c r="A671" s="29" t="s">
        <v>899</v>
      </c>
      <c r="B671" s="29" t="s">
        <v>2669</v>
      </c>
      <c r="C671" s="16">
        <v>0</v>
      </c>
      <c r="D671" s="16">
        <v>0</v>
      </c>
      <c r="E671" s="29" t="s">
        <v>42</v>
      </c>
      <c r="F671" s="29" t="s">
        <v>43</v>
      </c>
      <c r="G671" t="e">
        <v>#N/A</v>
      </c>
    </row>
    <row r="672" spans="1:7" ht="11.5" hidden="1" customHeight="1" x14ac:dyDescent="0.35">
      <c r="A672" s="29" t="s">
        <v>900</v>
      </c>
      <c r="B672" s="29" t="s">
        <v>2670</v>
      </c>
      <c r="C672" s="16">
        <v>0</v>
      </c>
      <c r="D672" s="16">
        <v>0</v>
      </c>
      <c r="E672" s="29" t="s">
        <v>42</v>
      </c>
      <c r="F672" s="29" t="s">
        <v>43</v>
      </c>
      <c r="G672" t="e">
        <v>#N/A</v>
      </c>
    </row>
    <row r="673" spans="1:7" ht="11.5" hidden="1" customHeight="1" x14ac:dyDescent="0.35">
      <c r="A673" s="29" t="s">
        <v>901</v>
      </c>
      <c r="B673" s="29" t="s">
        <v>2671</v>
      </c>
      <c r="C673" s="16">
        <v>0</v>
      </c>
      <c r="D673" s="16">
        <v>0</v>
      </c>
      <c r="E673" s="29" t="s">
        <v>42</v>
      </c>
      <c r="F673" s="29" t="s">
        <v>43</v>
      </c>
      <c r="G673" t="e">
        <v>#N/A</v>
      </c>
    </row>
    <row r="674" spans="1:7" ht="11.5" hidden="1" customHeight="1" x14ac:dyDescent="0.35">
      <c r="A674" s="29" t="s">
        <v>902</v>
      </c>
      <c r="B674" s="29" t="s">
        <v>2672</v>
      </c>
      <c r="C674" s="16">
        <v>0</v>
      </c>
      <c r="D674" s="16">
        <v>0</v>
      </c>
      <c r="E674" s="29" t="s">
        <v>42</v>
      </c>
      <c r="F674" s="29" t="s">
        <v>43</v>
      </c>
      <c r="G674" t="e">
        <v>#N/A</v>
      </c>
    </row>
    <row r="675" spans="1:7" ht="11.5" hidden="1" customHeight="1" x14ac:dyDescent="0.35">
      <c r="A675" s="29" t="s">
        <v>903</v>
      </c>
      <c r="B675" s="29" t="s">
        <v>2673</v>
      </c>
      <c r="C675" s="16">
        <v>0</v>
      </c>
      <c r="D675" s="16">
        <v>0</v>
      </c>
      <c r="E675" s="29" t="s">
        <v>42</v>
      </c>
      <c r="F675" s="29" t="s">
        <v>43</v>
      </c>
      <c r="G675" t="e">
        <v>#N/A</v>
      </c>
    </row>
    <row r="676" spans="1:7" ht="11.5" hidden="1" customHeight="1" x14ac:dyDescent="0.35">
      <c r="A676" s="29" t="s">
        <v>904</v>
      </c>
      <c r="B676" s="29" t="s">
        <v>2674</v>
      </c>
      <c r="C676" s="16">
        <v>0</v>
      </c>
      <c r="D676" s="16">
        <v>0</v>
      </c>
      <c r="E676" s="29" t="s">
        <v>42</v>
      </c>
      <c r="F676" s="29" t="s">
        <v>43</v>
      </c>
      <c r="G676" t="e">
        <v>#N/A</v>
      </c>
    </row>
    <row r="677" spans="1:7" ht="11.5" hidden="1" customHeight="1" x14ac:dyDescent="0.35">
      <c r="A677" s="29" t="s">
        <v>905</v>
      </c>
      <c r="B677" s="29" t="s">
        <v>2675</v>
      </c>
      <c r="C677" s="16">
        <v>0</v>
      </c>
      <c r="D677" s="16">
        <v>0</v>
      </c>
      <c r="E677" s="29" t="s">
        <v>42</v>
      </c>
      <c r="F677" s="29" t="s">
        <v>43</v>
      </c>
      <c r="G677" t="e">
        <v>#N/A</v>
      </c>
    </row>
    <row r="678" spans="1:7" ht="11.5" hidden="1" customHeight="1" x14ac:dyDescent="0.35">
      <c r="A678" s="29" t="s">
        <v>906</v>
      </c>
      <c r="B678" s="29" t="s">
        <v>2675</v>
      </c>
      <c r="C678" s="16">
        <v>0</v>
      </c>
      <c r="D678" s="16">
        <v>0</v>
      </c>
      <c r="E678" s="29" t="s">
        <v>42</v>
      </c>
      <c r="F678" s="29" t="s">
        <v>43</v>
      </c>
      <c r="G678" t="e">
        <v>#N/A</v>
      </c>
    </row>
    <row r="679" spans="1:7" ht="11.5" hidden="1" customHeight="1" x14ac:dyDescent="0.35">
      <c r="A679" s="29" t="s">
        <v>907</v>
      </c>
      <c r="B679" s="29" t="s">
        <v>2676</v>
      </c>
      <c r="C679" s="16">
        <v>0</v>
      </c>
      <c r="D679" s="16">
        <v>0</v>
      </c>
      <c r="E679" s="29" t="s">
        <v>42</v>
      </c>
      <c r="F679" s="29" t="s">
        <v>43</v>
      </c>
      <c r="G679" t="e">
        <v>#N/A</v>
      </c>
    </row>
    <row r="680" spans="1:7" ht="11.5" hidden="1" customHeight="1" x14ac:dyDescent="0.35">
      <c r="A680" s="29" t="s">
        <v>908</v>
      </c>
      <c r="B680" s="29" t="s">
        <v>2677</v>
      </c>
      <c r="C680" s="16">
        <v>0</v>
      </c>
      <c r="D680" s="16">
        <v>0</v>
      </c>
      <c r="E680" s="29" t="s">
        <v>42</v>
      </c>
      <c r="F680" s="29" t="s">
        <v>43</v>
      </c>
      <c r="G680" t="e">
        <v>#N/A</v>
      </c>
    </row>
    <row r="681" spans="1:7" ht="11.5" hidden="1" customHeight="1" x14ac:dyDescent="0.35">
      <c r="A681" s="29" t="s">
        <v>909</v>
      </c>
      <c r="B681" s="29" t="s">
        <v>2678</v>
      </c>
      <c r="C681" s="16">
        <v>0</v>
      </c>
      <c r="D681" s="16">
        <v>0</v>
      </c>
      <c r="E681" s="29" t="s">
        <v>42</v>
      </c>
      <c r="F681" s="29" t="s">
        <v>43</v>
      </c>
      <c r="G681" t="e">
        <v>#N/A</v>
      </c>
    </row>
    <row r="682" spans="1:7" ht="11.5" hidden="1" customHeight="1" x14ac:dyDescent="0.35">
      <c r="A682" s="29" t="s">
        <v>910</v>
      </c>
      <c r="B682" s="29" t="s">
        <v>2679</v>
      </c>
      <c r="C682" s="16">
        <v>0</v>
      </c>
      <c r="D682" s="16">
        <v>0</v>
      </c>
      <c r="E682" s="29" t="s">
        <v>42</v>
      </c>
      <c r="F682" s="29" t="s">
        <v>43</v>
      </c>
      <c r="G682" t="e">
        <v>#N/A</v>
      </c>
    </row>
    <row r="683" spans="1:7" ht="11.5" hidden="1" customHeight="1" x14ac:dyDescent="0.35">
      <c r="A683" s="29" t="s">
        <v>911</v>
      </c>
      <c r="B683" s="29" t="s">
        <v>2680</v>
      </c>
      <c r="C683" s="16">
        <v>0</v>
      </c>
      <c r="D683" s="16">
        <v>0</v>
      </c>
      <c r="E683" s="29" t="s">
        <v>42</v>
      </c>
      <c r="F683" s="29" t="s">
        <v>43</v>
      </c>
      <c r="G683" t="e">
        <v>#N/A</v>
      </c>
    </row>
    <row r="684" spans="1:7" ht="11.5" hidden="1" customHeight="1" x14ac:dyDescent="0.35">
      <c r="A684" s="29" t="s">
        <v>912</v>
      </c>
      <c r="B684" s="29" t="s">
        <v>2681</v>
      </c>
      <c r="C684" s="16">
        <v>0</v>
      </c>
      <c r="D684" s="16">
        <v>0</v>
      </c>
      <c r="E684" s="29" t="s">
        <v>42</v>
      </c>
      <c r="F684" s="29" t="s">
        <v>43</v>
      </c>
      <c r="G684" t="e">
        <v>#N/A</v>
      </c>
    </row>
    <row r="685" spans="1:7" ht="11.5" hidden="1" customHeight="1" x14ac:dyDescent="0.35">
      <c r="A685" s="29" t="s">
        <v>913</v>
      </c>
      <c r="B685" s="29" t="s">
        <v>2682</v>
      </c>
      <c r="C685" s="16">
        <v>0</v>
      </c>
      <c r="D685" s="16">
        <v>0</v>
      </c>
      <c r="E685" s="29" t="s">
        <v>42</v>
      </c>
      <c r="F685" s="29" t="s">
        <v>43</v>
      </c>
      <c r="G685" t="e">
        <v>#N/A</v>
      </c>
    </row>
    <row r="686" spans="1:7" ht="11.5" hidden="1" customHeight="1" x14ac:dyDescent="0.35">
      <c r="A686" s="29" t="s">
        <v>914</v>
      </c>
      <c r="B686" s="29" t="s">
        <v>2683</v>
      </c>
      <c r="C686" s="16">
        <v>0</v>
      </c>
      <c r="D686" s="16">
        <v>0</v>
      </c>
      <c r="E686" s="29" t="s">
        <v>42</v>
      </c>
      <c r="F686" s="29" t="s">
        <v>43</v>
      </c>
      <c r="G686" t="e">
        <v>#N/A</v>
      </c>
    </row>
    <row r="687" spans="1:7" ht="11.5" hidden="1" customHeight="1" x14ac:dyDescent="0.35">
      <c r="A687" s="29" t="s">
        <v>915</v>
      </c>
      <c r="B687" s="29" t="s">
        <v>2684</v>
      </c>
      <c r="C687" s="16">
        <v>0</v>
      </c>
      <c r="D687" s="16">
        <v>0</v>
      </c>
      <c r="E687" s="29" t="s">
        <v>42</v>
      </c>
      <c r="F687" s="29" t="s">
        <v>43</v>
      </c>
      <c r="G687" t="e">
        <v>#N/A</v>
      </c>
    </row>
    <row r="688" spans="1:7" ht="11.5" hidden="1" customHeight="1" x14ac:dyDescent="0.35">
      <c r="A688" s="29" t="s">
        <v>916</v>
      </c>
      <c r="B688" s="29" t="s">
        <v>2685</v>
      </c>
      <c r="C688" s="16">
        <v>0</v>
      </c>
      <c r="D688" s="16">
        <v>0</v>
      </c>
      <c r="E688" s="29" t="s">
        <v>42</v>
      </c>
      <c r="F688" s="29" t="s">
        <v>43</v>
      </c>
      <c r="G688" t="e">
        <v>#N/A</v>
      </c>
    </row>
    <row r="689" spans="1:7" ht="11.5" hidden="1" customHeight="1" x14ac:dyDescent="0.35">
      <c r="A689" s="29" t="s">
        <v>917</v>
      </c>
      <c r="B689" s="29" t="s">
        <v>2686</v>
      </c>
      <c r="C689" s="16">
        <v>0</v>
      </c>
      <c r="D689" s="16">
        <v>0</v>
      </c>
      <c r="E689" s="29" t="s">
        <v>42</v>
      </c>
      <c r="F689" s="29" t="s">
        <v>43</v>
      </c>
      <c r="G689" t="e">
        <v>#N/A</v>
      </c>
    </row>
    <row r="690" spans="1:7" ht="11.5" hidden="1" customHeight="1" x14ac:dyDescent="0.35">
      <c r="A690" s="29" t="s">
        <v>918</v>
      </c>
      <c r="B690" s="29" t="s">
        <v>2687</v>
      </c>
      <c r="C690" s="16">
        <v>0</v>
      </c>
      <c r="D690" s="16">
        <v>0</v>
      </c>
      <c r="E690" s="29" t="s">
        <v>42</v>
      </c>
      <c r="F690" s="29" t="s">
        <v>43</v>
      </c>
      <c r="G690" t="e">
        <v>#N/A</v>
      </c>
    </row>
    <row r="691" spans="1:7" ht="11.5" hidden="1" customHeight="1" x14ac:dyDescent="0.35">
      <c r="A691" s="29" t="s">
        <v>919</v>
      </c>
      <c r="B691" s="29" t="s">
        <v>2688</v>
      </c>
      <c r="C691" s="16">
        <v>0</v>
      </c>
      <c r="D691" s="16">
        <v>0</v>
      </c>
      <c r="E691" s="29" t="s">
        <v>42</v>
      </c>
      <c r="F691" s="29" t="s">
        <v>43</v>
      </c>
      <c r="G691" t="e">
        <v>#N/A</v>
      </c>
    </row>
    <row r="692" spans="1:7" ht="11.5" hidden="1" customHeight="1" x14ac:dyDescent="0.35">
      <c r="A692" s="29" t="s">
        <v>920</v>
      </c>
      <c r="B692" s="29" t="s">
        <v>2689</v>
      </c>
      <c r="C692" s="16">
        <v>0</v>
      </c>
      <c r="D692" s="16">
        <v>0</v>
      </c>
      <c r="E692" s="29" t="s">
        <v>42</v>
      </c>
      <c r="F692" s="29" t="s">
        <v>43</v>
      </c>
      <c r="G692" t="e">
        <v>#N/A</v>
      </c>
    </row>
    <row r="693" spans="1:7" ht="11.5" hidden="1" customHeight="1" x14ac:dyDescent="0.35">
      <c r="A693" s="29" t="s">
        <v>921</v>
      </c>
      <c r="B693" s="29" t="s">
        <v>2690</v>
      </c>
      <c r="C693" s="16">
        <v>0</v>
      </c>
      <c r="D693" s="16">
        <v>0</v>
      </c>
      <c r="E693" s="29" t="s">
        <v>42</v>
      </c>
      <c r="F693" s="29" t="s">
        <v>43</v>
      </c>
      <c r="G693" t="e">
        <v>#N/A</v>
      </c>
    </row>
    <row r="694" spans="1:7" ht="11.5" hidden="1" customHeight="1" x14ac:dyDescent="0.35">
      <c r="A694" s="29" t="s">
        <v>922</v>
      </c>
      <c r="B694" s="29" t="s">
        <v>2691</v>
      </c>
      <c r="C694" s="16">
        <v>0</v>
      </c>
      <c r="D694" s="16">
        <v>0</v>
      </c>
      <c r="E694" s="29" t="s">
        <v>42</v>
      </c>
      <c r="F694" s="29" t="s">
        <v>43</v>
      </c>
      <c r="G694" t="e">
        <v>#N/A</v>
      </c>
    </row>
    <row r="695" spans="1:7" ht="11.5" hidden="1" customHeight="1" x14ac:dyDescent="0.35">
      <c r="A695" s="29" t="s">
        <v>923</v>
      </c>
      <c r="B695" s="29" t="s">
        <v>2692</v>
      </c>
      <c r="C695" s="16">
        <v>0</v>
      </c>
      <c r="D695" s="16">
        <v>0</v>
      </c>
      <c r="E695" s="29" t="s">
        <v>42</v>
      </c>
      <c r="F695" s="29" t="s">
        <v>43</v>
      </c>
      <c r="G695" t="s">
        <v>3880</v>
      </c>
    </row>
    <row r="696" spans="1:7" ht="11.5" hidden="1" customHeight="1" x14ac:dyDescent="0.35">
      <c r="A696" s="29" t="s">
        <v>924</v>
      </c>
      <c r="B696" s="29" t="s">
        <v>2693</v>
      </c>
      <c r="C696" s="16">
        <v>0</v>
      </c>
      <c r="D696" s="16">
        <v>0</v>
      </c>
      <c r="E696" s="29" t="s">
        <v>42</v>
      </c>
      <c r="F696" s="29" t="s">
        <v>43</v>
      </c>
      <c r="G696" t="e">
        <v>#N/A</v>
      </c>
    </row>
    <row r="697" spans="1:7" ht="11.5" hidden="1" customHeight="1" x14ac:dyDescent="0.35">
      <c r="A697" s="29" t="s">
        <v>925</v>
      </c>
      <c r="B697" s="29" t="s">
        <v>2694</v>
      </c>
      <c r="C697" s="16">
        <v>0</v>
      </c>
      <c r="D697" s="16">
        <v>0</v>
      </c>
      <c r="E697" s="29" t="s">
        <v>42</v>
      </c>
      <c r="F697" s="29" t="s">
        <v>43</v>
      </c>
      <c r="G697" t="e">
        <v>#N/A</v>
      </c>
    </row>
    <row r="698" spans="1:7" ht="11.5" hidden="1" customHeight="1" x14ac:dyDescent="0.35">
      <c r="A698" s="29" t="s">
        <v>926</v>
      </c>
      <c r="B698" s="29" t="s">
        <v>2695</v>
      </c>
      <c r="C698" s="16">
        <v>0</v>
      </c>
      <c r="D698" s="16">
        <v>0</v>
      </c>
      <c r="E698" s="29" t="s">
        <v>42</v>
      </c>
      <c r="F698" s="29" t="s">
        <v>43</v>
      </c>
      <c r="G698" t="e">
        <v>#N/A</v>
      </c>
    </row>
    <row r="699" spans="1:7" ht="11.5" hidden="1" customHeight="1" x14ac:dyDescent="0.35">
      <c r="A699" s="29" t="s">
        <v>927</v>
      </c>
      <c r="B699" s="29" t="s">
        <v>2696</v>
      </c>
      <c r="C699" s="16">
        <v>0</v>
      </c>
      <c r="D699" s="16">
        <v>0</v>
      </c>
      <c r="E699" s="29" t="s">
        <v>42</v>
      </c>
      <c r="F699" s="29" t="s">
        <v>43</v>
      </c>
      <c r="G699" t="e">
        <v>#N/A</v>
      </c>
    </row>
    <row r="700" spans="1:7" ht="11.5" hidden="1" customHeight="1" x14ac:dyDescent="0.35">
      <c r="A700" s="29" t="s">
        <v>928</v>
      </c>
      <c r="B700" s="29" t="s">
        <v>2697</v>
      </c>
      <c r="C700" s="16">
        <v>0</v>
      </c>
      <c r="D700" s="16">
        <v>0</v>
      </c>
      <c r="E700" s="29" t="s">
        <v>42</v>
      </c>
      <c r="F700" s="29" t="s">
        <v>43</v>
      </c>
      <c r="G700" t="e">
        <v>#N/A</v>
      </c>
    </row>
    <row r="701" spans="1:7" ht="11.5" hidden="1" customHeight="1" x14ac:dyDescent="0.35">
      <c r="A701" s="29" t="s">
        <v>929</v>
      </c>
      <c r="B701" s="29" t="s">
        <v>2698</v>
      </c>
      <c r="C701" s="16">
        <v>0</v>
      </c>
      <c r="D701" s="16">
        <v>0</v>
      </c>
      <c r="E701" s="29" t="s">
        <v>42</v>
      </c>
      <c r="F701" s="29" t="s">
        <v>43</v>
      </c>
      <c r="G701" t="e">
        <v>#N/A</v>
      </c>
    </row>
    <row r="702" spans="1:7" ht="11.5" hidden="1" customHeight="1" x14ac:dyDescent="0.35">
      <c r="A702" s="29" t="s">
        <v>930</v>
      </c>
      <c r="B702" s="29" t="s">
        <v>2699</v>
      </c>
      <c r="C702" s="16">
        <v>0</v>
      </c>
      <c r="D702" s="16">
        <v>0</v>
      </c>
      <c r="E702" s="29" t="s">
        <v>42</v>
      </c>
      <c r="F702" s="29" t="s">
        <v>43</v>
      </c>
      <c r="G702" t="s">
        <v>3903</v>
      </c>
    </row>
    <row r="703" spans="1:7" ht="11.5" hidden="1" customHeight="1" x14ac:dyDescent="0.35">
      <c r="A703" s="29" t="s">
        <v>931</v>
      </c>
      <c r="B703" s="29" t="s">
        <v>2700</v>
      </c>
      <c r="C703" s="16">
        <v>0</v>
      </c>
      <c r="D703" s="16">
        <v>0</v>
      </c>
      <c r="E703" s="29" t="s">
        <v>42</v>
      </c>
      <c r="F703" s="29" t="s">
        <v>43</v>
      </c>
      <c r="G703" t="e">
        <v>#N/A</v>
      </c>
    </row>
    <row r="704" spans="1:7" ht="11.5" hidden="1" customHeight="1" x14ac:dyDescent="0.35">
      <c r="A704" s="29" t="s">
        <v>932</v>
      </c>
      <c r="B704" s="29" t="s">
        <v>2701</v>
      </c>
      <c r="C704" s="16">
        <v>0</v>
      </c>
      <c r="D704" s="16">
        <v>0</v>
      </c>
      <c r="E704" s="29" t="s">
        <v>42</v>
      </c>
      <c r="F704" s="29" t="s">
        <v>43</v>
      </c>
      <c r="G704" t="e">
        <v>#N/A</v>
      </c>
    </row>
    <row r="705" spans="1:7" ht="11.5" hidden="1" customHeight="1" x14ac:dyDescent="0.35">
      <c r="A705" s="29" t="s">
        <v>933</v>
      </c>
      <c r="B705" s="29" t="s">
        <v>2702</v>
      </c>
      <c r="C705" s="16">
        <v>0</v>
      </c>
      <c r="D705" s="16">
        <v>0</v>
      </c>
      <c r="E705" s="29" t="s">
        <v>42</v>
      </c>
      <c r="F705" s="29" t="s">
        <v>43</v>
      </c>
      <c r="G705" t="e">
        <v>#N/A</v>
      </c>
    </row>
    <row r="706" spans="1:7" ht="11.5" hidden="1" customHeight="1" x14ac:dyDescent="0.35">
      <c r="A706" s="29" t="s">
        <v>934</v>
      </c>
      <c r="B706" s="29" t="s">
        <v>2703</v>
      </c>
      <c r="C706" s="16">
        <v>0</v>
      </c>
      <c r="D706" s="16">
        <v>0</v>
      </c>
      <c r="E706" s="29" t="s">
        <v>42</v>
      </c>
      <c r="F706" s="29" t="s">
        <v>43</v>
      </c>
      <c r="G706" t="e">
        <v>#N/A</v>
      </c>
    </row>
    <row r="707" spans="1:7" ht="11.5" hidden="1" customHeight="1" x14ac:dyDescent="0.35">
      <c r="A707" s="29" t="s">
        <v>935</v>
      </c>
      <c r="B707" s="29" t="s">
        <v>2704</v>
      </c>
      <c r="C707" s="16">
        <v>0</v>
      </c>
      <c r="D707" s="16">
        <v>0</v>
      </c>
      <c r="E707" s="29" t="s">
        <v>42</v>
      </c>
      <c r="F707" s="29" t="s">
        <v>43</v>
      </c>
      <c r="G707" t="e">
        <v>#N/A</v>
      </c>
    </row>
    <row r="708" spans="1:7" ht="11.5" hidden="1" customHeight="1" x14ac:dyDescent="0.35">
      <c r="A708" s="29" t="s">
        <v>936</v>
      </c>
      <c r="B708" s="29" t="s">
        <v>2705</v>
      </c>
      <c r="C708" s="16">
        <v>0</v>
      </c>
      <c r="D708" s="16">
        <v>0</v>
      </c>
      <c r="E708" s="29" t="s">
        <v>42</v>
      </c>
      <c r="F708" s="29" t="s">
        <v>43</v>
      </c>
      <c r="G708" t="e">
        <v>#N/A</v>
      </c>
    </row>
    <row r="709" spans="1:7" ht="11.5" hidden="1" customHeight="1" x14ac:dyDescent="0.35">
      <c r="A709" s="29" t="s">
        <v>937</v>
      </c>
      <c r="B709" s="29" t="s">
        <v>2706</v>
      </c>
      <c r="C709" s="16">
        <v>0</v>
      </c>
      <c r="D709" s="16">
        <v>0</v>
      </c>
      <c r="E709" s="29" t="s">
        <v>42</v>
      </c>
      <c r="F709" s="29" t="s">
        <v>43</v>
      </c>
      <c r="G709" t="e">
        <v>#N/A</v>
      </c>
    </row>
    <row r="710" spans="1:7" ht="11.5" hidden="1" customHeight="1" x14ac:dyDescent="0.35">
      <c r="A710" s="29" t="s">
        <v>938</v>
      </c>
      <c r="B710" s="29" t="s">
        <v>2707</v>
      </c>
      <c r="C710" s="16">
        <v>0</v>
      </c>
      <c r="D710" s="16">
        <v>0</v>
      </c>
      <c r="E710" s="29" t="s">
        <v>42</v>
      </c>
      <c r="F710" s="29" t="s">
        <v>43</v>
      </c>
      <c r="G710" t="e">
        <v>#N/A</v>
      </c>
    </row>
    <row r="711" spans="1:7" ht="11.5" hidden="1" customHeight="1" x14ac:dyDescent="0.35">
      <c r="A711" s="29" t="s">
        <v>939</v>
      </c>
      <c r="B711" s="29" t="s">
        <v>2708</v>
      </c>
      <c r="C711" s="16">
        <v>0</v>
      </c>
      <c r="D711" s="16">
        <v>0</v>
      </c>
      <c r="E711" s="29" t="s">
        <v>42</v>
      </c>
      <c r="F711" s="29" t="s">
        <v>43</v>
      </c>
      <c r="G711" t="e">
        <v>#N/A</v>
      </c>
    </row>
    <row r="712" spans="1:7" ht="11.5" hidden="1" customHeight="1" x14ac:dyDescent="0.35">
      <c r="A712" s="29" t="s">
        <v>940</v>
      </c>
      <c r="B712" s="29" t="s">
        <v>2709</v>
      </c>
      <c r="C712" s="16">
        <v>0</v>
      </c>
      <c r="D712" s="16">
        <v>0</v>
      </c>
      <c r="E712" s="29" t="s">
        <v>42</v>
      </c>
      <c r="F712" s="29" t="s">
        <v>43</v>
      </c>
      <c r="G712" t="e">
        <v>#N/A</v>
      </c>
    </row>
    <row r="713" spans="1:7" ht="11.5" hidden="1" customHeight="1" x14ac:dyDescent="0.35">
      <c r="A713" s="29" t="s">
        <v>941</v>
      </c>
      <c r="B713" s="29" t="s">
        <v>2710</v>
      </c>
      <c r="C713" s="16">
        <v>0</v>
      </c>
      <c r="D713" s="16">
        <v>0</v>
      </c>
      <c r="E713" s="29" t="s">
        <v>42</v>
      </c>
      <c r="F713" s="29" t="s">
        <v>43</v>
      </c>
      <c r="G713" t="e">
        <v>#N/A</v>
      </c>
    </row>
    <row r="714" spans="1:7" ht="11.5" hidden="1" customHeight="1" x14ac:dyDescent="0.35">
      <c r="A714" s="29" t="s">
        <v>942</v>
      </c>
      <c r="B714" s="29" t="s">
        <v>2711</v>
      </c>
      <c r="C714" s="16">
        <v>0</v>
      </c>
      <c r="D714" s="16">
        <v>0</v>
      </c>
      <c r="E714" s="29" t="s">
        <v>42</v>
      </c>
      <c r="F714" s="29" t="s">
        <v>43</v>
      </c>
      <c r="G714" t="e">
        <v>#N/A</v>
      </c>
    </row>
    <row r="715" spans="1:7" ht="11.5" hidden="1" customHeight="1" x14ac:dyDescent="0.35">
      <c r="A715" s="29" t="s">
        <v>943</v>
      </c>
      <c r="B715" s="29" t="s">
        <v>2712</v>
      </c>
      <c r="C715" s="16">
        <v>0</v>
      </c>
      <c r="D715" s="16">
        <v>0</v>
      </c>
      <c r="E715" s="29" t="s">
        <v>42</v>
      </c>
      <c r="F715" s="29" t="s">
        <v>43</v>
      </c>
      <c r="G715" t="e">
        <v>#N/A</v>
      </c>
    </row>
    <row r="716" spans="1:7" ht="11.5" hidden="1" customHeight="1" x14ac:dyDescent="0.35">
      <c r="A716" s="29" t="s">
        <v>944</v>
      </c>
      <c r="B716" s="29" t="s">
        <v>2713</v>
      </c>
      <c r="C716" s="16">
        <v>0</v>
      </c>
      <c r="D716" s="16">
        <v>0</v>
      </c>
      <c r="E716" s="29" t="s">
        <v>42</v>
      </c>
      <c r="F716" s="29" t="s">
        <v>43</v>
      </c>
      <c r="G716" t="e">
        <v>#N/A</v>
      </c>
    </row>
    <row r="717" spans="1:7" ht="11.5" hidden="1" customHeight="1" x14ac:dyDescent="0.35">
      <c r="A717" s="29" t="s">
        <v>945</v>
      </c>
      <c r="B717" s="29" t="s">
        <v>2714</v>
      </c>
      <c r="C717" s="16">
        <v>0</v>
      </c>
      <c r="D717" s="16">
        <v>0</v>
      </c>
      <c r="E717" s="29" t="s">
        <v>42</v>
      </c>
      <c r="F717" s="29" t="s">
        <v>43</v>
      </c>
      <c r="G717" t="e">
        <v>#N/A</v>
      </c>
    </row>
    <row r="718" spans="1:7" ht="11.5" hidden="1" customHeight="1" x14ac:dyDescent="0.35">
      <c r="A718" s="29" t="s">
        <v>946</v>
      </c>
      <c r="B718" s="29" t="s">
        <v>2715</v>
      </c>
      <c r="C718" s="16">
        <v>0</v>
      </c>
      <c r="D718" s="16">
        <v>0</v>
      </c>
      <c r="E718" s="29" t="s">
        <v>42</v>
      </c>
      <c r="F718" s="29" t="s">
        <v>43</v>
      </c>
      <c r="G718" t="e">
        <v>#N/A</v>
      </c>
    </row>
    <row r="719" spans="1:7" ht="11.5" hidden="1" customHeight="1" x14ac:dyDescent="0.35">
      <c r="A719" s="29" t="s">
        <v>947</v>
      </c>
      <c r="B719" s="29" t="s">
        <v>2716</v>
      </c>
      <c r="C719" s="16">
        <v>0</v>
      </c>
      <c r="D719" s="16">
        <v>0</v>
      </c>
      <c r="E719" s="29" t="s">
        <v>42</v>
      </c>
      <c r="F719" s="29" t="s">
        <v>43</v>
      </c>
      <c r="G719" t="e">
        <v>#N/A</v>
      </c>
    </row>
    <row r="720" spans="1:7" ht="11.5" hidden="1" customHeight="1" x14ac:dyDescent="0.35">
      <c r="A720" s="29" t="s">
        <v>948</v>
      </c>
      <c r="B720" s="29" t="s">
        <v>2717</v>
      </c>
      <c r="C720" s="16">
        <v>0</v>
      </c>
      <c r="D720" s="16">
        <v>0</v>
      </c>
      <c r="E720" s="29" t="s">
        <v>42</v>
      </c>
      <c r="F720" s="29" t="s">
        <v>43</v>
      </c>
      <c r="G720" t="e">
        <v>#N/A</v>
      </c>
    </row>
    <row r="721" spans="1:7" ht="11.5" hidden="1" customHeight="1" x14ac:dyDescent="0.35">
      <c r="A721" s="29" t="s">
        <v>949</v>
      </c>
      <c r="B721" s="29" t="s">
        <v>2718</v>
      </c>
      <c r="C721" s="16">
        <v>0</v>
      </c>
      <c r="D721" s="16">
        <v>0</v>
      </c>
      <c r="E721" s="29" t="s">
        <v>42</v>
      </c>
      <c r="F721" s="29" t="s">
        <v>43</v>
      </c>
      <c r="G721" t="e">
        <v>#N/A</v>
      </c>
    </row>
    <row r="722" spans="1:7" ht="11.5" hidden="1" customHeight="1" x14ac:dyDescent="0.35">
      <c r="A722" s="29" t="s">
        <v>950</v>
      </c>
      <c r="B722" s="29" t="s">
        <v>2719</v>
      </c>
      <c r="C722" s="16">
        <v>0</v>
      </c>
      <c r="D722" s="16">
        <v>0</v>
      </c>
      <c r="E722" s="29" t="s">
        <v>42</v>
      </c>
      <c r="F722" s="29" t="s">
        <v>43</v>
      </c>
      <c r="G722" t="e">
        <v>#N/A</v>
      </c>
    </row>
    <row r="723" spans="1:7" ht="11.5" hidden="1" customHeight="1" x14ac:dyDescent="0.35">
      <c r="A723" s="29" t="s">
        <v>951</v>
      </c>
      <c r="B723" s="29" t="s">
        <v>2720</v>
      </c>
      <c r="C723" s="16">
        <v>0</v>
      </c>
      <c r="D723" s="16">
        <v>0</v>
      </c>
      <c r="E723" s="29" t="s">
        <v>42</v>
      </c>
      <c r="F723" s="29" t="s">
        <v>43</v>
      </c>
      <c r="G723" t="e">
        <v>#N/A</v>
      </c>
    </row>
    <row r="724" spans="1:7" ht="11.5" hidden="1" customHeight="1" x14ac:dyDescent="0.35">
      <c r="A724" s="29" t="s">
        <v>952</v>
      </c>
      <c r="B724" s="29" t="s">
        <v>2721</v>
      </c>
      <c r="C724" s="16">
        <v>0</v>
      </c>
      <c r="D724" s="16">
        <v>0</v>
      </c>
      <c r="E724" s="29" t="s">
        <v>42</v>
      </c>
      <c r="F724" s="29" t="s">
        <v>43</v>
      </c>
      <c r="G724" t="e">
        <v>#N/A</v>
      </c>
    </row>
    <row r="725" spans="1:7" ht="11.5" hidden="1" customHeight="1" x14ac:dyDescent="0.35">
      <c r="A725" s="29" t="s">
        <v>953</v>
      </c>
      <c r="B725" s="29" t="s">
        <v>2722</v>
      </c>
      <c r="C725" s="16">
        <v>0</v>
      </c>
      <c r="D725" s="16">
        <v>0</v>
      </c>
      <c r="E725" s="29" t="s">
        <v>42</v>
      </c>
      <c r="F725" s="29" t="s">
        <v>43</v>
      </c>
      <c r="G725" t="e">
        <v>#N/A</v>
      </c>
    </row>
    <row r="726" spans="1:7" ht="11.5" hidden="1" customHeight="1" x14ac:dyDescent="0.35">
      <c r="A726" s="29" t="s">
        <v>954</v>
      </c>
      <c r="B726" s="29" t="s">
        <v>2723</v>
      </c>
      <c r="C726" s="16">
        <v>0</v>
      </c>
      <c r="D726" s="16">
        <v>0</v>
      </c>
      <c r="E726" s="29" t="s">
        <v>42</v>
      </c>
      <c r="F726" s="29" t="s">
        <v>43</v>
      </c>
      <c r="G726" t="e">
        <v>#N/A</v>
      </c>
    </row>
    <row r="727" spans="1:7" ht="11.5" hidden="1" customHeight="1" x14ac:dyDescent="0.35">
      <c r="A727" s="29" t="s">
        <v>955</v>
      </c>
      <c r="B727" s="29" t="s">
        <v>2724</v>
      </c>
      <c r="C727" s="16">
        <v>0</v>
      </c>
      <c r="D727" s="16">
        <v>0</v>
      </c>
      <c r="E727" s="29" t="s">
        <v>42</v>
      </c>
      <c r="F727" s="29" t="s">
        <v>43</v>
      </c>
      <c r="G727" t="e">
        <v>#N/A</v>
      </c>
    </row>
    <row r="728" spans="1:7" ht="11.5" hidden="1" customHeight="1" x14ac:dyDescent="0.35">
      <c r="A728" s="29" t="s">
        <v>956</v>
      </c>
      <c r="B728" s="29" t="s">
        <v>2725</v>
      </c>
      <c r="C728" s="16">
        <v>0</v>
      </c>
      <c r="D728" s="16">
        <v>0</v>
      </c>
      <c r="E728" s="29" t="s">
        <v>42</v>
      </c>
      <c r="F728" s="29" t="s">
        <v>43</v>
      </c>
      <c r="G728" t="e">
        <v>#N/A</v>
      </c>
    </row>
    <row r="729" spans="1:7" ht="11.5" hidden="1" customHeight="1" x14ac:dyDescent="0.35">
      <c r="A729" s="29" t="s">
        <v>957</v>
      </c>
      <c r="B729" s="29" t="s">
        <v>2726</v>
      </c>
      <c r="C729" s="16">
        <v>0</v>
      </c>
      <c r="D729" s="16">
        <v>0</v>
      </c>
      <c r="E729" s="29" t="s">
        <v>42</v>
      </c>
      <c r="F729" s="29" t="s">
        <v>43</v>
      </c>
      <c r="G729" t="s">
        <v>3881</v>
      </c>
    </row>
    <row r="730" spans="1:7" ht="11.5" hidden="1" customHeight="1" x14ac:dyDescent="0.35">
      <c r="A730" s="29" t="s">
        <v>958</v>
      </c>
      <c r="B730" s="29" t="s">
        <v>2727</v>
      </c>
      <c r="C730" s="16">
        <v>0</v>
      </c>
      <c r="D730" s="16">
        <v>0</v>
      </c>
      <c r="E730" s="29" t="s">
        <v>42</v>
      </c>
      <c r="F730" s="29" t="s">
        <v>43</v>
      </c>
      <c r="G730" t="e">
        <v>#N/A</v>
      </c>
    </row>
    <row r="731" spans="1:7" ht="11.5" hidden="1" customHeight="1" x14ac:dyDescent="0.35">
      <c r="A731" s="29" t="s">
        <v>959</v>
      </c>
      <c r="B731" s="29" t="s">
        <v>2728</v>
      </c>
      <c r="C731" s="16">
        <v>0</v>
      </c>
      <c r="D731" s="16">
        <v>0</v>
      </c>
      <c r="E731" s="29" t="s">
        <v>42</v>
      </c>
      <c r="F731" s="29" t="s">
        <v>43</v>
      </c>
      <c r="G731" t="e">
        <v>#N/A</v>
      </c>
    </row>
    <row r="732" spans="1:7" ht="11.5" hidden="1" customHeight="1" x14ac:dyDescent="0.35">
      <c r="A732" s="29" t="s">
        <v>960</v>
      </c>
      <c r="B732" s="29" t="s">
        <v>2729</v>
      </c>
      <c r="C732" s="16">
        <v>0</v>
      </c>
      <c r="D732" s="16">
        <v>0</v>
      </c>
      <c r="E732" s="29" t="s">
        <v>42</v>
      </c>
      <c r="F732" s="29" t="s">
        <v>43</v>
      </c>
      <c r="G732" t="e">
        <v>#N/A</v>
      </c>
    </row>
    <row r="733" spans="1:7" ht="11.5" hidden="1" customHeight="1" x14ac:dyDescent="0.35">
      <c r="A733" s="29" t="s">
        <v>961</v>
      </c>
      <c r="B733" s="29" t="s">
        <v>2730</v>
      </c>
      <c r="C733" s="16">
        <v>0</v>
      </c>
      <c r="D733" s="16">
        <v>0</v>
      </c>
      <c r="E733" s="29" t="s">
        <v>42</v>
      </c>
      <c r="F733" s="29" t="s">
        <v>43</v>
      </c>
      <c r="G733" t="e">
        <v>#N/A</v>
      </c>
    </row>
    <row r="734" spans="1:7" ht="11.5" hidden="1" customHeight="1" x14ac:dyDescent="0.35">
      <c r="A734" s="29" t="s">
        <v>962</v>
      </c>
      <c r="B734" s="29" t="s">
        <v>2731</v>
      </c>
      <c r="C734" s="16">
        <v>0</v>
      </c>
      <c r="D734" s="16">
        <v>0</v>
      </c>
      <c r="E734" s="29" t="s">
        <v>42</v>
      </c>
      <c r="F734" s="29" t="s">
        <v>43</v>
      </c>
      <c r="G734" t="s">
        <v>3903</v>
      </c>
    </row>
    <row r="735" spans="1:7" ht="11.5" hidden="1" customHeight="1" x14ac:dyDescent="0.35">
      <c r="A735" s="29" t="s">
        <v>963</v>
      </c>
      <c r="B735" s="29" t="s">
        <v>2732</v>
      </c>
      <c r="C735" s="16">
        <v>0</v>
      </c>
      <c r="D735" s="16">
        <v>0</v>
      </c>
      <c r="E735" s="29" t="s">
        <v>42</v>
      </c>
      <c r="F735" s="29" t="s">
        <v>43</v>
      </c>
      <c r="G735" t="e">
        <v>#N/A</v>
      </c>
    </row>
    <row r="736" spans="1:7" ht="11.5" hidden="1" customHeight="1" x14ac:dyDescent="0.35">
      <c r="A736" s="29" t="s">
        <v>964</v>
      </c>
      <c r="B736" s="29" t="s">
        <v>2733</v>
      </c>
      <c r="C736" s="16">
        <v>0</v>
      </c>
      <c r="D736" s="16">
        <v>0</v>
      </c>
      <c r="E736" s="29" t="s">
        <v>42</v>
      </c>
      <c r="F736" s="29" t="s">
        <v>43</v>
      </c>
      <c r="G736" t="e">
        <v>#N/A</v>
      </c>
    </row>
    <row r="737" spans="1:7" ht="11.5" hidden="1" customHeight="1" x14ac:dyDescent="0.35">
      <c r="A737" s="29" t="s">
        <v>965</v>
      </c>
      <c r="B737" s="29" t="s">
        <v>2734</v>
      </c>
      <c r="C737" s="16">
        <v>0</v>
      </c>
      <c r="D737" s="16">
        <v>0</v>
      </c>
      <c r="E737" s="29" t="s">
        <v>42</v>
      </c>
      <c r="F737" s="29" t="s">
        <v>43</v>
      </c>
      <c r="G737" t="e">
        <v>#N/A</v>
      </c>
    </row>
    <row r="738" spans="1:7" ht="11.5" hidden="1" customHeight="1" x14ac:dyDescent="0.35">
      <c r="A738" s="29" t="s">
        <v>966</v>
      </c>
      <c r="B738" s="29" t="s">
        <v>2735</v>
      </c>
      <c r="C738" s="16">
        <v>0</v>
      </c>
      <c r="D738" s="16">
        <v>0</v>
      </c>
      <c r="E738" s="29" t="s">
        <v>42</v>
      </c>
      <c r="F738" s="29" t="s">
        <v>43</v>
      </c>
      <c r="G738" t="e">
        <v>#N/A</v>
      </c>
    </row>
    <row r="739" spans="1:7" ht="11.5" hidden="1" customHeight="1" x14ac:dyDescent="0.35">
      <c r="A739" s="29" t="s">
        <v>967</v>
      </c>
      <c r="B739" s="29" t="s">
        <v>2736</v>
      </c>
      <c r="C739" s="16">
        <v>0</v>
      </c>
      <c r="D739" s="16">
        <v>0</v>
      </c>
      <c r="E739" s="29" t="s">
        <v>42</v>
      </c>
      <c r="F739" s="29" t="s">
        <v>43</v>
      </c>
      <c r="G739" t="e">
        <v>#N/A</v>
      </c>
    </row>
    <row r="740" spans="1:7" ht="11.5" hidden="1" customHeight="1" x14ac:dyDescent="0.35">
      <c r="A740" s="29" t="s">
        <v>968</v>
      </c>
      <c r="B740" s="29" t="s">
        <v>2737</v>
      </c>
      <c r="C740" s="16">
        <v>0</v>
      </c>
      <c r="D740" s="16">
        <v>0</v>
      </c>
      <c r="E740" s="29" t="s">
        <v>42</v>
      </c>
      <c r="F740" s="29" t="s">
        <v>43</v>
      </c>
      <c r="G740" t="e">
        <v>#N/A</v>
      </c>
    </row>
    <row r="741" spans="1:7" ht="11.5" hidden="1" customHeight="1" x14ac:dyDescent="0.35">
      <c r="A741" s="29" t="s">
        <v>969</v>
      </c>
      <c r="B741" s="29" t="s">
        <v>2738</v>
      </c>
      <c r="C741" s="16">
        <v>0</v>
      </c>
      <c r="D741" s="16">
        <v>0</v>
      </c>
      <c r="E741" s="29" t="s">
        <v>42</v>
      </c>
      <c r="F741" s="29" t="s">
        <v>43</v>
      </c>
      <c r="G741" t="e">
        <v>#N/A</v>
      </c>
    </row>
    <row r="742" spans="1:7" ht="11.5" hidden="1" customHeight="1" x14ac:dyDescent="0.35">
      <c r="A742" s="29" t="s">
        <v>970</v>
      </c>
      <c r="B742" s="29" t="s">
        <v>2739</v>
      </c>
      <c r="C742" s="16">
        <v>0</v>
      </c>
      <c r="D742" s="16">
        <v>0</v>
      </c>
      <c r="E742" s="29" t="s">
        <v>42</v>
      </c>
      <c r="F742" s="29" t="s">
        <v>43</v>
      </c>
      <c r="G742" t="e">
        <v>#N/A</v>
      </c>
    </row>
    <row r="743" spans="1:7" ht="11.5" hidden="1" customHeight="1" x14ac:dyDescent="0.35">
      <c r="A743" s="29" t="s">
        <v>971</v>
      </c>
      <c r="B743" s="29" t="s">
        <v>2740</v>
      </c>
      <c r="C743" s="16">
        <v>0</v>
      </c>
      <c r="D743" s="16">
        <v>0</v>
      </c>
      <c r="E743" s="29" t="s">
        <v>42</v>
      </c>
      <c r="F743" s="29" t="s">
        <v>43</v>
      </c>
      <c r="G743" t="e">
        <v>#N/A</v>
      </c>
    </row>
    <row r="744" spans="1:7" ht="11.5" hidden="1" customHeight="1" x14ac:dyDescent="0.35">
      <c r="A744" s="29" t="s">
        <v>972</v>
      </c>
      <c r="B744" s="29" t="s">
        <v>2740</v>
      </c>
      <c r="C744" s="16">
        <v>0</v>
      </c>
      <c r="D744" s="16">
        <v>0</v>
      </c>
      <c r="E744" s="29" t="s">
        <v>42</v>
      </c>
      <c r="F744" s="29" t="s">
        <v>43</v>
      </c>
      <c r="G744" t="e">
        <v>#N/A</v>
      </c>
    </row>
    <row r="745" spans="1:7" ht="11.5" hidden="1" customHeight="1" x14ac:dyDescent="0.35">
      <c r="A745" s="29" t="s">
        <v>973</v>
      </c>
      <c r="B745" s="29" t="s">
        <v>2741</v>
      </c>
      <c r="C745" s="16">
        <v>0</v>
      </c>
      <c r="D745" s="16">
        <v>0</v>
      </c>
      <c r="E745" s="29" t="s">
        <v>42</v>
      </c>
      <c r="F745" s="29" t="s">
        <v>43</v>
      </c>
      <c r="G745" t="e">
        <v>#N/A</v>
      </c>
    </row>
    <row r="746" spans="1:7" ht="11.5" hidden="1" customHeight="1" x14ac:dyDescent="0.35">
      <c r="A746" s="29" t="s">
        <v>974</v>
      </c>
      <c r="B746" s="29" t="s">
        <v>2742</v>
      </c>
      <c r="C746" s="16">
        <v>0</v>
      </c>
      <c r="D746" s="16">
        <v>0</v>
      </c>
      <c r="E746" s="29" t="s">
        <v>42</v>
      </c>
      <c r="F746" s="29" t="s">
        <v>43</v>
      </c>
      <c r="G746" t="e">
        <v>#N/A</v>
      </c>
    </row>
    <row r="747" spans="1:7" ht="11.5" hidden="1" customHeight="1" x14ac:dyDescent="0.35">
      <c r="A747" s="29" t="s">
        <v>975</v>
      </c>
      <c r="B747" s="29" t="s">
        <v>2743</v>
      </c>
      <c r="C747" s="16">
        <v>0</v>
      </c>
      <c r="D747" s="16">
        <v>0</v>
      </c>
      <c r="E747" s="29" t="s">
        <v>42</v>
      </c>
      <c r="F747" s="29" t="s">
        <v>43</v>
      </c>
      <c r="G747" t="e">
        <v>#N/A</v>
      </c>
    </row>
    <row r="748" spans="1:7" ht="11.5" hidden="1" customHeight="1" x14ac:dyDescent="0.35">
      <c r="A748" s="29" t="s">
        <v>976</v>
      </c>
      <c r="B748" s="29" t="s">
        <v>2744</v>
      </c>
      <c r="C748" s="16">
        <v>0</v>
      </c>
      <c r="D748" s="16">
        <v>0</v>
      </c>
      <c r="E748" s="29" t="s">
        <v>42</v>
      </c>
      <c r="F748" s="29" t="s">
        <v>43</v>
      </c>
      <c r="G748" t="e">
        <v>#N/A</v>
      </c>
    </row>
    <row r="749" spans="1:7" ht="11.5" hidden="1" customHeight="1" x14ac:dyDescent="0.35">
      <c r="A749" s="29" t="s">
        <v>977</v>
      </c>
      <c r="B749" s="29" t="s">
        <v>2745</v>
      </c>
      <c r="C749" s="16">
        <v>0</v>
      </c>
      <c r="D749" s="16">
        <v>0</v>
      </c>
      <c r="E749" s="29" t="s">
        <v>42</v>
      </c>
      <c r="F749" s="29" t="s">
        <v>43</v>
      </c>
      <c r="G749" t="e">
        <v>#N/A</v>
      </c>
    </row>
    <row r="750" spans="1:7" ht="11.5" hidden="1" customHeight="1" x14ac:dyDescent="0.35">
      <c r="A750" s="29" t="s">
        <v>978</v>
      </c>
      <c r="B750" s="29" t="s">
        <v>2746</v>
      </c>
      <c r="C750" s="16">
        <v>0</v>
      </c>
      <c r="D750" s="16">
        <v>0</v>
      </c>
      <c r="E750" s="29" t="s">
        <v>42</v>
      </c>
      <c r="F750" s="29" t="s">
        <v>43</v>
      </c>
      <c r="G750" t="e">
        <v>#N/A</v>
      </c>
    </row>
    <row r="751" spans="1:7" ht="11.5" hidden="1" customHeight="1" x14ac:dyDescent="0.35">
      <c r="A751" s="29" t="s">
        <v>979</v>
      </c>
      <c r="B751" s="29" t="s">
        <v>2747</v>
      </c>
      <c r="C751" s="16">
        <v>0</v>
      </c>
      <c r="D751" s="16">
        <v>0</v>
      </c>
      <c r="E751" s="29" t="s">
        <v>42</v>
      </c>
      <c r="F751" s="29" t="s">
        <v>43</v>
      </c>
      <c r="G751" t="e">
        <v>#N/A</v>
      </c>
    </row>
    <row r="752" spans="1:7" ht="11.5" hidden="1" customHeight="1" x14ac:dyDescent="0.35">
      <c r="A752" s="29" t="s">
        <v>980</v>
      </c>
      <c r="B752" s="29" t="s">
        <v>2748</v>
      </c>
      <c r="C752" s="16">
        <v>0</v>
      </c>
      <c r="D752" s="16">
        <v>0</v>
      </c>
      <c r="E752" s="29" t="s">
        <v>42</v>
      </c>
      <c r="F752" s="29" t="s">
        <v>43</v>
      </c>
      <c r="G752" t="e">
        <v>#N/A</v>
      </c>
    </row>
    <row r="753" spans="1:7" ht="11.5" hidden="1" customHeight="1" x14ac:dyDescent="0.35">
      <c r="A753" s="29" t="s">
        <v>981</v>
      </c>
      <c r="B753" s="29" t="s">
        <v>2749</v>
      </c>
      <c r="C753" s="16">
        <v>0</v>
      </c>
      <c r="D753" s="16">
        <v>0</v>
      </c>
      <c r="E753" s="29" t="s">
        <v>42</v>
      </c>
      <c r="F753" s="29" t="s">
        <v>43</v>
      </c>
      <c r="G753" t="e">
        <v>#N/A</v>
      </c>
    </row>
    <row r="754" spans="1:7" ht="11.5" hidden="1" customHeight="1" x14ac:dyDescent="0.35">
      <c r="A754" s="29" t="s">
        <v>982</v>
      </c>
      <c r="B754" s="29" t="s">
        <v>2750</v>
      </c>
      <c r="C754" s="16">
        <v>0</v>
      </c>
      <c r="D754" s="16">
        <v>0</v>
      </c>
      <c r="E754" s="29" t="s">
        <v>42</v>
      </c>
      <c r="F754" s="29" t="s">
        <v>43</v>
      </c>
      <c r="G754" t="e">
        <v>#N/A</v>
      </c>
    </row>
    <row r="755" spans="1:7" ht="11.5" hidden="1" customHeight="1" x14ac:dyDescent="0.35">
      <c r="A755" s="29" t="s">
        <v>983</v>
      </c>
      <c r="B755" s="29" t="s">
        <v>2751</v>
      </c>
      <c r="C755" s="16">
        <v>0</v>
      </c>
      <c r="D755" s="16">
        <v>0</v>
      </c>
      <c r="E755" s="29" t="s">
        <v>42</v>
      </c>
      <c r="F755" s="29" t="s">
        <v>43</v>
      </c>
      <c r="G755" t="e">
        <v>#N/A</v>
      </c>
    </row>
    <row r="756" spans="1:7" ht="11.5" hidden="1" customHeight="1" x14ac:dyDescent="0.35">
      <c r="A756" s="29" t="s">
        <v>984</v>
      </c>
      <c r="B756" s="29" t="s">
        <v>2752</v>
      </c>
      <c r="C756" s="16">
        <v>0</v>
      </c>
      <c r="D756" s="16">
        <v>0</v>
      </c>
      <c r="E756" s="29" t="s">
        <v>42</v>
      </c>
      <c r="F756" s="29" t="s">
        <v>43</v>
      </c>
      <c r="G756" t="e">
        <v>#N/A</v>
      </c>
    </row>
    <row r="757" spans="1:7" ht="11.5" hidden="1" customHeight="1" x14ac:dyDescent="0.35">
      <c r="A757" s="29" t="s">
        <v>985</v>
      </c>
      <c r="B757" s="29" t="s">
        <v>2753</v>
      </c>
      <c r="C757" s="16">
        <v>0</v>
      </c>
      <c r="D757" s="16">
        <v>0</v>
      </c>
      <c r="E757" s="29" t="s">
        <v>42</v>
      </c>
      <c r="F757" s="29" t="s">
        <v>43</v>
      </c>
      <c r="G757" t="e">
        <v>#N/A</v>
      </c>
    </row>
    <row r="758" spans="1:7" ht="11.5" hidden="1" customHeight="1" x14ac:dyDescent="0.35">
      <c r="A758" s="29" t="s">
        <v>986</v>
      </c>
      <c r="B758" s="29" t="s">
        <v>2754</v>
      </c>
      <c r="C758" s="16">
        <v>0</v>
      </c>
      <c r="D758" s="16">
        <v>0</v>
      </c>
      <c r="E758" s="29" t="s">
        <v>42</v>
      </c>
      <c r="F758" s="29" t="s">
        <v>43</v>
      </c>
      <c r="G758" t="e">
        <v>#N/A</v>
      </c>
    </row>
    <row r="759" spans="1:7" ht="11.5" hidden="1" customHeight="1" x14ac:dyDescent="0.35">
      <c r="A759" s="29" t="s">
        <v>987</v>
      </c>
      <c r="B759" s="29" t="s">
        <v>2755</v>
      </c>
      <c r="C759" s="16">
        <v>0</v>
      </c>
      <c r="D759" s="16">
        <v>0</v>
      </c>
      <c r="E759" s="29" t="s">
        <v>42</v>
      </c>
      <c r="F759" s="29" t="s">
        <v>43</v>
      </c>
      <c r="G759" t="e">
        <v>#N/A</v>
      </c>
    </row>
    <row r="760" spans="1:7" ht="11.5" hidden="1" customHeight="1" x14ac:dyDescent="0.35">
      <c r="A760" s="29" t="s">
        <v>988</v>
      </c>
      <c r="B760" s="29" t="s">
        <v>2756</v>
      </c>
      <c r="C760" s="16">
        <v>0</v>
      </c>
      <c r="D760" s="16">
        <v>0</v>
      </c>
      <c r="E760" s="29" t="s">
        <v>42</v>
      </c>
      <c r="F760" s="29" t="s">
        <v>43</v>
      </c>
      <c r="G760" t="e">
        <v>#N/A</v>
      </c>
    </row>
    <row r="761" spans="1:7" ht="11.5" hidden="1" customHeight="1" x14ac:dyDescent="0.35">
      <c r="A761" s="29" t="s">
        <v>989</v>
      </c>
      <c r="B761" s="29" t="s">
        <v>2757</v>
      </c>
      <c r="C761" s="16">
        <v>0</v>
      </c>
      <c r="D761" s="16">
        <v>0</v>
      </c>
      <c r="E761" s="29" t="s">
        <v>42</v>
      </c>
      <c r="F761" s="29" t="s">
        <v>43</v>
      </c>
      <c r="G761" t="s">
        <v>3881</v>
      </c>
    </row>
    <row r="762" spans="1:7" ht="11.5" hidden="1" customHeight="1" x14ac:dyDescent="0.35">
      <c r="A762" s="29" t="s">
        <v>990</v>
      </c>
      <c r="B762" s="29" t="s">
        <v>2758</v>
      </c>
      <c r="C762" s="16">
        <v>0</v>
      </c>
      <c r="D762" s="16">
        <v>0</v>
      </c>
      <c r="E762" s="29" t="s">
        <v>42</v>
      </c>
      <c r="F762" s="29" t="s">
        <v>43</v>
      </c>
      <c r="G762" t="e">
        <v>#N/A</v>
      </c>
    </row>
    <row r="763" spans="1:7" ht="11.5" hidden="1" customHeight="1" x14ac:dyDescent="0.35">
      <c r="A763" s="29" t="s">
        <v>991</v>
      </c>
      <c r="B763" s="29" t="s">
        <v>2759</v>
      </c>
      <c r="C763" s="16">
        <v>0</v>
      </c>
      <c r="D763" s="16">
        <v>0</v>
      </c>
      <c r="E763" s="29" t="s">
        <v>42</v>
      </c>
      <c r="F763" s="29" t="s">
        <v>43</v>
      </c>
      <c r="G763" t="e">
        <v>#N/A</v>
      </c>
    </row>
    <row r="764" spans="1:7" ht="11.5" hidden="1" customHeight="1" x14ac:dyDescent="0.35">
      <c r="A764" s="29" t="s">
        <v>992</v>
      </c>
      <c r="B764" s="29" t="s">
        <v>2760</v>
      </c>
      <c r="C764" s="16">
        <v>0</v>
      </c>
      <c r="D764" s="16">
        <v>0</v>
      </c>
      <c r="E764" s="29" t="s">
        <v>42</v>
      </c>
      <c r="F764" s="29" t="s">
        <v>43</v>
      </c>
      <c r="G764" t="e">
        <v>#N/A</v>
      </c>
    </row>
    <row r="765" spans="1:7" ht="11.5" hidden="1" customHeight="1" x14ac:dyDescent="0.35">
      <c r="A765" s="29" t="s">
        <v>993</v>
      </c>
      <c r="B765" s="29" t="s">
        <v>2761</v>
      </c>
      <c r="C765" s="16">
        <v>0</v>
      </c>
      <c r="D765" s="16">
        <v>0</v>
      </c>
      <c r="E765" s="29" t="s">
        <v>42</v>
      </c>
      <c r="F765" s="29" t="s">
        <v>43</v>
      </c>
      <c r="G765" t="e">
        <v>#N/A</v>
      </c>
    </row>
    <row r="766" spans="1:7" ht="11.5" hidden="1" customHeight="1" x14ac:dyDescent="0.35">
      <c r="A766" s="29" t="s">
        <v>994</v>
      </c>
      <c r="B766" s="29" t="s">
        <v>2762</v>
      </c>
      <c r="C766" s="16">
        <v>0</v>
      </c>
      <c r="D766" s="16">
        <v>0</v>
      </c>
      <c r="E766" s="29" t="s">
        <v>42</v>
      </c>
      <c r="F766" s="29" t="s">
        <v>43</v>
      </c>
      <c r="G766" t="e">
        <v>#N/A</v>
      </c>
    </row>
    <row r="767" spans="1:7" ht="11.5" hidden="1" customHeight="1" x14ac:dyDescent="0.35">
      <c r="A767" s="29" t="s">
        <v>995</v>
      </c>
      <c r="B767" s="29" t="s">
        <v>2763</v>
      </c>
      <c r="C767" s="16">
        <v>0</v>
      </c>
      <c r="D767" s="16">
        <v>0</v>
      </c>
      <c r="E767" s="29" t="s">
        <v>42</v>
      </c>
      <c r="F767" s="29" t="s">
        <v>43</v>
      </c>
      <c r="G767" t="e">
        <v>#N/A</v>
      </c>
    </row>
    <row r="768" spans="1:7" ht="11.5" hidden="1" customHeight="1" x14ac:dyDescent="0.35">
      <c r="A768" s="29" t="s">
        <v>996</v>
      </c>
      <c r="B768" s="29" t="s">
        <v>2764</v>
      </c>
      <c r="C768" s="16">
        <v>0</v>
      </c>
      <c r="D768" s="16">
        <v>0</v>
      </c>
      <c r="E768" s="29" t="s">
        <v>42</v>
      </c>
      <c r="F768" s="29" t="s">
        <v>43</v>
      </c>
      <c r="G768" t="s">
        <v>3904</v>
      </c>
    </row>
    <row r="769" spans="1:7" ht="11.5" hidden="1" customHeight="1" x14ac:dyDescent="0.35">
      <c r="A769" s="29" t="s">
        <v>997</v>
      </c>
      <c r="B769" s="29" t="s">
        <v>2765</v>
      </c>
      <c r="C769" s="16">
        <v>0</v>
      </c>
      <c r="D769" s="16">
        <v>0</v>
      </c>
      <c r="E769" s="29" t="s">
        <v>42</v>
      </c>
      <c r="F769" s="29" t="s">
        <v>43</v>
      </c>
      <c r="G769" t="e">
        <v>#N/A</v>
      </c>
    </row>
    <row r="770" spans="1:7" ht="11.5" hidden="1" customHeight="1" x14ac:dyDescent="0.35">
      <c r="A770" s="29" t="s">
        <v>998</v>
      </c>
      <c r="B770" s="29" t="s">
        <v>2766</v>
      </c>
      <c r="C770" s="16">
        <v>0</v>
      </c>
      <c r="D770" s="16">
        <v>0</v>
      </c>
      <c r="E770" s="29" t="s">
        <v>42</v>
      </c>
      <c r="F770" s="29" t="s">
        <v>43</v>
      </c>
      <c r="G770" t="e">
        <v>#N/A</v>
      </c>
    </row>
    <row r="771" spans="1:7" ht="11.5" hidden="1" customHeight="1" x14ac:dyDescent="0.35">
      <c r="A771" s="29" t="s">
        <v>999</v>
      </c>
      <c r="B771" s="29" t="s">
        <v>2767</v>
      </c>
      <c r="C771" s="16">
        <v>0</v>
      </c>
      <c r="D771" s="16">
        <v>0</v>
      </c>
      <c r="E771" s="29" t="s">
        <v>42</v>
      </c>
      <c r="F771" s="29" t="s">
        <v>43</v>
      </c>
      <c r="G771" t="e">
        <v>#N/A</v>
      </c>
    </row>
    <row r="772" spans="1:7" ht="11.5" hidden="1" customHeight="1" x14ac:dyDescent="0.35">
      <c r="A772" s="29" t="s">
        <v>1000</v>
      </c>
      <c r="B772" s="29" t="s">
        <v>2768</v>
      </c>
      <c r="C772" s="16">
        <v>0</v>
      </c>
      <c r="D772" s="16">
        <v>0</v>
      </c>
      <c r="E772" s="29" t="s">
        <v>42</v>
      </c>
      <c r="F772" s="29" t="s">
        <v>43</v>
      </c>
      <c r="G772" t="e">
        <v>#N/A</v>
      </c>
    </row>
    <row r="773" spans="1:7" ht="11.5" hidden="1" customHeight="1" x14ac:dyDescent="0.35">
      <c r="A773" s="29" t="s">
        <v>1001</v>
      </c>
      <c r="B773" s="29" t="s">
        <v>2769</v>
      </c>
      <c r="C773" s="16">
        <v>0</v>
      </c>
      <c r="D773" s="16">
        <v>0</v>
      </c>
      <c r="E773" s="29" t="s">
        <v>42</v>
      </c>
      <c r="F773" s="29" t="s">
        <v>43</v>
      </c>
      <c r="G773" t="e">
        <v>#N/A</v>
      </c>
    </row>
    <row r="774" spans="1:7" ht="11.5" hidden="1" customHeight="1" x14ac:dyDescent="0.35">
      <c r="A774" s="29" t="s">
        <v>1002</v>
      </c>
      <c r="B774" s="29" t="s">
        <v>2770</v>
      </c>
      <c r="C774" s="16">
        <v>0</v>
      </c>
      <c r="D774" s="16">
        <v>0</v>
      </c>
      <c r="E774" s="29" t="s">
        <v>42</v>
      </c>
      <c r="F774" s="29" t="s">
        <v>43</v>
      </c>
      <c r="G774" t="e">
        <v>#N/A</v>
      </c>
    </row>
    <row r="775" spans="1:7" ht="11.5" hidden="1" customHeight="1" x14ac:dyDescent="0.35">
      <c r="A775" s="29" t="s">
        <v>1003</v>
      </c>
      <c r="B775" s="29" t="s">
        <v>2771</v>
      </c>
      <c r="C775" s="16">
        <v>0</v>
      </c>
      <c r="D775" s="16">
        <v>0</v>
      </c>
      <c r="E775" s="29" t="s">
        <v>42</v>
      </c>
      <c r="F775" s="29" t="s">
        <v>43</v>
      </c>
      <c r="G775" t="e">
        <v>#N/A</v>
      </c>
    </row>
    <row r="776" spans="1:7" ht="11.5" hidden="1" customHeight="1" x14ac:dyDescent="0.35">
      <c r="A776" s="29" t="s">
        <v>1004</v>
      </c>
      <c r="B776" s="29" t="s">
        <v>2772</v>
      </c>
      <c r="C776" s="16">
        <v>0</v>
      </c>
      <c r="D776" s="16">
        <v>0</v>
      </c>
      <c r="E776" s="29" t="s">
        <v>42</v>
      </c>
      <c r="F776" s="29" t="s">
        <v>43</v>
      </c>
      <c r="G776" t="e">
        <v>#N/A</v>
      </c>
    </row>
    <row r="777" spans="1:7" ht="11.5" hidden="1" customHeight="1" x14ac:dyDescent="0.35">
      <c r="A777" s="29" t="s">
        <v>1005</v>
      </c>
      <c r="B777" s="29" t="s">
        <v>2773</v>
      </c>
      <c r="C777" s="16">
        <v>0</v>
      </c>
      <c r="D777" s="16">
        <v>0</v>
      </c>
      <c r="E777" s="29" t="s">
        <v>42</v>
      </c>
      <c r="F777" s="29" t="s">
        <v>43</v>
      </c>
      <c r="G777" t="e">
        <v>#N/A</v>
      </c>
    </row>
    <row r="778" spans="1:7" ht="11.5" hidden="1" customHeight="1" x14ac:dyDescent="0.35">
      <c r="A778" s="29" t="s">
        <v>1006</v>
      </c>
      <c r="B778" s="29" t="s">
        <v>2774</v>
      </c>
      <c r="C778" s="16">
        <v>0</v>
      </c>
      <c r="D778" s="16">
        <v>0</v>
      </c>
      <c r="E778" s="29" t="s">
        <v>42</v>
      </c>
      <c r="F778" s="29" t="s">
        <v>43</v>
      </c>
      <c r="G778" t="e">
        <v>#N/A</v>
      </c>
    </row>
    <row r="779" spans="1:7" ht="11.5" hidden="1" customHeight="1" x14ac:dyDescent="0.35">
      <c r="A779" s="29" t="s">
        <v>1007</v>
      </c>
      <c r="B779" s="29" t="s">
        <v>2775</v>
      </c>
      <c r="C779" s="16">
        <v>0</v>
      </c>
      <c r="D779" s="16">
        <v>0</v>
      </c>
      <c r="E779" s="29" t="s">
        <v>42</v>
      </c>
      <c r="F779" s="29" t="s">
        <v>43</v>
      </c>
      <c r="G779" t="e">
        <v>#N/A</v>
      </c>
    </row>
    <row r="780" spans="1:7" ht="11.5" hidden="1" customHeight="1" x14ac:dyDescent="0.35">
      <c r="A780" s="29" t="s">
        <v>1008</v>
      </c>
      <c r="B780" s="29" t="s">
        <v>2776</v>
      </c>
      <c r="C780" s="16">
        <v>0</v>
      </c>
      <c r="D780" s="16">
        <v>0</v>
      </c>
      <c r="E780" s="29" t="s">
        <v>42</v>
      </c>
      <c r="F780" s="29" t="s">
        <v>43</v>
      </c>
      <c r="G780" t="e">
        <v>#N/A</v>
      </c>
    </row>
    <row r="781" spans="1:7" ht="11.5" hidden="1" customHeight="1" x14ac:dyDescent="0.35">
      <c r="A781" s="29" t="s">
        <v>1009</v>
      </c>
      <c r="B781" s="29" t="s">
        <v>2777</v>
      </c>
      <c r="C781" s="16">
        <v>0</v>
      </c>
      <c r="D781" s="16">
        <v>0</v>
      </c>
      <c r="E781" s="29" t="s">
        <v>42</v>
      </c>
      <c r="F781" s="29" t="s">
        <v>43</v>
      </c>
      <c r="G781" t="e">
        <v>#N/A</v>
      </c>
    </row>
    <row r="782" spans="1:7" ht="11.5" hidden="1" customHeight="1" x14ac:dyDescent="0.35">
      <c r="A782" s="29" t="s">
        <v>1010</v>
      </c>
      <c r="B782" s="29" t="s">
        <v>2778</v>
      </c>
      <c r="C782" s="16">
        <v>0</v>
      </c>
      <c r="D782" s="16">
        <v>0</v>
      </c>
      <c r="E782" s="29" t="s">
        <v>42</v>
      </c>
      <c r="F782" s="29" t="s">
        <v>43</v>
      </c>
      <c r="G782" t="e">
        <v>#N/A</v>
      </c>
    </row>
    <row r="783" spans="1:7" ht="11.5" hidden="1" customHeight="1" x14ac:dyDescent="0.35">
      <c r="A783" s="29" t="s">
        <v>1011</v>
      </c>
      <c r="B783" s="29" t="s">
        <v>2779</v>
      </c>
      <c r="C783" s="16">
        <v>0</v>
      </c>
      <c r="D783" s="16">
        <v>0</v>
      </c>
      <c r="E783" s="29" t="s">
        <v>42</v>
      </c>
      <c r="F783" s="29" t="s">
        <v>43</v>
      </c>
      <c r="G783" t="e">
        <v>#N/A</v>
      </c>
    </row>
    <row r="784" spans="1:7" ht="11.5" hidden="1" customHeight="1" x14ac:dyDescent="0.35">
      <c r="A784" s="29" t="s">
        <v>1012</v>
      </c>
      <c r="B784" s="29" t="s">
        <v>2780</v>
      </c>
      <c r="C784" s="16">
        <v>0</v>
      </c>
      <c r="D784" s="16">
        <v>0</v>
      </c>
      <c r="E784" s="29" t="s">
        <v>42</v>
      </c>
      <c r="F784" s="29" t="s">
        <v>43</v>
      </c>
      <c r="G784" t="e">
        <v>#N/A</v>
      </c>
    </row>
    <row r="785" spans="1:7" ht="11.5" hidden="1" customHeight="1" x14ac:dyDescent="0.35">
      <c r="A785" s="29" t="s">
        <v>1013</v>
      </c>
      <c r="B785" s="29" t="s">
        <v>2781</v>
      </c>
      <c r="C785" s="16">
        <v>0</v>
      </c>
      <c r="D785" s="16">
        <v>0</v>
      </c>
      <c r="E785" s="29" t="s">
        <v>42</v>
      </c>
      <c r="F785" s="29" t="s">
        <v>43</v>
      </c>
      <c r="G785" t="e">
        <v>#N/A</v>
      </c>
    </row>
    <row r="786" spans="1:7" ht="11.5" hidden="1" customHeight="1" x14ac:dyDescent="0.35">
      <c r="A786" s="29" t="s">
        <v>1014</v>
      </c>
      <c r="B786" s="29" t="s">
        <v>2782</v>
      </c>
      <c r="C786" s="16">
        <v>0</v>
      </c>
      <c r="D786" s="16">
        <v>0</v>
      </c>
      <c r="E786" s="29" t="s">
        <v>42</v>
      </c>
      <c r="F786" s="29" t="s">
        <v>43</v>
      </c>
      <c r="G786" t="e">
        <v>#N/A</v>
      </c>
    </row>
    <row r="787" spans="1:7" ht="11.5" hidden="1" customHeight="1" x14ac:dyDescent="0.35">
      <c r="A787" s="29" t="s">
        <v>1015</v>
      </c>
      <c r="B787" s="29" t="s">
        <v>2783</v>
      </c>
      <c r="C787" s="16">
        <v>0</v>
      </c>
      <c r="D787" s="16">
        <v>0</v>
      </c>
      <c r="E787" s="29" t="s">
        <v>42</v>
      </c>
      <c r="F787" s="29" t="s">
        <v>43</v>
      </c>
      <c r="G787" t="e">
        <v>#N/A</v>
      </c>
    </row>
    <row r="788" spans="1:7" ht="11.5" hidden="1" customHeight="1" x14ac:dyDescent="0.35">
      <c r="A788" s="29" t="s">
        <v>1016</v>
      </c>
      <c r="B788" s="29" t="s">
        <v>2784</v>
      </c>
      <c r="C788" s="16">
        <v>0</v>
      </c>
      <c r="D788" s="16">
        <v>0</v>
      </c>
      <c r="E788" s="29" t="s">
        <v>42</v>
      </c>
      <c r="F788" s="29" t="s">
        <v>43</v>
      </c>
      <c r="G788" t="e">
        <v>#N/A</v>
      </c>
    </row>
    <row r="789" spans="1:7" ht="11.5" hidden="1" customHeight="1" x14ac:dyDescent="0.35">
      <c r="A789" s="29" t="s">
        <v>1017</v>
      </c>
      <c r="B789" s="29" t="s">
        <v>2785</v>
      </c>
      <c r="C789" s="16">
        <v>0</v>
      </c>
      <c r="D789" s="16">
        <v>0</v>
      </c>
      <c r="E789" s="29" t="s">
        <v>42</v>
      </c>
      <c r="F789" s="29" t="s">
        <v>43</v>
      </c>
      <c r="G789" t="e">
        <v>#N/A</v>
      </c>
    </row>
    <row r="790" spans="1:7" ht="11.5" hidden="1" customHeight="1" x14ac:dyDescent="0.35">
      <c r="A790" s="29" t="s">
        <v>1018</v>
      </c>
      <c r="B790" s="29" t="s">
        <v>2786</v>
      </c>
      <c r="C790" s="16">
        <v>0</v>
      </c>
      <c r="D790" s="16">
        <v>0</v>
      </c>
      <c r="E790" s="29" t="s">
        <v>42</v>
      </c>
      <c r="F790" s="29" t="s">
        <v>43</v>
      </c>
      <c r="G790" t="e">
        <v>#N/A</v>
      </c>
    </row>
    <row r="791" spans="1:7" ht="11.5" hidden="1" customHeight="1" x14ac:dyDescent="0.35">
      <c r="A791" s="29" t="s">
        <v>1019</v>
      </c>
      <c r="B791" s="29" t="s">
        <v>2787</v>
      </c>
      <c r="C791" s="16">
        <v>0</v>
      </c>
      <c r="D791" s="16">
        <v>0</v>
      </c>
      <c r="E791" s="29" t="s">
        <v>42</v>
      </c>
      <c r="F791" s="29" t="s">
        <v>43</v>
      </c>
      <c r="G791" t="e">
        <v>#N/A</v>
      </c>
    </row>
    <row r="792" spans="1:7" ht="11.5" hidden="1" customHeight="1" x14ac:dyDescent="0.35">
      <c r="A792" s="29" t="s">
        <v>1020</v>
      </c>
      <c r="B792" s="29" t="s">
        <v>2788</v>
      </c>
      <c r="C792" s="16">
        <v>0</v>
      </c>
      <c r="D792" s="16">
        <v>0</v>
      </c>
      <c r="E792" s="29" t="s">
        <v>42</v>
      </c>
      <c r="F792" s="29" t="s">
        <v>43</v>
      </c>
      <c r="G792" t="e">
        <v>#N/A</v>
      </c>
    </row>
    <row r="793" spans="1:7" ht="11.5" hidden="1" customHeight="1" x14ac:dyDescent="0.35">
      <c r="A793" s="29" t="s">
        <v>1021</v>
      </c>
      <c r="B793" s="29" t="s">
        <v>2789</v>
      </c>
      <c r="C793" s="16">
        <v>0</v>
      </c>
      <c r="D793" s="16">
        <v>0</v>
      </c>
      <c r="E793" s="29" t="s">
        <v>42</v>
      </c>
      <c r="F793" s="29" t="s">
        <v>43</v>
      </c>
      <c r="G793" t="e">
        <v>#N/A</v>
      </c>
    </row>
    <row r="794" spans="1:7" ht="11.5" hidden="1" customHeight="1" x14ac:dyDescent="0.35">
      <c r="A794" s="29" t="s">
        <v>1022</v>
      </c>
      <c r="B794" s="29" t="s">
        <v>2790</v>
      </c>
      <c r="C794" s="16">
        <v>0</v>
      </c>
      <c r="D794" s="16">
        <v>0</v>
      </c>
      <c r="E794" s="29" t="s">
        <v>42</v>
      </c>
      <c r="F794" s="29" t="s">
        <v>43</v>
      </c>
      <c r="G794" t="e">
        <v>#N/A</v>
      </c>
    </row>
    <row r="795" spans="1:7" ht="11.5" hidden="1" customHeight="1" x14ac:dyDescent="0.35">
      <c r="A795" s="29" t="s">
        <v>1023</v>
      </c>
      <c r="B795" s="29" t="s">
        <v>2791</v>
      </c>
      <c r="C795" s="16">
        <v>0</v>
      </c>
      <c r="D795" s="16">
        <v>0</v>
      </c>
      <c r="E795" s="29" t="s">
        <v>42</v>
      </c>
      <c r="F795" s="29" t="s">
        <v>43</v>
      </c>
      <c r="G795" t="s">
        <v>3882</v>
      </c>
    </row>
    <row r="796" spans="1:7" ht="11.5" hidden="1" customHeight="1" x14ac:dyDescent="0.35">
      <c r="A796" s="29" t="s">
        <v>1024</v>
      </c>
      <c r="B796" s="29" t="s">
        <v>2792</v>
      </c>
      <c r="C796" s="16">
        <v>0</v>
      </c>
      <c r="D796" s="16">
        <v>0</v>
      </c>
      <c r="E796" s="29" t="s">
        <v>42</v>
      </c>
      <c r="F796" s="29" t="s">
        <v>43</v>
      </c>
      <c r="G796" t="e">
        <v>#N/A</v>
      </c>
    </row>
    <row r="797" spans="1:7" ht="11.5" hidden="1" customHeight="1" x14ac:dyDescent="0.35">
      <c r="A797" s="29" t="s">
        <v>1025</v>
      </c>
      <c r="B797" s="29" t="s">
        <v>2793</v>
      </c>
      <c r="C797" s="16">
        <v>0</v>
      </c>
      <c r="D797" s="16">
        <v>0</v>
      </c>
      <c r="E797" s="29" t="s">
        <v>42</v>
      </c>
      <c r="F797" s="29" t="s">
        <v>43</v>
      </c>
      <c r="G797" t="e">
        <v>#N/A</v>
      </c>
    </row>
    <row r="798" spans="1:7" ht="11.5" hidden="1" customHeight="1" x14ac:dyDescent="0.35">
      <c r="A798" s="29" t="s">
        <v>1026</v>
      </c>
      <c r="B798" s="29" t="s">
        <v>2794</v>
      </c>
      <c r="C798" s="16">
        <v>0</v>
      </c>
      <c r="D798" s="16">
        <v>0</v>
      </c>
      <c r="E798" s="29" t="s">
        <v>42</v>
      </c>
      <c r="F798" s="29" t="s">
        <v>43</v>
      </c>
      <c r="G798" t="e">
        <v>#N/A</v>
      </c>
    </row>
    <row r="799" spans="1:7" ht="11.5" hidden="1" customHeight="1" x14ac:dyDescent="0.35">
      <c r="A799" s="29" t="s">
        <v>1027</v>
      </c>
      <c r="B799" s="29" t="s">
        <v>2795</v>
      </c>
      <c r="C799" s="16">
        <v>0</v>
      </c>
      <c r="D799" s="16">
        <v>0</v>
      </c>
      <c r="E799" s="29" t="s">
        <v>42</v>
      </c>
      <c r="F799" s="29" t="s">
        <v>43</v>
      </c>
      <c r="G799" t="e">
        <v>#N/A</v>
      </c>
    </row>
    <row r="800" spans="1:7" ht="11.5" hidden="1" customHeight="1" x14ac:dyDescent="0.35">
      <c r="A800" s="29" t="s">
        <v>1028</v>
      </c>
      <c r="B800" s="29" t="s">
        <v>2796</v>
      </c>
      <c r="C800" s="16">
        <v>0</v>
      </c>
      <c r="D800" s="16">
        <v>0</v>
      </c>
      <c r="E800" s="29" t="s">
        <v>42</v>
      </c>
      <c r="F800" s="29" t="s">
        <v>43</v>
      </c>
      <c r="G800" t="s">
        <v>3904</v>
      </c>
    </row>
    <row r="801" spans="1:7" ht="11.5" hidden="1" customHeight="1" x14ac:dyDescent="0.35">
      <c r="A801" s="29" t="s">
        <v>1029</v>
      </c>
      <c r="B801" s="29" t="s">
        <v>2797</v>
      </c>
      <c r="C801" s="16">
        <v>0</v>
      </c>
      <c r="D801" s="16">
        <v>0</v>
      </c>
      <c r="E801" s="29" t="s">
        <v>42</v>
      </c>
      <c r="F801" s="29" t="s">
        <v>43</v>
      </c>
      <c r="G801" t="e">
        <v>#N/A</v>
      </c>
    </row>
    <row r="802" spans="1:7" ht="11.5" hidden="1" customHeight="1" x14ac:dyDescent="0.35">
      <c r="A802" s="29" t="s">
        <v>1030</v>
      </c>
      <c r="B802" s="29" t="s">
        <v>2798</v>
      </c>
      <c r="C802" s="16">
        <v>0</v>
      </c>
      <c r="D802" s="16">
        <v>0</v>
      </c>
      <c r="E802" s="29" t="s">
        <v>42</v>
      </c>
      <c r="F802" s="29" t="s">
        <v>43</v>
      </c>
      <c r="G802" t="e">
        <v>#N/A</v>
      </c>
    </row>
    <row r="803" spans="1:7" ht="11.5" hidden="1" customHeight="1" x14ac:dyDescent="0.35">
      <c r="A803" s="29" t="s">
        <v>1031</v>
      </c>
      <c r="B803" s="29" t="s">
        <v>2799</v>
      </c>
      <c r="C803" s="16">
        <v>0</v>
      </c>
      <c r="D803" s="16">
        <v>0</v>
      </c>
      <c r="E803" s="29" t="s">
        <v>42</v>
      </c>
      <c r="F803" s="29" t="s">
        <v>43</v>
      </c>
      <c r="G803" t="e">
        <v>#N/A</v>
      </c>
    </row>
    <row r="804" spans="1:7" ht="11.5" hidden="1" customHeight="1" x14ac:dyDescent="0.35">
      <c r="A804" s="29" t="s">
        <v>1032</v>
      </c>
      <c r="B804" s="29" t="s">
        <v>2800</v>
      </c>
      <c r="C804" s="16">
        <v>0</v>
      </c>
      <c r="D804" s="16">
        <v>0</v>
      </c>
      <c r="E804" s="29" t="s">
        <v>42</v>
      </c>
      <c r="F804" s="29" t="s">
        <v>43</v>
      </c>
      <c r="G804" t="e">
        <v>#N/A</v>
      </c>
    </row>
    <row r="805" spans="1:7" ht="11.5" hidden="1" customHeight="1" x14ac:dyDescent="0.35">
      <c r="A805" s="29" t="s">
        <v>1033</v>
      </c>
      <c r="B805" s="29" t="s">
        <v>2801</v>
      </c>
      <c r="C805" s="16">
        <v>0</v>
      </c>
      <c r="D805" s="16">
        <v>0</v>
      </c>
      <c r="E805" s="29" t="s">
        <v>42</v>
      </c>
      <c r="F805" s="29" t="s">
        <v>43</v>
      </c>
      <c r="G805" t="e">
        <v>#N/A</v>
      </c>
    </row>
    <row r="806" spans="1:7" ht="11.5" hidden="1" customHeight="1" x14ac:dyDescent="0.35">
      <c r="A806" s="29" t="s">
        <v>1034</v>
      </c>
      <c r="B806" s="29" t="s">
        <v>2802</v>
      </c>
      <c r="C806" s="16">
        <v>0</v>
      </c>
      <c r="D806" s="16">
        <v>0</v>
      </c>
      <c r="E806" s="29" t="s">
        <v>42</v>
      </c>
      <c r="F806" s="29" t="s">
        <v>43</v>
      </c>
      <c r="G806" t="e">
        <v>#N/A</v>
      </c>
    </row>
    <row r="807" spans="1:7" ht="11.5" hidden="1" customHeight="1" x14ac:dyDescent="0.35">
      <c r="A807" s="29" t="s">
        <v>1035</v>
      </c>
      <c r="B807" s="29" t="s">
        <v>2803</v>
      </c>
      <c r="C807" s="16">
        <v>0</v>
      </c>
      <c r="D807" s="16">
        <v>0</v>
      </c>
      <c r="E807" s="29" t="s">
        <v>42</v>
      </c>
      <c r="F807" s="29" t="s">
        <v>43</v>
      </c>
      <c r="G807" t="e">
        <v>#N/A</v>
      </c>
    </row>
    <row r="808" spans="1:7" ht="11.5" hidden="1" customHeight="1" x14ac:dyDescent="0.35">
      <c r="A808" s="29" t="s">
        <v>1036</v>
      </c>
      <c r="B808" s="29" t="s">
        <v>2804</v>
      </c>
      <c r="C808" s="16">
        <v>0</v>
      </c>
      <c r="D808" s="16">
        <v>0</v>
      </c>
      <c r="E808" s="29" t="s">
        <v>42</v>
      </c>
      <c r="F808" s="29" t="s">
        <v>43</v>
      </c>
      <c r="G808" t="e">
        <v>#N/A</v>
      </c>
    </row>
    <row r="809" spans="1:7" ht="11.5" hidden="1" customHeight="1" x14ac:dyDescent="0.35">
      <c r="A809" s="29" t="s">
        <v>1037</v>
      </c>
      <c r="B809" s="29" t="s">
        <v>2805</v>
      </c>
      <c r="C809" s="16">
        <v>0</v>
      </c>
      <c r="D809" s="16">
        <v>0</v>
      </c>
      <c r="E809" s="29" t="s">
        <v>42</v>
      </c>
      <c r="F809" s="29" t="s">
        <v>43</v>
      </c>
      <c r="G809" t="e">
        <v>#N/A</v>
      </c>
    </row>
    <row r="810" spans="1:7" ht="11.5" hidden="1" customHeight="1" x14ac:dyDescent="0.35">
      <c r="A810" s="29" t="s">
        <v>1038</v>
      </c>
      <c r="B810" s="29" t="s">
        <v>2805</v>
      </c>
      <c r="C810" s="16">
        <v>0</v>
      </c>
      <c r="D810" s="16">
        <v>0</v>
      </c>
      <c r="E810" s="29" t="s">
        <v>42</v>
      </c>
      <c r="F810" s="29" t="s">
        <v>43</v>
      </c>
      <c r="G810" t="e">
        <v>#N/A</v>
      </c>
    </row>
    <row r="811" spans="1:7" ht="11.5" hidden="1" customHeight="1" x14ac:dyDescent="0.35">
      <c r="A811" s="29" t="s">
        <v>1039</v>
      </c>
      <c r="B811" s="29" t="s">
        <v>2806</v>
      </c>
      <c r="C811" s="16">
        <v>0</v>
      </c>
      <c r="D811" s="16">
        <v>0</v>
      </c>
      <c r="E811" s="29" t="s">
        <v>42</v>
      </c>
      <c r="F811" s="29" t="s">
        <v>43</v>
      </c>
      <c r="G811" t="e">
        <v>#N/A</v>
      </c>
    </row>
    <row r="812" spans="1:7" ht="11.5" hidden="1" customHeight="1" x14ac:dyDescent="0.35">
      <c r="A812" s="29" t="s">
        <v>1040</v>
      </c>
      <c r="B812" s="29" t="s">
        <v>2807</v>
      </c>
      <c r="C812" s="16">
        <v>0</v>
      </c>
      <c r="D812" s="16">
        <v>0</v>
      </c>
      <c r="E812" s="29" t="s">
        <v>42</v>
      </c>
      <c r="F812" s="29" t="s">
        <v>43</v>
      </c>
      <c r="G812" t="e">
        <v>#N/A</v>
      </c>
    </row>
    <row r="813" spans="1:7" ht="11.5" hidden="1" customHeight="1" x14ac:dyDescent="0.35">
      <c r="A813" s="29" t="s">
        <v>1041</v>
      </c>
      <c r="B813" s="29" t="s">
        <v>2808</v>
      </c>
      <c r="C813" s="16">
        <v>0</v>
      </c>
      <c r="D813" s="16">
        <v>0</v>
      </c>
      <c r="E813" s="29" t="s">
        <v>42</v>
      </c>
      <c r="F813" s="29" t="s">
        <v>43</v>
      </c>
      <c r="G813" t="e">
        <v>#N/A</v>
      </c>
    </row>
    <row r="814" spans="1:7" ht="11.5" hidden="1" customHeight="1" x14ac:dyDescent="0.35">
      <c r="A814" s="29" t="s">
        <v>1042</v>
      </c>
      <c r="B814" s="29" t="s">
        <v>2809</v>
      </c>
      <c r="C814" s="16">
        <v>0</v>
      </c>
      <c r="D814" s="16">
        <v>0</v>
      </c>
      <c r="E814" s="29" t="s">
        <v>42</v>
      </c>
      <c r="F814" s="29" t="s">
        <v>43</v>
      </c>
      <c r="G814" t="e">
        <v>#N/A</v>
      </c>
    </row>
    <row r="815" spans="1:7" ht="11.5" hidden="1" customHeight="1" x14ac:dyDescent="0.35">
      <c r="A815" s="29" t="s">
        <v>1043</v>
      </c>
      <c r="B815" s="29" t="s">
        <v>2810</v>
      </c>
      <c r="C815" s="16">
        <v>0</v>
      </c>
      <c r="D815" s="16">
        <v>0</v>
      </c>
      <c r="E815" s="29" t="s">
        <v>42</v>
      </c>
      <c r="F815" s="29" t="s">
        <v>43</v>
      </c>
      <c r="G815" t="e">
        <v>#N/A</v>
      </c>
    </row>
    <row r="816" spans="1:7" ht="11.5" hidden="1" customHeight="1" x14ac:dyDescent="0.35">
      <c r="A816" s="29" t="s">
        <v>1044</v>
      </c>
      <c r="B816" s="29" t="s">
        <v>2811</v>
      </c>
      <c r="C816" s="16">
        <v>0</v>
      </c>
      <c r="D816" s="16">
        <v>0</v>
      </c>
      <c r="E816" s="29" t="s">
        <v>42</v>
      </c>
      <c r="F816" s="29" t="s">
        <v>43</v>
      </c>
      <c r="G816" t="e">
        <v>#N/A</v>
      </c>
    </row>
    <row r="817" spans="1:7" ht="11.5" hidden="1" customHeight="1" x14ac:dyDescent="0.35">
      <c r="A817" s="29" t="s">
        <v>1045</v>
      </c>
      <c r="B817" s="29" t="s">
        <v>2812</v>
      </c>
      <c r="C817" s="16">
        <v>0</v>
      </c>
      <c r="D817" s="16">
        <v>0</v>
      </c>
      <c r="E817" s="29" t="s">
        <v>42</v>
      </c>
      <c r="F817" s="29" t="s">
        <v>43</v>
      </c>
      <c r="G817" t="e">
        <v>#N/A</v>
      </c>
    </row>
    <row r="818" spans="1:7" ht="11.5" hidden="1" customHeight="1" x14ac:dyDescent="0.35">
      <c r="A818" s="29" t="s">
        <v>1046</v>
      </c>
      <c r="B818" s="29" t="s">
        <v>2813</v>
      </c>
      <c r="C818" s="16">
        <v>0</v>
      </c>
      <c r="D818" s="16">
        <v>0</v>
      </c>
      <c r="E818" s="29" t="s">
        <v>42</v>
      </c>
      <c r="F818" s="29" t="s">
        <v>43</v>
      </c>
      <c r="G818" t="e">
        <v>#N/A</v>
      </c>
    </row>
    <row r="819" spans="1:7" ht="11.5" hidden="1" customHeight="1" x14ac:dyDescent="0.35">
      <c r="A819" s="29" t="s">
        <v>1047</v>
      </c>
      <c r="B819" s="29" t="s">
        <v>2814</v>
      </c>
      <c r="C819" s="16">
        <v>0</v>
      </c>
      <c r="D819" s="16">
        <v>0</v>
      </c>
      <c r="E819" s="29" t="s">
        <v>42</v>
      </c>
      <c r="F819" s="29" t="s">
        <v>43</v>
      </c>
      <c r="G819" t="e">
        <v>#N/A</v>
      </c>
    </row>
    <row r="820" spans="1:7" ht="11.5" hidden="1" customHeight="1" x14ac:dyDescent="0.35">
      <c r="A820" s="29" t="s">
        <v>1048</v>
      </c>
      <c r="B820" s="29" t="s">
        <v>2815</v>
      </c>
      <c r="C820" s="16">
        <v>0</v>
      </c>
      <c r="D820" s="16">
        <v>0</v>
      </c>
      <c r="E820" s="29" t="s">
        <v>42</v>
      </c>
      <c r="F820" s="29" t="s">
        <v>43</v>
      </c>
      <c r="G820" t="e">
        <v>#N/A</v>
      </c>
    </row>
    <row r="821" spans="1:7" ht="11.5" hidden="1" customHeight="1" x14ac:dyDescent="0.35">
      <c r="A821" s="29" t="s">
        <v>1049</v>
      </c>
      <c r="B821" s="29" t="s">
        <v>2816</v>
      </c>
      <c r="C821" s="16">
        <v>0</v>
      </c>
      <c r="D821" s="16">
        <v>0</v>
      </c>
      <c r="E821" s="29" t="s">
        <v>42</v>
      </c>
      <c r="F821" s="29" t="s">
        <v>43</v>
      </c>
      <c r="G821" t="e">
        <v>#N/A</v>
      </c>
    </row>
    <row r="822" spans="1:7" ht="11.5" hidden="1" customHeight="1" x14ac:dyDescent="0.35">
      <c r="A822" s="29" t="s">
        <v>1050</v>
      </c>
      <c r="B822" s="29" t="s">
        <v>2817</v>
      </c>
      <c r="C822" s="16">
        <v>0</v>
      </c>
      <c r="D822" s="16">
        <v>0</v>
      </c>
      <c r="E822" s="29" t="s">
        <v>42</v>
      </c>
      <c r="F822" s="29" t="s">
        <v>43</v>
      </c>
      <c r="G822" t="e">
        <v>#N/A</v>
      </c>
    </row>
    <row r="823" spans="1:7" ht="11.5" hidden="1" customHeight="1" x14ac:dyDescent="0.35">
      <c r="A823" s="29" t="s">
        <v>1051</v>
      </c>
      <c r="B823" s="29" t="s">
        <v>2818</v>
      </c>
      <c r="C823" s="16">
        <v>0</v>
      </c>
      <c r="D823" s="16">
        <v>0</v>
      </c>
      <c r="E823" s="29" t="s">
        <v>42</v>
      </c>
      <c r="F823" s="29" t="s">
        <v>43</v>
      </c>
      <c r="G823" t="e">
        <v>#N/A</v>
      </c>
    </row>
    <row r="824" spans="1:7" ht="11.5" hidden="1" customHeight="1" x14ac:dyDescent="0.35">
      <c r="A824" s="29" t="s">
        <v>1052</v>
      </c>
      <c r="B824" s="29" t="s">
        <v>2819</v>
      </c>
      <c r="C824" s="16">
        <v>0</v>
      </c>
      <c r="D824" s="16">
        <v>0</v>
      </c>
      <c r="E824" s="29" t="s">
        <v>42</v>
      </c>
      <c r="F824" s="29" t="s">
        <v>43</v>
      </c>
      <c r="G824" t="e">
        <v>#N/A</v>
      </c>
    </row>
    <row r="825" spans="1:7" ht="11.5" hidden="1" customHeight="1" x14ac:dyDescent="0.35">
      <c r="A825" s="29" t="s">
        <v>1053</v>
      </c>
      <c r="B825" s="29" t="s">
        <v>2820</v>
      </c>
      <c r="C825" s="16">
        <v>0</v>
      </c>
      <c r="D825" s="16">
        <v>0</v>
      </c>
      <c r="E825" s="29" t="s">
        <v>42</v>
      </c>
      <c r="F825" s="29" t="s">
        <v>43</v>
      </c>
      <c r="G825" t="e">
        <v>#N/A</v>
      </c>
    </row>
    <row r="826" spans="1:7" ht="11.5" hidden="1" customHeight="1" x14ac:dyDescent="0.35">
      <c r="A826" s="29" t="s">
        <v>1054</v>
      </c>
      <c r="B826" s="29" t="s">
        <v>2821</v>
      </c>
      <c r="C826" s="16">
        <v>0</v>
      </c>
      <c r="D826" s="16">
        <v>0</v>
      </c>
      <c r="E826" s="29" t="s">
        <v>42</v>
      </c>
      <c r="F826" s="29" t="s">
        <v>43</v>
      </c>
      <c r="G826" t="e">
        <v>#N/A</v>
      </c>
    </row>
    <row r="827" spans="1:7" ht="11.5" hidden="1" customHeight="1" x14ac:dyDescent="0.35">
      <c r="A827" s="29" t="s">
        <v>1055</v>
      </c>
      <c r="B827" s="29" t="s">
        <v>2822</v>
      </c>
      <c r="C827" s="16">
        <v>0</v>
      </c>
      <c r="D827" s="16">
        <v>0</v>
      </c>
      <c r="E827" s="29" t="s">
        <v>42</v>
      </c>
      <c r="F827" s="29" t="s">
        <v>43</v>
      </c>
      <c r="G827" t="s">
        <v>3882</v>
      </c>
    </row>
    <row r="828" spans="1:7" ht="11.5" hidden="1" customHeight="1" x14ac:dyDescent="0.35">
      <c r="A828" s="29" t="s">
        <v>1056</v>
      </c>
      <c r="B828" s="29" t="s">
        <v>2823</v>
      </c>
      <c r="C828" s="16">
        <v>0</v>
      </c>
      <c r="D828" s="16">
        <v>0</v>
      </c>
      <c r="E828" s="29" t="s">
        <v>42</v>
      </c>
      <c r="F828" s="29" t="s">
        <v>43</v>
      </c>
      <c r="G828" t="e">
        <v>#N/A</v>
      </c>
    </row>
    <row r="829" spans="1:7" ht="11.5" hidden="1" customHeight="1" x14ac:dyDescent="0.35">
      <c r="A829" s="29" t="s">
        <v>1057</v>
      </c>
      <c r="B829" s="29" t="s">
        <v>2824</v>
      </c>
      <c r="C829" s="16">
        <v>0</v>
      </c>
      <c r="D829" s="16">
        <v>0</v>
      </c>
      <c r="E829" s="29" t="s">
        <v>42</v>
      </c>
      <c r="F829" s="29" t="s">
        <v>43</v>
      </c>
      <c r="G829" t="e">
        <v>#N/A</v>
      </c>
    </row>
    <row r="830" spans="1:7" ht="11.5" hidden="1" customHeight="1" x14ac:dyDescent="0.35">
      <c r="A830" s="29" t="s">
        <v>1058</v>
      </c>
      <c r="B830" s="29" t="s">
        <v>2825</v>
      </c>
      <c r="C830" s="16">
        <v>0</v>
      </c>
      <c r="D830" s="16">
        <v>0</v>
      </c>
      <c r="E830" s="29" t="s">
        <v>42</v>
      </c>
      <c r="F830" s="29" t="s">
        <v>43</v>
      </c>
      <c r="G830" t="e">
        <v>#N/A</v>
      </c>
    </row>
    <row r="831" spans="1:7" ht="11.5" hidden="1" customHeight="1" x14ac:dyDescent="0.35">
      <c r="A831" s="29" t="s">
        <v>1059</v>
      </c>
      <c r="B831" s="29" t="s">
        <v>2826</v>
      </c>
      <c r="C831" s="16">
        <v>0</v>
      </c>
      <c r="D831" s="16">
        <v>0</v>
      </c>
      <c r="E831" s="29" t="s">
        <v>42</v>
      </c>
      <c r="F831" s="29" t="s">
        <v>43</v>
      </c>
      <c r="G831" t="e">
        <v>#N/A</v>
      </c>
    </row>
    <row r="832" spans="1:7" ht="11.5" hidden="1" customHeight="1" x14ac:dyDescent="0.35">
      <c r="A832" s="29" t="s">
        <v>1060</v>
      </c>
      <c r="B832" s="29" t="s">
        <v>2827</v>
      </c>
      <c r="C832" s="16">
        <v>0</v>
      </c>
      <c r="D832" s="16">
        <v>0</v>
      </c>
      <c r="E832" s="29" t="s">
        <v>42</v>
      </c>
      <c r="F832" s="29" t="s">
        <v>43</v>
      </c>
      <c r="G832" t="e">
        <v>#N/A</v>
      </c>
    </row>
    <row r="833" spans="1:7" ht="11.5" hidden="1" customHeight="1" x14ac:dyDescent="0.35">
      <c r="A833" s="29" t="s">
        <v>1061</v>
      </c>
      <c r="B833" s="29" t="s">
        <v>2828</v>
      </c>
      <c r="C833" s="16">
        <v>0</v>
      </c>
      <c r="D833" s="16">
        <v>0</v>
      </c>
      <c r="E833" s="29" t="s">
        <v>42</v>
      </c>
      <c r="F833" s="29" t="s">
        <v>43</v>
      </c>
      <c r="G833" t="e">
        <v>#N/A</v>
      </c>
    </row>
    <row r="834" spans="1:7" ht="11.5" hidden="1" customHeight="1" x14ac:dyDescent="0.35">
      <c r="A834" s="29" t="s">
        <v>1062</v>
      </c>
      <c r="B834" s="29" t="s">
        <v>2829</v>
      </c>
      <c r="C834" s="16">
        <v>0</v>
      </c>
      <c r="D834" s="16">
        <v>0</v>
      </c>
      <c r="E834" s="29" t="s">
        <v>42</v>
      </c>
      <c r="F834" s="29" t="s">
        <v>43</v>
      </c>
      <c r="G834" t="s">
        <v>3905</v>
      </c>
    </row>
    <row r="835" spans="1:7" ht="11.5" hidden="1" customHeight="1" x14ac:dyDescent="0.35">
      <c r="A835" s="29" t="s">
        <v>1063</v>
      </c>
      <c r="B835" s="29" t="s">
        <v>2830</v>
      </c>
      <c r="C835" s="16">
        <v>0</v>
      </c>
      <c r="D835" s="16">
        <v>0</v>
      </c>
      <c r="E835" s="29" t="s">
        <v>42</v>
      </c>
      <c r="F835" s="29" t="s">
        <v>43</v>
      </c>
      <c r="G835" t="e">
        <v>#N/A</v>
      </c>
    </row>
    <row r="836" spans="1:7" ht="11.5" hidden="1" customHeight="1" x14ac:dyDescent="0.35">
      <c r="A836" s="29" t="s">
        <v>1064</v>
      </c>
      <c r="B836" s="29" t="s">
        <v>2831</v>
      </c>
      <c r="C836" s="16">
        <v>0</v>
      </c>
      <c r="D836" s="16">
        <v>0</v>
      </c>
      <c r="E836" s="29" t="s">
        <v>42</v>
      </c>
      <c r="F836" s="29" t="s">
        <v>43</v>
      </c>
      <c r="G836" t="e">
        <v>#N/A</v>
      </c>
    </row>
    <row r="837" spans="1:7" ht="11.5" hidden="1" customHeight="1" x14ac:dyDescent="0.35">
      <c r="A837" s="29" t="s">
        <v>1065</v>
      </c>
      <c r="B837" s="29" t="s">
        <v>2832</v>
      </c>
      <c r="C837" s="16">
        <v>0</v>
      </c>
      <c r="D837" s="16">
        <v>0</v>
      </c>
      <c r="E837" s="29" t="s">
        <v>42</v>
      </c>
      <c r="F837" s="29" t="s">
        <v>43</v>
      </c>
      <c r="G837" t="e">
        <v>#N/A</v>
      </c>
    </row>
    <row r="838" spans="1:7" ht="11.5" hidden="1" customHeight="1" x14ac:dyDescent="0.35">
      <c r="A838" s="29" t="s">
        <v>1066</v>
      </c>
      <c r="B838" s="29" t="s">
        <v>2833</v>
      </c>
      <c r="C838" s="16">
        <v>0</v>
      </c>
      <c r="D838" s="16">
        <v>0</v>
      </c>
      <c r="E838" s="29" t="s">
        <v>42</v>
      </c>
      <c r="F838" s="29" t="s">
        <v>43</v>
      </c>
      <c r="G838" t="e">
        <v>#N/A</v>
      </c>
    </row>
    <row r="839" spans="1:7" ht="11.5" hidden="1" customHeight="1" x14ac:dyDescent="0.35">
      <c r="A839" s="29" t="s">
        <v>1067</v>
      </c>
      <c r="B839" s="29" t="s">
        <v>2834</v>
      </c>
      <c r="C839" s="16">
        <v>0</v>
      </c>
      <c r="D839" s="16">
        <v>0</v>
      </c>
      <c r="E839" s="29" t="s">
        <v>42</v>
      </c>
      <c r="F839" s="29" t="s">
        <v>43</v>
      </c>
      <c r="G839" t="e">
        <v>#N/A</v>
      </c>
    </row>
    <row r="840" spans="1:7" ht="11.5" hidden="1" customHeight="1" x14ac:dyDescent="0.35">
      <c r="A840" s="29" t="s">
        <v>1068</v>
      </c>
      <c r="B840" s="29" t="s">
        <v>2835</v>
      </c>
      <c r="C840" s="16">
        <v>0</v>
      </c>
      <c r="D840" s="16">
        <v>0</v>
      </c>
      <c r="E840" s="29" t="s">
        <v>42</v>
      </c>
      <c r="F840" s="29" t="s">
        <v>43</v>
      </c>
      <c r="G840" t="e">
        <v>#N/A</v>
      </c>
    </row>
    <row r="841" spans="1:7" ht="11.5" hidden="1" customHeight="1" x14ac:dyDescent="0.35">
      <c r="A841" s="29" t="s">
        <v>1069</v>
      </c>
      <c r="B841" s="29" t="s">
        <v>2836</v>
      </c>
      <c r="C841" s="16">
        <v>0</v>
      </c>
      <c r="D841" s="16">
        <v>0</v>
      </c>
      <c r="E841" s="29" t="s">
        <v>42</v>
      </c>
      <c r="F841" s="29" t="s">
        <v>43</v>
      </c>
      <c r="G841" t="e">
        <v>#N/A</v>
      </c>
    </row>
    <row r="842" spans="1:7" ht="11.5" hidden="1" customHeight="1" x14ac:dyDescent="0.35">
      <c r="A842" s="29" t="s">
        <v>1070</v>
      </c>
      <c r="B842" s="29" t="s">
        <v>2837</v>
      </c>
      <c r="C842" s="16">
        <v>0</v>
      </c>
      <c r="D842" s="16">
        <v>0</v>
      </c>
      <c r="E842" s="29" t="s">
        <v>42</v>
      </c>
      <c r="F842" s="29" t="s">
        <v>43</v>
      </c>
      <c r="G842" t="e">
        <v>#N/A</v>
      </c>
    </row>
    <row r="843" spans="1:7" ht="11.5" hidden="1" customHeight="1" x14ac:dyDescent="0.35">
      <c r="A843" s="29" t="s">
        <v>1071</v>
      </c>
      <c r="B843" s="29" t="s">
        <v>2838</v>
      </c>
      <c r="C843" s="16">
        <v>0</v>
      </c>
      <c r="D843" s="16">
        <v>0</v>
      </c>
      <c r="E843" s="29" t="s">
        <v>42</v>
      </c>
      <c r="F843" s="29" t="s">
        <v>43</v>
      </c>
      <c r="G843" t="e">
        <v>#N/A</v>
      </c>
    </row>
    <row r="844" spans="1:7" ht="11.5" hidden="1" customHeight="1" x14ac:dyDescent="0.35">
      <c r="A844" s="29" t="s">
        <v>1072</v>
      </c>
      <c r="B844" s="29" t="s">
        <v>2839</v>
      </c>
      <c r="C844" s="16">
        <v>0</v>
      </c>
      <c r="D844" s="16">
        <v>0</v>
      </c>
      <c r="E844" s="29" t="s">
        <v>42</v>
      </c>
      <c r="F844" s="29" t="s">
        <v>43</v>
      </c>
      <c r="G844" t="e">
        <v>#N/A</v>
      </c>
    </row>
    <row r="845" spans="1:7" ht="11.5" hidden="1" customHeight="1" x14ac:dyDescent="0.35">
      <c r="A845" s="29" t="s">
        <v>1073</v>
      </c>
      <c r="B845" s="29" t="s">
        <v>2840</v>
      </c>
      <c r="C845" s="16">
        <v>0</v>
      </c>
      <c r="D845" s="16">
        <v>0</v>
      </c>
      <c r="E845" s="29" t="s">
        <v>42</v>
      </c>
      <c r="F845" s="29" t="s">
        <v>43</v>
      </c>
      <c r="G845" t="e">
        <v>#N/A</v>
      </c>
    </row>
    <row r="846" spans="1:7" ht="11.5" hidden="1" customHeight="1" x14ac:dyDescent="0.35">
      <c r="A846" s="29" t="s">
        <v>1074</v>
      </c>
      <c r="B846" s="29" t="s">
        <v>2841</v>
      </c>
      <c r="C846" s="16">
        <v>0</v>
      </c>
      <c r="D846" s="16">
        <v>0</v>
      </c>
      <c r="E846" s="29" t="s">
        <v>42</v>
      </c>
      <c r="F846" s="29" t="s">
        <v>43</v>
      </c>
      <c r="G846" t="e">
        <v>#N/A</v>
      </c>
    </row>
    <row r="847" spans="1:7" ht="11.5" hidden="1" customHeight="1" x14ac:dyDescent="0.35">
      <c r="A847" s="29" t="s">
        <v>1075</v>
      </c>
      <c r="B847" s="29" t="s">
        <v>2842</v>
      </c>
      <c r="C847" s="16">
        <v>0</v>
      </c>
      <c r="D847" s="16">
        <v>0</v>
      </c>
      <c r="E847" s="29" t="s">
        <v>42</v>
      </c>
      <c r="F847" s="29" t="s">
        <v>43</v>
      </c>
      <c r="G847" t="e">
        <v>#N/A</v>
      </c>
    </row>
    <row r="848" spans="1:7" ht="11.5" hidden="1" customHeight="1" x14ac:dyDescent="0.35">
      <c r="A848" s="29" t="s">
        <v>1076</v>
      </c>
      <c r="B848" s="29" t="s">
        <v>2843</v>
      </c>
      <c r="C848" s="16">
        <v>0</v>
      </c>
      <c r="D848" s="16">
        <v>0</v>
      </c>
      <c r="E848" s="29" t="s">
        <v>42</v>
      </c>
      <c r="F848" s="29" t="s">
        <v>43</v>
      </c>
      <c r="G848" t="e">
        <v>#N/A</v>
      </c>
    </row>
    <row r="849" spans="1:7" ht="11.5" hidden="1" customHeight="1" x14ac:dyDescent="0.35">
      <c r="A849" s="29" t="s">
        <v>1077</v>
      </c>
      <c r="B849" s="29" t="s">
        <v>2844</v>
      </c>
      <c r="C849" s="16">
        <v>0</v>
      </c>
      <c r="D849" s="16">
        <v>0</v>
      </c>
      <c r="E849" s="29" t="s">
        <v>42</v>
      </c>
      <c r="F849" s="29" t="s">
        <v>43</v>
      </c>
      <c r="G849" t="e">
        <v>#N/A</v>
      </c>
    </row>
    <row r="850" spans="1:7" ht="11.5" hidden="1" customHeight="1" x14ac:dyDescent="0.35">
      <c r="A850" s="29" t="s">
        <v>1078</v>
      </c>
      <c r="B850" s="29" t="s">
        <v>2845</v>
      </c>
      <c r="C850" s="16">
        <v>0</v>
      </c>
      <c r="D850" s="16">
        <v>0</v>
      </c>
      <c r="E850" s="29" t="s">
        <v>42</v>
      </c>
      <c r="F850" s="29" t="s">
        <v>43</v>
      </c>
      <c r="G850" t="e">
        <v>#N/A</v>
      </c>
    </row>
    <row r="851" spans="1:7" ht="11.5" hidden="1" customHeight="1" x14ac:dyDescent="0.35">
      <c r="A851" s="29" t="s">
        <v>1079</v>
      </c>
      <c r="B851" s="29" t="s">
        <v>2846</v>
      </c>
      <c r="C851" s="16">
        <v>0</v>
      </c>
      <c r="D851" s="16">
        <v>0</v>
      </c>
      <c r="E851" s="29" t="s">
        <v>42</v>
      </c>
      <c r="F851" s="29" t="s">
        <v>43</v>
      </c>
      <c r="G851" t="e">
        <v>#N/A</v>
      </c>
    </row>
    <row r="852" spans="1:7" ht="11.5" hidden="1" customHeight="1" x14ac:dyDescent="0.35">
      <c r="A852" s="29" t="s">
        <v>1080</v>
      </c>
      <c r="B852" s="29" t="s">
        <v>2847</v>
      </c>
      <c r="C852" s="16">
        <v>0</v>
      </c>
      <c r="D852" s="16">
        <v>0</v>
      </c>
      <c r="E852" s="29" t="s">
        <v>42</v>
      </c>
      <c r="F852" s="29" t="s">
        <v>43</v>
      </c>
      <c r="G852" t="e">
        <v>#N/A</v>
      </c>
    </row>
    <row r="853" spans="1:7" ht="11.5" hidden="1" customHeight="1" x14ac:dyDescent="0.35">
      <c r="A853" s="29" t="s">
        <v>1081</v>
      </c>
      <c r="B853" s="29" t="s">
        <v>2848</v>
      </c>
      <c r="C853" s="16">
        <v>0</v>
      </c>
      <c r="D853" s="16">
        <v>0</v>
      </c>
      <c r="E853" s="29" t="s">
        <v>42</v>
      </c>
      <c r="F853" s="29" t="s">
        <v>43</v>
      </c>
      <c r="G853" t="e">
        <v>#N/A</v>
      </c>
    </row>
    <row r="854" spans="1:7" ht="11.5" hidden="1" customHeight="1" x14ac:dyDescent="0.35">
      <c r="A854" s="29" t="s">
        <v>1082</v>
      </c>
      <c r="B854" s="29" t="s">
        <v>2849</v>
      </c>
      <c r="C854" s="16">
        <v>0</v>
      </c>
      <c r="D854" s="16">
        <v>0</v>
      </c>
      <c r="E854" s="29" t="s">
        <v>42</v>
      </c>
      <c r="F854" s="29" t="s">
        <v>43</v>
      </c>
      <c r="G854" t="e">
        <v>#N/A</v>
      </c>
    </row>
    <row r="855" spans="1:7" ht="11.5" hidden="1" customHeight="1" x14ac:dyDescent="0.35">
      <c r="A855" s="29" t="s">
        <v>1083</v>
      </c>
      <c r="B855" s="29" t="s">
        <v>2850</v>
      </c>
      <c r="C855" s="16">
        <v>0</v>
      </c>
      <c r="D855" s="16">
        <v>0</v>
      </c>
      <c r="E855" s="29" t="s">
        <v>42</v>
      </c>
      <c r="F855" s="29" t="s">
        <v>43</v>
      </c>
      <c r="G855" t="e">
        <v>#N/A</v>
      </c>
    </row>
    <row r="856" spans="1:7" ht="11.5" hidden="1" customHeight="1" x14ac:dyDescent="0.35">
      <c r="A856" s="29" t="s">
        <v>1084</v>
      </c>
      <c r="B856" s="29" t="s">
        <v>2851</v>
      </c>
      <c r="C856" s="16">
        <v>0</v>
      </c>
      <c r="D856" s="16">
        <v>0</v>
      </c>
      <c r="E856" s="29" t="s">
        <v>42</v>
      </c>
      <c r="F856" s="29" t="s">
        <v>43</v>
      </c>
      <c r="G856" t="e">
        <v>#N/A</v>
      </c>
    </row>
    <row r="857" spans="1:7" ht="11.5" hidden="1" customHeight="1" x14ac:dyDescent="0.35">
      <c r="A857" s="29" t="s">
        <v>1085</v>
      </c>
      <c r="B857" s="29" t="s">
        <v>2852</v>
      </c>
      <c r="C857" s="16">
        <v>0</v>
      </c>
      <c r="D857" s="16">
        <v>0</v>
      </c>
      <c r="E857" s="29" t="s">
        <v>42</v>
      </c>
      <c r="F857" s="29" t="s">
        <v>43</v>
      </c>
      <c r="G857" t="e">
        <v>#N/A</v>
      </c>
    </row>
    <row r="858" spans="1:7" ht="11.5" hidden="1" customHeight="1" x14ac:dyDescent="0.35">
      <c r="A858" s="29" t="s">
        <v>1086</v>
      </c>
      <c r="B858" s="29" t="s">
        <v>2853</v>
      </c>
      <c r="C858" s="16">
        <v>0</v>
      </c>
      <c r="D858" s="16">
        <v>0</v>
      </c>
      <c r="E858" s="29" t="s">
        <v>42</v>
      </c>
      <c r="F858" s="29" t="s">
        <v>43</v>
      </c>
      <c r="G858" t="e">
        <v>#N/A</v>
      </c>
    </row>
    <row r="859" spans="1:7" ht="11.5" hidden="1" customHeight="1" x14ac:dyDescent="0.35">
      <c r="A859" s="29" t="s">
        <v>1087</v>
      </c>
      <c r="B859" s="29" t="s">
        <v>2854</v>
      </c>
      <c r="C859" s="16">
        <v>0</v>
      </c>
      <c r="D859" s="16">
        <v>0</v>
      </c>
      <c r="E859" s="29" t="s">
        <v>42</v>
      </c>
      <c r="F859" s="29" t="s">
        <v>43</v>
      </c>
      <c r="G859" t="e">
        <v>#N/A</v>
      </c>
    </row>
    <row r="860" spans="1:7" ht="11.5" hidden="1" customHeight="1" x14ac:dyDescent="0.35">
      <c r="A860" s="29" t="s">
        <v>1088</v>
      </c>
      <c r="B860" s="29" t="s">
        <v>2855</v>
      </c>
      <c r="C860" s="16">
        <v>0</v>
      </c>
      <c r="D860" s="16">
        <v>0</v>
      </c>
      <c r="E860" s="29" t="s">
        <v>42</v>
      </c>
      <c r="F860" s="29" t="s">
        <v>43</v>
      </c>
      <c r="G860" t="e">
        <v>#N/A</v>
      </c>
    </row>
    <row r="861" spans="1:7" ht="11.5" hidden="1" customHeight="1" x14ac:dyDescent="0.35">
      <c r="A861" s="29" t="s">
        <v>1089</v>
      </c>
      <c r="B861" s="29" t="s">
        <v>2856</v>
      </c>
      <c r="C861" s="16">
        <v>0</v>
      </c>
      <c r="D861" s="16">
        <v>0</v>
      </c>
      <c r="E861" s="29" t="s">
        <v>42</v>
      </c>
      <c r="F861" s="29" t="s">
        <v>43</v>
      </c>
      <c r="G861" t="s">
        <v>3883</v>
      </c>
    </row>
    <row r="862" spans="1:7" ht="11.5" hidden="1" customHeight="1" x14ac:dyDescent="0.35">
      <c r="A862" s="29" t="s">
        <v>1090</v>
      </c>
      <c r="B862" s="29" t="s">
        <v>2857</v>
      </c>
      <c r="C862" s="16">
        <v>0</v>
      </c>
      <c r="D862" s="16">
        <v>0</v>
      </c>
      <c r="E862" s="29" t="s">
        <v>42</v>
      </c>
      <c r="F862" s="29" t="s">
        <v>43</v>
      </c>
      <c r="G862" t="e">
        <v>#N/A</v>
      </c>
    </row>
    <row r="863" spans="1:7" ht="11.5" hidden="1" customHeight="1" x14ac:dyDescent="0.35">
      <c r="A863" s="29" t="s">
        <v>1091</v>
      </c>
      <c r="B863" s="29" t="s">
        <v>2858</v>
      </c>
      <c r="C863" s="16">
        <v>0</v>
      </c>
      <c r="D863" s="16">
        <v>0</v>
      </c>
      <c r="E863" s="29" t="s">
        <v>42</v>
      </c>
      <c r="F863" s="29" t="s">
        <v>43</v>
      </c>
      <c r="G863" t="e">
        <v>#N/A</v>
      </c>
    </row>
    <row r="864" spans="1:7" ht="11.5" hidden="1" customHeight="1" x14ac:dyDescent="0.35">
      <c r="A864" s="29" t="s">
        <v>1092</v>
      </c>
      <c r="B864" s="29" t="s">
        <v>2859</v>
      </c>
      <c r="C864" s="16">
        <v>0</v>
      </c>
      <c r="D864" s="16">
        <v>0</v>
      </c>
      <c r="E864" s="29" t="s">
        <v>42</v>
      </c>
      <c r="F864" s="29" t="s">
        <v>43</v>
      </c>
      <c r="G864" t="e">
        <v>#N/A</v>
      </c>
    </row>
    <row r="865" spans="1:7" ht="11.5" hidden="1" customHeight="1" x14ac:dyDescent="0.35">
      <c r="A865" s="29" t="s">
        <v>1093</v>
      </c>
      <c r="B865" s="29" t="s">
        <v>2860</v>
      </c>
      <c r="C865" s="16">
        <v>0</v>
      </c>
      <c r="D865" s="16">
        <v>0</v>
      </c>
      <c r="E865" s="29" t="s">
        <v>42</v>
      </c>
      <c r="F865" s="29" t="s">
        <v>43</v>
      </c>
      <c r="G865" t="e">
        <v>#N/A</v>
      </c>
    </row>
    <row r="866" spans="1:7" ht="11.5" hidden="1" customHeight="1" x14ac:dyDescent="0.35">
      <c r="A866" s="29" t="s">
        <v>1094</v>
      </c>
      <c r="B866" s="29" t="s">
        <v>2861</v>
      </c>
      <c r="C866" s="16">
        <v>0</v>
      </c>
      <c r="D866" s="16">
        <v>0</v>
      </c>
      <c r="E866" s="29" t="s">
        <v>42</v>
      </c>
      <c r="F866" s="29" t="s">
        <v>43</v>
      </c>
      <c r="G866" t="s">
        <v>3905</v>
      </c>
    </row>
    <row r="867" spans="1:7" ht="11.5" hidden="1" customHeight="1" x14ac:dyDescent="0.35">
      <c r="A867" s="29" t="s">
        <v>1095</v>
      </c>
      <c r="B867" s="29" t="s">
        <v>2862</v>
      </c>
      <c r="C867" s="16">
        <v>0</v>
      </c>
      <c r="D867" s="16">
        <v>0</v>
      </c>
      <c r="E867" s="29" t="s">
        <v>42</v>
      </c>
      <c r="F867" s="29" t="s">
        <v>43</v>
      </c>
      <c r="G867" t="e">
        <v>#N/A</v>
      </c>
    </row>
    <row r="868" spans="1:7" ht="11.5" hidden="1" customHeight="1" x14ac:dyDescent="0.35">
      <c r="A868" s="29" t="s">
        <v>1096</v>
      </c>
      <c r="B868" s="29" t="s">
        <v>2863</v>
      </c>
      <c r="C868" s="16">
        <v>0</v>
      </c>
      <c r="D868" s="16">
        <v>0</v>
      </c>
      <c r="E868" s="29" t="s">
        <v>42</v>
      </c>
      <c r="F868" s="29" t="s">
        <v>43</v>
      </c>
      <c r="G868" t="e">
        <v>#N/A</v>
      </c>
    </row>
    <row r="869" spans="1:7" ht="11.5" hidden="1" customHeight="1" x14ac:dyDescent="0.35">
      <c r="A869" s="29" t="s">
        <v>1097</v>
      </c>
      <c r="B869" s="29" t="s">
        <v>2864</v>
      </c>
      <c r="C869" s="16">
        <v>0</v>
      </c>
      <c r="D869" s="16">
        <v>0</v>
      </c>
      <c r="E869" s="29" t="s">
        <v>42</v>
      </c>
      <c r="F869" s="29" t="s">
        <v>43</v>
      </c>
      <c r="G869" t="e">
        <v>#N/A</v>
      </c>
    </row>
    <row r="870" spans="1:7" ht="11.5" hidden="1" customHeight="1" x14ac:dyDescent="0.35">
      <c r="A870" s="29" t="s">
        <v>1098</v>
      </c>
      <c r="B870" s="29" t="s">
        <v>2865</v>
      </c>
      <c r="C870" s="16">
        <v>0</v>
      </c>
      <c r="D870" s="16">
        <v>0</v>
      </c>
      <c r="E870" s="29" t="s">
        <v>42</v>
      </c>
      <c r="F870" s="29" t="s">
        <v>43</v>
      </c>
      <c r="G870" t="e">
        <v>#N/A</v>
      </c>
    </row>
    <row r="871" spans="1:7" ht="11.5" hidden="1" customHeight="1" x14ac:dyDescent="0.35">
      <c r="A871" s="29" t="s">
        <v>1099</v>
      </c>
      <c r="B871" s="29" t="s">
        <v>2866</v>
      </c>
      <c r="C871" s="16">
        <v>0</v>
      </c>
      <c r="D871" s="16">
        <v>0</v>
      </c>
      <c r="E871" s="29" t="s">
        <v>42</v>
      </c>
      <c r="F871" s="29" t="s">
        <v>43</v>
      </c>
      <c r="G871" t="e">
        <v>#N/A</v>
      </c>
    </row>
    <row r="872" spans="1:7" ht="11.5" hidden="1" customHeight="1" x14ac:dyDescent="0.35">
      <c r="A872" s="29" t="s">
        <v>1100</v>
      </c>
      <c r="B872" s="29" t="s">
        <v>2867</v>
      </c>
      <c r="C872" s="16">
        <v>0</v>
      </c>
      <c r="D872" s="16">
        <v>0</v>
      </c>
      <c r="E872" s="29" t="s">
        <v>42</v>
      </c>
      <c r="F872" s="29" t="s">
        <v>43</v>
      </c>
      <c r="G872" t="e">
        <v>#N/A</v>
      </c>
    </row>
    <row r="873" spans="1:7" ht="11.5" hidden="1" customHeight="1" x14ac:dyDescent="0.35">
      <c r="A873" s="29" t="s">
        <v>1101</v>
      </c>
      <c r="B873" s="29" t="s">
        <v>2868</v>
      </c>
      <c r="C873" s="16">
        <v>0</v>
      </c>
      <c r="D873" s="16">
        <v>0</v>
      </c>
      <c r="E873" s="29" t="s">
        <v>42</v>
      </c>
      <c r="F873" s="29" t="s">
        <v>43</v>
      </c>
      <c r="G873" t="e">
        <v>#N/A</v>
      </c>
    </row>
    <row r="874" spans="1:7" ht="11.5" hidden="1" customHeight="1" x14ac:dyDescent="0.35">
      <c r="A874" s="29" t="s">
        <v>1102</v>
      </c>
      <c r="B874" s="29" t="s">
        <v>2869</v>
      </c>
      <c r="C874" s="16">
        <v>0</v>
      </c>
      <c r="D874" s="16">
        <v>0</v>
      </c>
      <c r="E874" s="29" t="s">
        <v>42</v>
      </c>
      <c r="F874" s="29" t="s">
        <v>43</v>
      </c>
      <c r="G874" t="e">
        <v>#N/A</v>
      </c>
    </row>
    <row r="875" spans="1:7" ht="11.5" hidden="1" customHeight="1" x14ac:dyDescent="0.35">
      <c r="A875" s="29" t="s">
        <v>1103</v>
      </c>
      <c r="B875" s="29" t="s">
        <v>2870</v>
      </c>
      <c r="C875" s="16">
        <v>0</v>
      </c>
      <c r="D875" s="16">
        <v>0</v>
      </c>
      <c r="E875" s="29" t="s">
        <v>42</v>
      </c>
      <c r="F875" s="29" t="s">
        <v>43</v>
      </c>
      <c r="G875" t="e">
        <v>#N/A</v>
      </c>
    </row>
    <row r="876" spans="1:7" ht="11.5" hidden="1" customHeight="1" x14ac:dyDescent="0.35">
      <c r="A876" s="29" t="s">
        <v>1104</v>
      </c>
      <c r="B876" s="29" t="s">
        <v>2870</v>
      </c>
      <c r="C876" s="16">
        <v>0</v>
      </c>
      <c r="D876" s="16">
        <v>0</v>
      </c>
      <c r="E876" s="29" t="s">
        <v>42</v>
      </c>
      <c r="F876" s="29" t="s">
        <v>43</v>
      </c>
      <c r="G876" t="e">
        <v>#N/A</v>
      </c>
    </row>
    <row r="877" spans="1:7" ht="11.5" hidden="1" customHeight="1" x14ac:dyDescent="0.35">
      <c r="A877" s="29" t="s">
        <v>1105</v>
      </c>
      <c r="B877" s="29" t="s">
        <v>2871</v>
      </c>
      <c r="C877" s="16">
        <v>0</v>
      </c>
      <c r="D877" s="16">
        <v>0</v>
      </c>
      <c r="E877" s="29" t="s">
        <v>42</v>
      </c>
      <c r="F877" s="29" t="s">
        <v>43</v>
      </c>
      <c r="G877" t="e">
        <v>#N/A</v>
      </c>
    </row>
    <row r="878" spans="1:7" ht="11.5" hidden="1" customHeight="1" x14ac:dyDescent="0.35">
      <c r="A878" s="29" t="s">
        <v>1106</v>
      </c>
      <c r="B878" s="29" t="s">
        <v>2872</v>
      </c>
      <c r="C878" s="16">
        <v>0</v>
      </c>
      <c r="D878" s="16">
        <v>0</v>
      </c>
      <c r="E878" s="29" t="s">
        <v>42</v>
      </c>
      <c r="F878" s="29" t="s">
        <v>43</v>
      </c>
      <c r="G878" t="e">
        <v>#N/A</v>
      </c>
    </row>
    <row r="879" spans="1:7" ht="11.5" hidden="1" customHeight="1" x14ac:dyDescent="0.35">
      <c r="A879" s="29" t="s">
        <v>1107</v>
      </c>
      <c r="B879" s="29" t="s">
        <v>2873</v>
      </c>
      <c r="C879" s="16">
        <v>0</v>
      </c>
      <c r="D879" s="16">
        <v>0</v>
      </c>
      <c r="E879" s="29" t="s">
        <v>42</v>
      </c>
      <c r="F879" s="29" t="s">
        <v>43</v>
      </c>
      <c r="G879" t="e">
        <v>#N/A</v>
      </c>
    </row>
    <row r="880" spans="1:7" ht="11.5" hidden="1" customHeight="1" x14ac:dyDescent="0.35">
      <c r="A880" s="29" t="s">
        <v>1108</v>
      </c>
      <c r="B880" s="29" t="s">
        <v>2874</v>
      </c>
      <c r="C880" s="16">
        <v>0</v>
      </c>
      <c r="D880" s="16">
        <v>0</v>
      </c>
      <c r="E880" s="29" t="s">
        <v>42</v>
      </c>
      <c r="F880" s="29" t="s">
        <v>43</v>
      </c>
      <c r="G880" t="e">
        <v>#N/A</v>
      </c>
    </row>
    <row r="881" spans="1:7" ht="11.5" hidden="1" customHeight="1" x14ac:dyDescent="0.35">
      <c r="A881" s="29" t="s">
        <v>1109</v>
      </c>
      <c r="B881" s="29" t="s">
        <v>2875</v>
      </c>
      <c r="C881" s="16">
        <v>0</v>
      </c>
      <c r="D881" s="16">
        <v>0</v>
      </c>
      <c r="E881" s="29" t="s">
        <v>42</v>
      </c>
      <c r="F881" s="29" t="s">
        <v>43</v>
      </c>
      <c r="G881" t="e">
        <v>#N/A</v>
      </c>
    </row>
    <row r="882" spans="1:7" ht="11.5" hidden="1" customHeight="1" x14ac:dyDescent="0.35">
      <c r="A882" s="29" t="s">
        <v>1110</v>
      </c>
      <c r="B882" s="29" t="s">
        <v>2876</v>
      </c>
      <c r="C882" s="16">
        <v>0</v>
      </c>
      <c r="D882" s="16">
        <v>0</v>
      </c>
      <c r="E882" s="29" t="s">
        <v>42</v>
      </c>
      <c r="F882" s="29" t="s">
        <v>43</v>
      </c>
      <c r="G882" t="e">
        <v>#N/A</v>
      </c>
    </row>
    <row r="883" spans="1:7" ht="11.5" hidden="1" customHeight="1" x14ac:dyDescent="0.35">
      <c r="A883" s="29" t="s">
        <v>1111</v>
      </c>
      <c r="B883" s="29" t="s">
        <v>2877</v>
      </c>
      <c r="C883" s="16">
        <v>0</v>
      </c>
      <c r="D883" s="16">
        <v>0</v>
      </c>
      <c r="E883" s="29" t="s">
        <v>42</v>
      </c>
      <c r="F883" s="29" t="s">
        <v>43</v>
      </c>
      <c r="G883" t="e">
        <v>#N/A</v>
      </c>
    </row>
    <row r="884" spans="1:7" ht="11.5" hidden="1" customHeight="1" x14ac:dyDescent="0.35">
      <c r="A884" s="29" t="s">
        <v>1112</v>
      </c>
      <c r="B884" s="29" t="s">
        <v>2878</v>
      </c>
      <c r="C884" s="16">
        <v>0</v>
      </c>
      <c r="D884" s="16">
        <v>0</v>
      </c>
      <c r="E884" s="29" t="s">
        <v>42</v>
      </c>
      <c r="F884" s="29" t="s">
        <v>43</v>
      </c>
      <c r="G884" t="e">
        <v>#N/A</v>
      </c>
    </row>
    <row r="885" spans="1:7" ht="11.5" hidden="1" customHeight="1" x14ac:dyDescent="0.35">
      <c r="A885" s="29" t="s">
        <v>1113</v>
      </c>
      <c r="B885" s="29" t="s">
        <v>2879</v>
      </c>
      <c r="C885" s="16">
        <v>0</v>
      </c>
      <c r="D885" s="16">
        <v>0</v>
      </c>
      <c r="E885" s="29" t="s">
        <v>42</v>
      </c>
      <c r="F885" s="29" t="s">
        <v>43</v>
      </c>
      <c r="G885" t="e">
        <v>#N/A</v>
      </c>
    </row>
    <row r="886" spans="1:7" ht="11.5" hidden="1" customHeight="1" x14ac:dyDescent="0.35">
      <c r="A886" s="29" t="s">
        <v>1114</v>
      </c>
      <c r="B886" s="29" t="s">
        <v>2880</v>
      </c>
      <c r="C886" s="16">
        <v>0</v>
      </c>
      <c r="D886" s="16">
        <v>0</v>
      </c>
      <c r="E886" s="29" t="s">
        <v>42</v>
      </c>
      <c r="F886" s="29" t="s">
        <v>43</v>
      </c>
      <c r="G886" t="e">
        <v>#N/A</v>
      </c>
    </row>
    <row r="887" spans="1:7" ht="11.5" hidden="1" customHeight="1" x14ac:dyDescent="0.35">
      <c r="A887" s="29" t="s">
        <v>1115</v>
      </c>
      <c r="B887" s="29" t="s">
        <v>2881</v>
      </c>
      <c r="C887" s="16">
        <v>0</v>
      </c>
      <c r="D887" s="16">
        <v>0</v>
      </c>
      <c r="E887" s="29" t="s">
        <v>42</v>
      </c>
      <c r="F887" s="29" t="s">
        <v>43</v>
      </c>
      <c r="G887" t="e">
        <v>#N/A</v>
      </c>
    </row>
    <row r="888" spans="1:7" ht="11.5" hidden="1" customHeight="1" x14ac:dyDescent="0.35">
      <c r="A888" s="29" t="s">
        <v>1116</v>
      </c>
      <c r="B888" s="29" t="s">
        <v>2882</v>
      </c>
      <c r="C888" s="16">
        <v>0</v>
      </c>
      <c r="D888" s="16">
        <v>0</v>
      </c>
      <c r="E888" s="29" t="s">
        <v>42</v>
      </c>
      <c r="F888" s="29" t="s">
        <v>43</v>
      </c>
      <c r="G888" t="e">
        <v>#N/A</v>
      </c>
    </row>
    <row r="889" spans="1:7" ht="11.5" hidden="1" customHeight="1" x14ac:dyDescent="0.35">
      <c r="A889" s="29" t="s">
        <v>1117</v>
      </c>
      <c r="B889" s="29" t="s">
        <v>2883</v>
      </c>
      <c r="C889" s="16">
        <v>0</v>
      </c>
      <c r="D889" s="16">
        <v>0</v>
      </c>
      <c r="E889" s="29" t="s">
        <v>42</v>
      </c>
      <c r="F889" s="29" t="s">
        <v>43</v>
      </c>
      <c r="G889" t="e">
        <v>#N/A</v>
      </c>
    </row>
    <row r="890" spans="1:7" ht="11.5" hidden="1" customHeight="1" x14ac:dyDescent="0.35">
      <c r="A890" s="29" t="s">
        <v>1118</v>
      </c>
      <c r="B890" s="29" t="s">
        <v>2884</v>
      </c>
      <c r="C890" s="16">
        <v>0</v>
      </c>
      <c r="D890" s="16">
        <v>0</v>
      </c>
      <c r="E890" s="29" t="s">
        <v>42</v>
      </c>
      <c r="F890" s="29" t="s">
        <v>43</v>
      </c>
      <c r="G890" t="e">
        <v>#N/A</v>
      </c>
    </row>
    <row r="891" spans="1:7" ht="11.5" hidden="1" customHeight="1" x14ac:dyDescent="0.35">
      <c r="A891" s="29" t="s">
        <v>1119</v>
      </c>
      <c r="B891" s="29" t="s">
        <v>2885</v>
      </c>
      <c r="C891" s="16">
        <v>0</v>
      </c>
      <c r="D891" s="16">
        <v>0</v>
      </c>
      <c r="E891" s="29" t="s">
        <v>42</v>
      </c>
      <c r="F891" s="29" t="s">
        <v>43</v>
      </c>
      <c r="G891" t="e">
        <v>#N/A</v>
      </c>
    </row>
    <row r="892" spans="1:7" ht="11.5" hidden="1" customHeight="1" x14ac:dyDescent="0.35">
      <c r="A892" s="29" t="s">
        <v>1120</v>
      </c>
      <c r="B892" s="29" t="s">
        <v>2886</v>
      </c>
      <c r="C892" s="16">
        <v>0</v>
      </c>
      <c r="D892" s="16">
        <v>0</v>
      </c>
      <c r="E892" s="29" t="s">
        <v>42</v>
      </c>
      <c r="F892" s="29" t="s">
        <v>43</v>
      </c>
      <c r="G892" t="e">
        <v>#N/A</v>
      </c>
    </row>
    <row r="893" spans="1:7" ht="11.5" hidden="1" customHeight="1" x14ac:dyDescent="0.35">
      <c r="A893" s="29" t="s">
        <v>1121</v>
      </c>
      <c r="B893" s="29" t="s">
        <v>2887</v>
      </c>
      <c r="C893" s="16">
        <v>0</v>
      </c>
      <c r="D893" s="16">
        <v>0</v>
      </c>
      <c r="E893" s="29" t="s">
        <v>42</v>
      </c>
      <c r="F893" s="29" t="s">
        <v>43</v>
      </c>
      <c r="G893" t="s">
        <v>3883</v>
      </c>
    </row>
    <row r="894" spans="1:7" ht="11.5" hidden="1" customHeight="1" x14ac:dyDescent="0.35">
      <c r="A894" s="29" t="s">
        <v>1122</v>
      </c>
      <c r="B894" s="29" t="s">
        <v>2888</v>
      </c>
      <c r="C894" s="16">
        <v>0</v>
      </c>
      <c r="D894" s="16">
        <v>0</v>
      </c>
      <c r="E894" s="29" t="s">
        <v>42</v>
      </c>
      <c r="F894" s="29" t="s">
        <v>43</v>
      </c>
      <c r="G894" t="e">
        <v>#N/A</v>
      </c>
    </row>
    <row r="895" spans="1:7" ht="11.5" hidden="1" customHeight="1" x14ac:dyDescent="0.35">
      <c r="A895" s="29" t="s">
        <v>1123</v>
      </c>
      <c r="B895" s="29" t="s">
        <v>2889</v>
      </c>
      <c r="C895" s="16">
        <v>0</v>
      </c>
      <c r="D895" s="16">
        <v>0</v>
      </c>
      <c r="E895" s="29" t="s">
        <v>42</v>
      </c>
      <c r="F895" s="29" t="s">
        <v>43</v>
      </c>
      <c r="G895" t="e">
        <v>#N/A</v>
      </c>
    </row>
    <row r="896" spans="1:7" ht="11.5" hidden="1" customHeight="1" x14ac:dyDescent="0.35">
      <c r="A896" s="29" t="s">
        <v>1124</v>
      </c>
      <c r="B896" s="29" t="s">
        <v>2890</v>
      </c>
      <c r="C896" s="16">
        <v>0</v>
      </c>
      <c r="D896" s="16">
        <v>0</v>
      </c>
      <c r="E896" s="29" t="s">
        <v>42</v>
      </c>
      <c r="F896" s="29" t="s">
        <v>43</v>
      </c>
      <c r="G896" t="e">
        <v>#N/A</v>
      </c>
    </row>
    <row r="897" spans="1:7" ht="11.5" hidden="1" customHeight="1" x14ac:dyDescent="0.35">
      <c r="A897" s="29" t="s">
        <v>1125</v>
      </c>
      <c r="B897" s="29" t="s">
        <v>2891</v>
      </c>
      <c r="C897" s="16">
        <v>0</v>
      </c>
      <c r="D897" s="16">
        <v>0</v>
      </c>
      <c r="E897" s="29" t="s">
        <v>42</v>
      </c>
      <c r="F897" s="29" t="s">
        <v>43</v>
      </c>
      <c r="G897" t="e">
        <v>#N/A</v>
      </c>
    </row>
    <row r="898" spans="1:7" ht="11.5" hidden="1" customHeight="1" x14ac:dyDescent="0.35">
      <c r="A898" s="29" t="s">
        <v>1126</v>
      </c>
      <c r="B898" s="29" t="s">
        <v>2892</v>
      </c>
      <c r="C898" s="16">
        <v>0</v>
      </c>
      <c r="D898" s="16">
        <v>0</v>
      </c>
      <c r="E898" s="29" t="s">
        <v>42</v>
      </c>
      <c r="F898" s="29" t="s">
        <v>43</v>
      </c>
      <c r="G898" t="e">
        <v>#N/A</v>
      </c>
    </row>
    <row r="899" spans="1:7" ht="11.5" hidden="1" customHeight="1" x14ac:dyDescent="0.35">
      <c r="A899" s="29" t="s">
        <v>1127</v>
      </c>
      <c r="B899" s="29" t="s">
        <v>2893</v>
      </c>
      <c r="C899" s="16">
        <v>0</v>
      </c>
      <c r="D899" s="16">
        <v>0</v>
      </c>
      <c r="E899" s="29" t="s">
        <v>42</v>
      </c>
      <c r="F899" s="29" t="s">
        <v>43</v>
      </c>
      <c r="G899" t="e">
        <v>#N/A</v>
      </c>
    </row>
    <row r="900" spans="1:7" ht="11.5" hidden="1" customHeight="1" x14ac:dyDescent="0.35">
      <c r="A900" s="29" t="s">
        <v>1128</v>
      </c>
      <c r="B900" s="29" t="s">
        <v>2894</v>
      </c>
      <c r="C900" s="16">
        <v>0</v>
      </c>
      <c r="D900" s="16">
        <v>0</v>
      </c>
      <c r="E900" s="29" t="s">
        <v>42</v>
      </c>
      <c r="F900" s="29" t="s">
        <v>43</v>
      </c>
      <c r="G900" t="e">
        <v>#N/A</v>
      </c>
    </row>
    <row r="901" spans="1:7" ht="11.5" hidden="1" customHeight="1" x14ac:dyDescent="0.35">
      <c r="A901" s="29" t="s">
        <v>1129</v>
      </c>
      <c r="B901" s="29" t="s">
        <v>2895</v>
      </c>
      <c r="C901" s="16">
        <v>0</v>
      </c>
      <c r="D901" s="16">
        <v>0</v>
      </c>
      <c r="E901" s="29" t="s">
        <v>42</v>
      </c>
      <c r="F901" s="29" t="s">
        <v>43</v>
      </c>
      <c r="G901" t="e">
        <v>#N/A</v>
      </c>
    </row>
    <row r="902" spans="1:7" ht="11.5" hidden="1" customHeight="1" x14ac:dyDescent="0.35">
      <c r="A902" s="29" t="s">
        <v>1130</v>
      </c>
      <c r="B902" s="29" t="s">
        <v>2896</v>
      </c>
      <c r="C902" s="16">
        <v>0</v>
      </c>
      <c r="D902" s="16">
        <v>0</v>
      </c>
      <c r="E902" s="29" t="s">
        <v>42</v>
      </c>
      <c r="F902" s="29" t="s">
        <v>43</v>
      </c>
      <c r="G902" t="e">
        <v>#N/A</v>
      </c>
    </row>
    <row r="903" spans="1:7" ht="11.5" hidden="1" customHeight="1" x14ac:dyDescent="0.35">
      <c r="A903" s="29" t="s">
        <v>1131</v>
      </c>
      <c r="B903" s="29" t="s">
        <v>2897</v>
      </c>
      <c r="C903" s="16">
        <v>0</v>
      </c>
      <c r="D903" s="16">
        <v>0</v>
      </c>
      <c r="E903" s="29" t="s">
        <v>42</v>
      </c>
      <c r="F903" s="29" t="s">
        <v>43</v>
      </c>
      <c r="G903" t="e">
        <v>#N/A</v>
      </c>
    </row>
    <row r="904" spans="1:7" ht="11.5" hidden="1" customHeight="1" x14ac:dyDescent="0.35">
      <c r="A904" s="29" t="s">
        <v>1132</v>
      </c>
      <c r="B904" s="29" t="s">
        <v>2898</v>
      </c>
      <c r="C904" s="16">
        <v>0</v>
      </c>
      <c r="D904" s="16">
        <v>0</v>
      </c>
      <c r="E904" s="29" t="s">
        <v>42</v>
      </c>
      <c r="F904" s="29" t="s">
        <v>43</v>
      </c>
      <c r="G904" t="e">
        <v>#N/A</v>
      </c>
    </row>
    <row r="905" spans="1:7" ht="11.5" hidden="1" customHeight="1" x14ac:dyDescent="0.35">
      <c r="A905" s="29" t="s">
        <v>1133</v>
      </c>
      <c r="B905" s="29" t="s">
        <v>2899</v>
      </c>
      <c r="C905" s="16">
        <v>0</v>
      </c>
      <c r="D905" s="16">
        <v>0</v>
      </c>
      <c r="E905" s="29" t="s">
        <v>42</v>
      </c>
      <c r="F905" s="29" t="s">
        <v>43</v>
      </c>
      <c r="G905" t="e">
        <v>#N/A</v>
      </c>
    </row>
    <row r="906" spans="1:7" ht="11.5" hidden="1" customHeight="1" x14ac:dyDescent="0.35">
      <c r="A906" s="29" t="s">
        <v>1134</v>
      </c>
      <c r="B906" s="29" t="s">
        <v>2900</v>
      </c>
      <c r="C906" s="16">
        <v>0</v>
      </c>
      <c r="D906" s="16">
        <v>0</v>
      </c>
      <c r="E906" s="29" t="s">
        <v>42</v>
      </c>
      <c r="F906" s="29" t="s">
        <v>43</v>
      </c>
      <c r="G906" t="e">
        <v>#N/A</v>
      </c>
    </row>
    <row r="907" spans="1:7" ht="11.5" hidden="1" customHeight="1" x14ac:dyDescent="0.35">
      <c r="A907" s="29" t="s">
        <v>1135</v>
      </c>
      <c r="B907" s="29" t="s">
        <v>2901</v>
      </c>
      <c r="C907" s="16">
        <v>0</v>
      </c>
      <c r="D907" s="16">
        <v>0</v>
      </c>
      <c r="E907" s="29" t="s">
        <v>42</v>
      </c>
      <c r="F907" s="29" t="s">
        <v>43</v>
      </c>
      <c r="G907" t="e">
        <v>#N/A</v>
      </c>
    </row>
    <row r="908" spans="1:7" ht="11.5" hidden="1" customHeight="1" x14ac:dyDescent="0.35">
      <c r="A908" s="29" t="s">
        <v>1136</v>
      </c>
      <c r="B908" s="29" t="s">
        <v>2902</v>
      </c>
      <c r="C908" s="16">
        <v>0</v>
      </c>
      <c r="D908" s="16">
        <v>0</v>
      </c>
      <c r="E908" s="29" t="s">
        <v>42</v>
      </c>
      <c r="F908" s="29" t="s">
        <v>43</v>
      </c>
      <c r="G908" t="e">
        <v>#N/A</v>
      </c>
    </row>
    <row r="909" spans="1:7" ht="11.5" hidden="1" customHeight="1" x14ac:dyDescent="0.35">
      <c r="A909" s="29" t="s">
        <v>1137</v>
      </c>
      <c r="B909" s="29" t="s">
        <v>2903</v>
      </c>
      <c r="C909" s="16">
        <v>0</v>
      </c>
      <c r="D909" s="16">
        <v>0</v>
      </c>
      <c r="E909" s="29" t="s">
        <v>42</v>
      </c>
      <c r="F909" s="29" t="s">
        <v>43</v>
      </c>
      <c r="G909" t="e">
        <v>#N/A</v>
      </c>
    </row>
    <row r="910" spans="1:7" ht="11.5" hidden="1" customHeight="1" x14ac:dyDescent="0.35">
      <c r="A910" s="29" t="s">
        <v>1138</v>
      </c>
      <c r="B910" s="29" t="s">
        <v>2904</v>
      </c>
      <c r="C910" s="16">
        <v>0</v>
      </c>
      <c r="D910" s="16">
        <v>0</v>
      </c>
      <c r="E910" s="29" t="s">
        <v>42</v>
      </c>
      <c r="F910" s="29" t="s">
        <v>43</v>
      </c>
      <c r="G910" t="e">
        <v>#N/A</v>
      </c>
    </row>
    <row r="911" spans="1:7" ht="11.5" hidden="1" customHeight="1" x14ac:dyDescent="0.35">
      <c r="A911" s="29" t="s">
        <v>1139</v>
      </c>
      <c r="B911" s="29" t="s">
        <v>2905</v>
      </c>
      <c r="C911" s="16">
        <v>0</v>
      </c>
      <c r="D911" s="16">
        <v>0</v>
      </c>
      <c r="E911" s="29" t="s">
        <v>42</v>
      </c>
      <c r="F911" s="29" t="s">
        <v>43</v>
      </c>
      <c r="G911" t="e">
        <v>#N/A</v>
      </c>
    </row>
    <row r="912" spans="1:7" ht="11.5" hidden="1" customHeight="1" x14ac:dyDescent="0.35">
      <c r="A912" s="29" t="s">
        <v>1140</v>
      </c>
      <c r="B912" s="29" t="s">
        <v>2906</v>
      </c>
      <c r="C912" s="16">
        <v>0</v>
      </c>
      <c r="D912" s="16">
        <v>0</v>
      </c>
      <c r="E912" s="29" t="s">
        <v>42</v>
      </c>
      <c r="F912" s="29" t="s">
        <v>43</v>
      </c>
      <c r="G912" t="e">
        <v>#N/A</v>
      </c>
    </row>
    <row r="913" spans="1:7" ht="11.5" hidden="1" customHeight="1" x14ac:dyDescent="0.35">
      <c r="A913" s="29" t="s">
        <v>1141</v>
      </c>
      <c r="B913" s="29" t="s">
        <v>2907</v>
      </c>
      <c r="C913" s="16">
        <v>0</v>
      </c>
      <c r="D913" s="16">
        <v>0</v>
      </c>
      <c r="E913" s="29" t="s">
        <v>42</v>
      </c>
      <c r="F913" s="29" t="s">
        <v>43</v>
      </c>
      <c r="G913" t="e">
        <v>#N/A</v>
      </c>
    </row>
    <row r="914" spans="1:7" ht="11.5" hidden="1" customHeight="1" x14ac:dyDescent="0.35">
      <c r="A914" s="29" t="s">
        <v>1142</v>
      </c>
      <c r="B914" s="29" t="s">
        <v>2908</v>
      </c>
      <c r="C914" s="16">
        <v>0</v>
      </c>
      <c r="D914" s="16">
        <v>0</v>
      </c>
      <c r="E914" s="29" t="s">
        <v>42</v>
      </c>
      <c r="F914" s="29" t="s">
        <v>43</v>
      </c>
      <c r="G914" t="e">
        <v>#N/A</v>
      </c>
    </row>
    <row r="915" spans="1:7" ht="11.5" hidden="1" customHeight="1" x14ac:dyDescent="0.35">
      <c r="A915" s="29" t="s">
        <v>1143</v>
      </c>
      <c r="B915" s="29" t="s">
        <v>2909</v>
      </c>
      <c r="C915" s="16">
        <v>0</v>
      </c>
      <c r="D915" s="16">
        <v>0</v>
      </c>
      <c r="E915" s="29" t="s">
        <v>42</v>
      </c>
      <c r="F915" s="29" t="s">
        <v>43</v>
      </c>
      <c r="G915" t="e">
        <v>#N/A</v>
      </c>
    </row>
    <row r="916" spans="1:7" ht="11.5" hidden="1" customHeight="1" x14ac:dyDescent="0.35">
      <c r="A916" s="29" t="s">
        <v>1144</v>
      </c>
      <c r="B916" s="29" t="s">
        <v>2910</v>
      </c>
      <c r="C916" s="16">
        <v>0</v>
      </c>
      <c r="D916" s="16">
        <v>0</v>
      </c>
      <c r="E916" s="29" t="s">
        <v>42</v>
      </c>
      <c r="F916" s="29" t="s">
        <v>43</v>
      </c>
      <c r="G916" t="e">
        <v>#N/A</v>
      </c>
    </row>
    <row r="917" spans="1:7" ht="11.5" hidden="1" customHeight="1" x14ac:dyDescent="0.35">
      <c r="A917" s="29" t="s">
        <v>1145</v>
      </c>
      <c r="B917" s="29" t="s">
        <v>2911</v>
      </c>
      <c r="C917" s="16">
        <v>0</v>
      </c>
      <c r="D917" s="16">
        <v>0</v>
      </c>
      <c r="E917" s="29" t="s">
        <v>42</v>
      </c>
      <c r="F917" s="29" t="s">
        <v>43</v>
      </c>
      <c r="G917" t="e">
        <v>#N/A</v>
      </c>
    </row>
    <row r="918" spans="1:7" ht="11.5" hidden="1" customHeight="1" x14ac:dyDescent="0.35">
      <c r="A918" s="29" t="s">
        <v>1146</v>
      </c>
      <c r="B918" s="29" t="s">
        <v>2912</v>
      </c>
      <c r="C918" s="16">
        <v>0</v>
      </c>
      <c r="D918" s="16">
        <v>0</v>
      </c>
      <c r="E918" s="29" t="s">
        <v>42</v>
      </c>
      <c r="F918" s="29" t="s">
        <v>43</v>
      </c>
      <c r="G918" t="e">
        <v>#N/A</v>
      </c>
    </row>
    <row r="919" spans="1:7" ht="11.5" hidden="1" customHeight="1" x14ac:dyDescent="0.35">
      <c r="A919" s="29" t="s">
        <v>1147</v>
      </c>
      <c r="B919" s="29" t="s">
        <v>2913</v>
      </c>
      <c r="C919" s="16">
        <v>0</v>
      </c>
      <c r="D919" s="16">
        <v>0</v>
      </c>
      <c r="E919" s="29" t="s">
        <v>42</v>
      </c>
      <c r="F919" s="29" t="s">
        <v>43</v>
      </c>
      <c r="G919" t="e">
        <v>#N/A</v>
      </c>
    </row>
    <row r="920" spans="1:7" ht="11.5" hidden="1" customHeight="1" x14ac:dyDescent="0.35">
      <c r="A920" s="29" t="s">
        <v>1148</v>
      </c>
      <c r="B920" s="29" t="s">
        <v>2914</v>
      </c>
      <c r="C920" s="16">
        <v>0</v>
      </c>
      <c r="D920" s="16">
        <v>0</v>
      </c>
      <c r="E920" s="29" t="s">
        <v>42</v>
      </c>
      <c r="F920" s="29" t="s">
        <v>43</v>
      </c>
      <c r="G920" t="e">
        <v>#N/A</v>
      </c>
    </row>
    <row r="921" spans="1:7" ht="11.5" hidden="1" customHeight="1" x14ac:dyDescent="0.35">
      <c r="A921" s="29" t="s">
        <v>1149</v>
      </c>
      <c r="B921" s="29" t="s">
        <v>2915</v>
      </c>
      <c r="C921" s="16">
        <v>0</v>
      </c>
      <c r="D921" s="16">
        <v>0</v>
      </c>
      <c r="E921" s="29" t="s">
        <v>42</v>
      </c>
      <c r="F921" s="29" t="s">
        <v>43</v>
      </c>
      <c r="G921" t="e">
        <v>#N/A</v>
      </c>
    </row>
    <row r="922" spans="1:7" ht="11.5" hidden="1" customHeight="1" x14ac:dyDescent="0.35">
      <c r="A922" s="29" t="s">
        <v>1150</v>
      </c>
      <c r="B922" s="29" t="s">
        <v>2916</v>
      </c>
      <c r="C922" s="16">
        <v>0</v>
      </c>
      <c r="D922" s="16">
        <v>0</v>
      </c>
      <c r="E922" s="29" t="s">
        <v>42</v>
      </c>
      <c r="F922" s="29" t="s">
        <v>43</v>
      </c>
      <c r="G922" t="e">
        <v>#N/A</v>
      </c>
    </row>
    <row r="923" spans="1:7" ht="11.5" hidden="1" customHeight="1" x14ac:dyDescent="0.35">
      <c r="A923" s="29" t="s">
        <v>1151</v>
      </c>
      <c r="B923" s="29" t="s">
        <v>2917</v>
      </c>
      <c r="C923" s="16">
        <v>0</v>
      </c>
      <c r="D923" s="16">
        <v>0</v>
      </c>
      <c r="E923" s="29" t="s">
        <v>42</v>
      </c>
      <c r="F923" s="29" t="s">
        <v>43</v>
      </c>
      <c r="G923" t="e">
        <v>#N/A</v>
      </c>
    </row>
    <row r="924" spans="1:7" ht="11.5" hidden="1" customHeight="1" x14ac:dyDescent="0.35">
      <c r="A924" s="29" t="s">
        <v>1152</v>
      </c>
      <c r="B924" s="29" t="s">
        <v>2918</v>
      </c>
      <c r="C924" s="16">
        <v>0</v>
      </c>
      <c r="D924" s="16">
        <v>0</v>
      </c>
      <c r="E924" s="29" t="s">
        <v>42</v>
      </c>
      <c r="F924" s="29" t="s">
        <v>43</v>
      </c>
      <c r="G924" t="e">
        <v>#N/A</v>
      </c>
    </row>
    <row r="925" spans="1:7" ht="11.5" hidden="1" customHeight="1" x14ac:dyDescent="0.35">
      <c r="A925" s="29" t="s">
        <v>1153</v>
      </c>
      <c r="B925" s="29" t="s">
        <v>2919</v>
      </c>
      <c r="C925" s="16">
        <v>0</v>
      </c>
      <c r="D925" s="16">
        <v>0</v>
      </c>
      <c r="E925" s="29" t="s">
        <v>42</v>
      </c>
      <c r="F925" s="29" t="s">
        <v>43</v>
      </c>
      <c r="G925" t="e">
        <v>#N/A</v>
      </c>
    </row>
    <row r="926" spans="1:7" ht="11.5" hidden="1" customHeight="1" x14ac:dyDescent="0.35">
      <c r="A926" s="29" t="s">
        <v>1154</v>
      </c>
      <c r="B926" s="29" t="s">
        <v>2920</v>
      </c>
      <c r="C926" s="16">
        <v>0</v>
      </c>
      <c r="D926" s="16">
        <v>0</v>
      </c>
      <c r="E926" s="29" t="s">
        <v>42</v>
      </c>
      <c r="F926" s="29" t="s">
        <v>43</v>
      </c>
      <c r="G926" t="e">
        <v>#N/A</v>
      </c>
    </row>
    <row r="927" spans="1:7" ht="11.5" hidden="1" customHeight="1" x14ac:dyDescent="0.35">
      <c r="A927" s="29" t="s">
        <v>1155</v>
      </c>
      <c r="B927" s="29" t="s">
        <v>2921</v>
      </c>
      <c r="C927" s="16">
        <v>0</v>
      </c>
      <c r="D927" s="16">
        <v>0</v>
      </c>
      <c r="E927" s="29" t="s">
        <v>42</v>
      </c>
      <c r="F927" s="29" t="s">
        <v>43</v>
      </c>
      <c r="G927" t="s">
        <v>3884</v>
      </c>
    </row>
    <row r="928" spans="1:7" ht="11.5" hidden="1" customHeight="1" x14ac:dyDescent="0.35">
      <c r="A928" s="29" t="s">
        <v>1156</v>
      </c>
      <c r="B928" s="29" t="s">
        <v>2922</v>
      </c>
      <c r="C928" s="16">
        <v>0</v>
      </c>
      <c r="D928" s="16">
        <v>0</v>
      </c>
      <c r="E928" s="29" t="s">
        <v>42</v>
      </c>
      <c r="F928" s="29" t="s">
        <v>43</v>
      </c>
      <c r="G928" t="e">
        <v>#N/A</v>
      </c>
    </row>
    <row r="929" spans="1:7" ht="11.5" hidden="1" customHeight="1" x14ac:dyDescent="0.35">
      <c r="A929" s="29" t="s">
        <v>1157</v>
      </c>
      <c r="B929" s="29" t="s">
        <v>2923</v>
      </c>
      <c r="C929" s="16">
        <v>0</v>
      </c>
      <c r="D929" s="16">
        <v>0</v>
      </c>
      <c r="E929" s="29" t="s">
        <v>42</v>
      </c>
      <c r="F929" s="29" t="s">
        <v>43</v>
      </c>
      <c r="G929" t="e">
        <v>#N/A</v>
      </c>
    </row>
    <row r="930" spans="1:7" ht="11.5" hidden="1" customHeight="1" x14ac:dyDescent="0.35">
      <c r="A930" s="29" t="s">
        <v>1158</v>
      </c>
      <c r="B930" s="29" t="s">
        <v>2924</v>
      </c>
      <c r="C930" s="16">
        <v>0</v>
      </c>
      <c r="D930" s="16">
        <v>0</v>
      </c>
      <c r="E930" s="29" t="s">
        <v>42</v>
      </c>
      <c r="F930" s="29" t="s">
        <v>43</v>
      </c>
      <c r="G930" t="e">
        <v>#N/A</v>
      </c>
    </row>
    <row r="931" spans="1:7" ht="11.5" hidden="1" customHeight="1" x14ac:dyDescent="0.35">
      <c r="A931" s="29" t="s">
        <v>1159</v>
      </c>
      <c r="B931" s="29" t="s">
        <v>2925</v>
      </c>
      <c r="C931" s="16">
        <v>0</v>
      </c>
      <c r="D931" s="16">
        <v>0</v>
      </c>
      <c r="E931" s="29" t="s">
        <v>42</v>
      </c>
      <c r="F931" s="29" t="s">
        <v>43</v>
      </c>
      <c r="G931" t="e">
        <v>#N/A</v>
      </c>
    </row>
    <row r="932" spans="1:7" ht="11.5" hidden="1" customHeight="1" x14ac:dyDescent="0.35">
      <c r="A932" s="29" t="s">
        <v>1160</v>
      </c>
      <c r="B932" s="29" t="s">
        <v>2926</v>
      </c>
      <c r="C932" s="16">
        <v>0</v>
      </c>
      <c r="D932" s="16">
        <v>0</v>
      </c>
      <c r="E932" s="29" t="s">
        <v>42</v>
      </c>
      <c r="F932" s="29" t="s">
        <v>43</v>
      </c>
      <c r="G932" t="s">
        <v>3906</v>
      </c>
    </row>
    <row r="933" spans="1:7" ht="11.5" hidden="1" customHeight="1" x14ac:dyDescent="0.35">
      <c r="A933" s="29" t="s">
        <v>1161</v>
      </c>
      <c r="B933" s="29" t="s">
        <v>2927</v>
      </c>
      <c r="C933" s="16">
        <v>0</v>
      </c>
      <c r="D933" s="16">
        <v>0</v>
      </c>
      <c r="E933" s="29" t="s">
        <v>42</v>
      </c>
      <c r="F933" s="29" t="s">
        <v>43</v>
      </c>
      <c r="G933" t="e">
        <v>#N/A</v>
      </c>
    </row>
    <row r="934" spans="1:7" ht="11.5" hidden="1" customHeight="1" x14ac:dyDescent="0.35">
      <c r="A934" s="29" t="s">
        <v>1162</v>
      </c>
      <c r="B934" s="29" t="s">
        <v>2928</v>
      </c>
      <c r="C934" s="16">
        <v>0</v>
      </c>
      <c r="D934" s="16">
        <v>0</v>
      </c>
      <c r="E934" s="29" t="s">
        <v>42</v>
      </c>
      <c r="F934" s="29" t="s">
        <v>43</v>
      </c>
      <c r="G934" t="e">
        <v>#N/A</v>
      </c>
    </row>
    <row r="935" spans="1:7" ht="11.5" hidden="1" customHeight="1" x14ac:dyDescent="0.35">
      <c r="A935" s="29" t="s">
        <v>1163</v>
      </c>
      <c r="B935" s="29" t="s">
        <v>2929</v>
      </c>
      <c r="C935" s="16">
        <v>0</v>
      </c>
      <c r="D935" s="16">
        <v>0</v>
      </c>
      <c r="E935" s="29" t="s">
        <v>42</v>
      </c>
      <c r="F935" s="29" t="s">
        <v>43</v>
      </c>
      <c r="G935" t="e">
        <v>#N/A</v>
      </c>
    </row>
    <row r="936" spans="1:7" ht="11.5" hidden="1" customHeight="1" x14ac:dyDescent="0.35">
      <c r="A936" s="29" t="s">
        <v>1164</v>
      </c>
      <c r="B936" s="29" t="s">
        <v>2930</v>
      </c>
      <c r="C936" s="16">
        <v>0</v>
      </c>
      <c r="D936" s="16">
        <v>0</v>
      </c>
      <c r="E936" s="29" t="s">
        <v>42</v>
      </c>
      <c r="F936" s="29" t="s">
        <v>43</v>
      </c>
      <c r="G936" t="e">
        <v>#N/A</v>
      </c>
    </row>
    <row r="937" spans="1:7" ht="11.5" hidden="1" customHeight="1" x14ac:dyDescent="0.35">
      <c r="A937" s="29" t="s">
        <v>1165</v>
      </c>
      <c r="B937" s="29" t="s">
        <v>2931</v>
      </c>
      <c r="C937" s="16">
        <v>0</v>
      </c>
      <c r="D937" s="16">
        <v>0</v>
      </c>
      <c r="E937" s="29" t="s">
        <v>42</v>
      </c>
      <c r="F937" s="29" t="s">
        <v>43</v>
      </c>
      <c r="G937" t="e">
        <v>#N/A</v>
      </c>
    </row>
    <row r="938" spans="1:7" ht="11.5" hidden="1" customHeight="1" x14ac:dyDescent="0.35">
      <c r="A938" s="29" t="s">
        <v>1166</v>
      </c>
      <c r="B938" s="29" t="s">
        <v>2932</v>
      </c>
      <c r="C938" s="16">
        <v>0</v>
      </c>
      <c r="D938" s="16">
        <v>0</v>
      </c>
      <c r="E938" s="29" t="s">
        <v>42</v>
      </c>
      <c r="F938" s="29" t="s">
        <v>43</v>
      </c>
      <c r="G938" t="e">
        <v>#N/A</v>
      </c>
    </row>
    <row r="939" spans="1:7" ht="11.5" hidden="1" customHeight="1" x14ac:dyDescent="0.35">
      <c r="A939" s="29" t="s">
        <v>1167</v>
      </c>
      <c r="B939" s="29" t="s">
        <v>2933</v>
      </c>
      <c r="C939" s="16">
        <v>0</v>
      </c>
      <c r="D939" s="16">
        <v>0</v>
      </c>
      <c r="E939" s="29" t="s">
        <v>42</v>
      </c>
      <c r="F939" s="29" t="s">
        <v>43</v>
      </c>
      <c r="G939" t="e">
        <v>#N/A</v>
      </c>
    </row>
    <row r="940" spans="1:7" ht="11.5" hidden="1" customHeight="1" x14ac:dyDescent="0.35">
      <c r="A940" s="29" t="s">
        <v>1168</v>
      </c>
      <c r="B940" s="29" t="s">
        <v>2934</v>
      </c>
      <c r="C940" s="16">
        <v>0</v>
      </c>
      <c r="D940" s="16">
        <v>0</v>
      </c>
      <c r="E940" s="29" t="s">
        <v>42</v>
      </c>
      <c r="F940" s="29" t="s">
        <v>43</v>
      </c>
      <c r="G940" t="e">
        <v>#N/A</v>
      </c>
    </row>
    <row r="941" spans="1:7" ht="11.5" hidden="1" customHeight="1" x14ac:dyDescent="0.35">
      <c r="A941" s="29" t="s">
        <v>1169</v>
      </c>
      <c r="B941" s="29" t="s">
        <v>2935</v>
      </c>
      <c r="C941" s="16">
        <v>0</v>
      </c>
      <c r="D941" s="16">
        <v>0</v>
      </c>
      <c r="E941" s="29" t="s">
        <v>42</v>
      </c>
      <c r="F941" s="29" t="s">
        <v>43</v>
      </c>
      <c r="G941" t="e">
        <v>#N/A</v>
      </c>
    </row>
    <row r="942" spans="1:7" ht="11.5" hidden="1" customHeight="1" x14ac:dyDescent="0.35">
      <c r="A942" s="29" t="s">
        <v>1170</v>
      </c>
      <c r="B942" s="29" t="s">
        <v>2935</v>
      </c>
      <c r="C942" s="16">
        <v>0</v>
      </c>
      <c r="D942" s="16">
        <v>0</v>
      </c>
      <c r="E942" s="29" t="s">
        <v>42</v>
      </c>
      <c r="F942" s="29" t="s">
        <v>43</v>
      </c>
      <c r="G942" t="e">
        <v>#N/A</v>
      </c>
    </row>
    <row r="943" spans="1:7" ht="11.5" hidden="1" customHeight="1" x14ac:dyDescent="0.35">
      <c r="A943" s="29" t="s">
        <v>1171</v>
      </c>
      <c r="B943" s="29" t="s">
        <v>2936</v>
      </c>
      <c r="C943" s="16">
        <v>0</v>
      </c>
      <c r="D943" s="16">
        <v>0</v>
      </c>
      <c r="E943" s="29" t="s">
        <v>42</v>
      </c>
      <c r="F943" s="29" t="s">
        <v>43</v>
      </c>
      <c r="G943" t="e">
        <v>#N/A</v>
      </c>
    </row>
    <row r="944" spans="1:7" ht="11.5" hidden="1" customHeight="1" x14ac:dyDescent="0.35">
      <c r="A944" s="29" t="s">
        <v>1172</v>
      </c>
      <c r="B944" s="29" t="s">
        <v>2937</v>
      </c>
      <c r="C944" s="16">
        <v>0</v>
      </c>
      <c r="D944" s="16">
        <v>0</v>
      </c>
      <c r="E944" s="29" t="s">
        <v>42</v>
      </c>
      <c r="F944" s="29" t="s">
        <v>43</v>
      </c>
      <c r="G944" t="e">
        <v>#N/A</v>
      </c>
    </row>
    <row r="945" spans="1:7" ht="11.5" hidden="1" customHeight="1" x14ac:dyDescent="0.35">
      <c r="A945" s="29" t="s">
        <v>1173</v>
      </c>
      <c r="B945" s="29" t="s">
        <v>2938</v>
      </c>
      <c r="C945" s="16">
        <v>0</v>
      </c>
      <c r="D945" s="16">
        <v>0</v>
      </c>
      <c r="E945" s="29" t="s">
        <v>42</v>
      </c>
      <c r="F945" s="29" t="s">
        <v>43</v>
      </c>
      <c r="G945" t="e">
        <v>#N/A</v>
      </c>
    </row>
    <row r="946" spans="1:7" ht="11.5" hidden="1" customHeight="1" x14ac:dyDescent="0.35">
      <c r="A946" s="29" t="s">
        <v>1174</v>
      </c>
      <c r="B946" s="29" t="s">
        <v>2939</v>
      </c>
      <c r="C946" s="16">
        <v>0</v>
      </c>
      <c r="D946" s="16">
        <v>0</v>
      </c>
      <c r="E946" s="29" t="s">
        <v>42</v>
      </c>
      <c r="F946" s="29" t="s">
        <v>43</v>
      </c>
      <c r="G946" t="e">
        <v>#N/A</v>
      </c>
    </row>
    <row r="947" spans="1:7" ht="11.5" hidden="1" customHeight="1" x14ac:dyDescent="0.35">
      <c r="A947" s="29" t="s">
        <v>1175</v>
      </c>
      <c r="B947" s="29" t="s">
        <v>2940</v>
      </c>
      <c r="C947" s="16">
        <v>0</v>
      </c>
      <c r="D947" s="16">
        <v>0</v>
      </c>
      <c r="E947" s="29" t="s">
        <v>42</v>
      </c>
      <c r="F947" s="29" t="s">
        <v>43</v>
      </c>
      <c r="G947" t="e">
        <v>#N/A</v>
      </c>
    </row>
    <row r="948" spans="1:7" ht="11.5" hidden="1" customHeight="1" x14ac:dyDescent="0.35">
      <c r="A948" s="29" t="s">
        <v>1176</v>
      </c>
      <c r="B948" s="29" t="s">
        <v>2941</v>
      </c>
      <c r="C948" s="16">
        <v>0</v>
      </c>
      <c r="D948" s="16">
        <v>0</v>
      </c>
      <c r="E948" s="29" t="s">
        <v>42</v>
      </c>
      <c r="F948" s="29" t="s">
        <v>43</v>
      </c>
      <c r="G948" t="e">
        <v>#N/A</v>
      </c>
    </row>
    <row r="949" spans="1:7" ht="11.5" hidden="1" customHeight="1" x14ac:dyDescent="0.35">
      <c r="A949" s="29" t="s">
        <v>1177</v>
      </c>
      <c r="B949" s="29" t="s">
        <v>2942</v>
      </c>
      <c r="C949" s="16">
        <v>0</v>
      </c>
      <c r="D949" s="16">
        <v>0</v>
      </c>
      <c r="E949" s="29" t="s">
        <v>42</v>
      </c>
      <c r="F949" s="29" t="s">
        <v>43</v>
      </c>
      <c r="G949" t="e">
        <v>#N/A</v>
      </c>
    </row>
    <row r="950" spans="1:7" ht="11.5" hidden="1" customHeight="1" x14ac:dyDescent="0.35">
      <c r="A950" s="29" t="s">
        <v>1178</v>
      </c>
      <c r="B950" s="29" t="s">
        <v>2943</v>
      </c>
      <c r="C950" s="16">
        <v>0</v>
      </c>
      <c r="D950" s="16">
        <v>0</v>
      </c>
      <c r="E950" s="29" t="s">
        <v>42</v>
      </c>
      <c r="F950" s="29" t="s">
        <v>43</v>
      </c>
      <c r="G950" t="e">
        <v>#N/A</v>
      </c>
    </row>
    <row r="951" spans="1:7" ht="11.5" hidden="1" customHeight="1" x14ac:dyDescent="0.35">
      <c r="A951" s="29" t="s">
        <v>1179</v>
      </c>
      <c r="B951" s="29" t="s">
        <v>2944</v>
      </c>
      <c r="C951" s="16">
        <v>0</v>
      </c>
      <c r="D951" s="16">
        <v>0</v>
      </c>
      <c r="E951" s="29" t="s">
        <v>42</v>
      </c>
      <c r="F951" s="29" t="s">
        <v>43</v>
      </c>
      <c r="G951" t="e">
        <v>#N/A</v>
      </c>
    </row>
    <row r="952" spans="1:7" ht="11.5" hidden="1" customHeight="1" x14ac:dyDescent="0.35">
      <c r="A952" s="29" t="s">
        <v>1180</v>
      </c>
      <c r="B952" s="29" t="s">
        <v>2945</v>
      </c>
      <c r="C952" s="16">
        <v>0</v>
      </c>
      <c r="D952" s="16">
        <v>0</v>
      </c>
      <c r="E952" s="29" t="s">
        <v>42</v>
      </c>
      <c r="F952" s="29" t="s">
        <v>43</v>
      </c>
      <c r="G952" t="e">
        <v>#N/A</v>
      </c>
    </row>
    <row r="953" spans="1:7" ht="11.5" hidden="1" customHeight="1" x14ac:dyDescent="0.35">
      <c r="A953" s="29" t="s">
        <v>1181</v>
      </c>
      <c r="B953" s="29" t="s">
        <v>2946</v>
      </c>
      <c r="C953" s="16">
        <v>0</v>
      </c>
      <c r="D953" s="16">
        <v>0</v>
      </c>
      <c r="E953" s="29" t="s">
        <v>42</v>
      </c>
      <c r="F953" s="29" t="s">
        <v>43</v>
      </c>
      <c r="G953" t="e">
        <v>#N/A</v>
      </c>
    </row>
    <row r="954" spans="1:7" ht="11.5" hidden="1" customHeight="1" x14ac:dyDescent="0.35">
      <c r="A954" s="29" t="s">
        <v>1182</v>
      </c>
      <c r="B954" s="29" t="s">
        <v>2947</v>
      </c>
      <c r="C954" s="16">
        <v>0</v>
      </c>
      <c r="D954" s="16">
        <v>0</v>
      </c>
      <c r="E954" s="29" t="s">
        <v>42</v>
      </c>
      <c r="F954" s="29" t="s">
        <v>43</v>
      </c>
      <c r="G954" t="e">
        <v>#N/A</v>
      </c>
    </row>
    <row r="955" spans="1:7" ht="11.5" hidden="1" customHeight="1" x14ac:dyDescent="0.35">
      <c r="A955" s="29" t="s">
        <v>1183</v>
      </c>
      <c r="B955" s="29" t="s">
        <v>2948</v>
      </c>
      <c r="C955" s="16">
        <v>0</v>
      </c>
      <c r="D955" s="16">
        <v>0</v>
      </c>
      <c r="E955" s="29" t="s">
        <v>42</v>
      </c>
      <c r="F955" s="29" t="s">
        <v>43</v>
      </c>
      <c r="G955" t="e">
        <v>#N/A</v>
      </c>
    </row>
    <row r="956" spans="1:7" ht="11.5" hidden="1" customHeight="1" x14ac:dyDescent="0.35">
      <c r="A956" s="29" t="s">
        <v>1184</v>
      </c>
      <c r="B956" s="29" t="s">
        <v>2949</v>
      </c>
      <c r="C956" s="16">
        <v>0</v>
      </c>
      <c r="D956" s="16">
        <v>0</v>
      </c>
      <c r="E956" s="29" t="s">
        <v>42</v>
      </c>
      <c r="F956" s="29" t="s">
        <v>43</v>
      </c>
      <c r="G956" t="e">
        <v>#N/A</v>
      </c>
    </row>
    <row r="957" spans="1:7" ht="11.5" hidden="1" customHeight="1" x14ac:dyDescent="0.35">
      <c r="A957" s="29" t="s">
        <v>1185</v>
      </c>
      <c r="B957" s="29" t="s">
        <v>2950</v>
      </c>
      <c r="C957" s="16">
        <v>0</v>
      </c>
      <c r="D957" s="16">
        <v>0</v>
      </c>
      <c r="E957" s="29" t="s">
        <v>42</v>
      </c>
      <c r="F957" s="29" t="s">
        <v>43</v>
      </c>
      <c r="G957" t="e">
        <v>#N/A</v>
      </c>
    </row>
    <row r="958" spans="1:7" ht="11.5" hidden="1" customHeight="1" x14ac:dyDescent="0.35">
      <c r="A958" s="29" t="s">
        <v>1186</v>
      </c>
      <c r="B958" s="29" t="s">
        <v>2951</v>
      </c>
      <c r="C958" s="16">
        <v>0</v>
      </c>
      <c r="D958" s="16">
        <v>0</v>
      </c>
      <c r="E958" s="29" t="s">
        <v>42</v>
      </c>
      <c r="F958" s="29" t="s">
        <v>43</v>
      </c>
      <c r="G958" t="e">
        <v>#N/A</v>
      </c>
    </row>
    <row r="959" spans="1:7" ht="11.5" hidden="1" customHeight="1" x14ac:dyDescent="0.35">
      <c r="A959" s="29" t="s">
        <v>1187</v>
      </c>
      <c r="B959" s="29" t="s">
        <v>2952</v>
      </c>
      <c r="C959" s="16">
        <v>0</v>
      </c>
      <c r="D959" s="16">
        <v>0</v>
      </c>
      <c r="E959" s="29" t="s">
        <v>42</v>
      </c>
      <c r="F959" s="29" t="s">
        <v>43</v>
      </c>
      <c r="G959" t="s">
        <v>3884</v>
      </c>
    </row>
    <row r="960" spans="1:7" ht="11.5" hidden="1" customHeight="1" x14ac:dyDescent="0.35">
      <c r="A960" s="29" t="s">
        <v>1188</v>
      </c>
      <c r="B960" s="29" t="s">
        <v>2953</v>
      </c>
      <c r="C960" s="16">
        <v>0</v>
      </c>
      <c r="D960" s="16">
        <v>0</v>
      </c>
      <c r="E960" s="29" t="s">
        <v>42</v>
      </c>
      <c r="F960" s="29" t="s">
        <v>43</v>
      </c>
      <c r="G960" t="e">
        <v>#N/A</v>
      </c>
    </row>
    <row r="961" spans="1:7" ht="11.5" hidden="1" customHeight="1" x14ac:dyDescent="0.35">
      <c r="A961" s="29" t="s">
        <v>1189</v>
      </c>
      <c r="B961" s="29" t="s">
        <v>2954</v>
      </c>
      <c r="C961" s="16">
        <v>0</v>
      </c>
      <c r="D961" s="16">
        <v>0</v>
      </c>
      <c r="E961" s="29" t="s">
        <v>42</v>
      </c>
      <c r="F961" s="29" t="s">
        <v>43</v>
      </c>
      <c r="G961" t="e">
        <v>#N/A</v>
      </c>
    </row>
    <row r="962" spans="1:7" ht="11.5" hidden="1" customHeight="1" x14ac:dyDescent="0.35">
      <c r="A962" s="29" t="s">
        <v>1190</v>
      </c>
      <c r="B962" s="29" t="s">
        <v>2955</v>
      </c>
      <c r="C962" s="16">
        <v>0</v>
      </c>
      <c r="D962" s="16">
        <v>0</v>
      </c>
      <c r="E962" s="29" t="s">
        <v>42</v>
      </c>
      <c r="F962" s="29" t="s">
        <v>43</v>
      </c>
      <c r="G962" t="e">
        <v>#N/A</v>
      </c>
    </row>
    <row r="963" spans="1:7" ht="11.5" hidden="1" customHeight="1" x14ac:dyDescent="0.35">
      <c r="A963" s="29" t="s">
        <v>1191</v>
      </c>
      <c r="B963" s="29" t="s">
        <v>2956</v>
      </c>
      <c r="C963" s="16">
        <v>0</v>
      </c>
      <c r="D963" s="16">
        <v>0</v>
      </c>
      <c r="E963" s="29" t="s">
        <v>42</v>
      </c>
      <c r="F963" s="29" t="s">
        <v>43</v>
      </c>
      <c r="G963" t="e">
        <v>#N/A</v>
      </c>
    </row>
    <row r="964" spans="1:7" ht="11.5" hidden="1" customHeight="1" x14ac:dyDescent="0.35">
      <c r="A964" s="29" t="s">
        <v>1192</v>
      </c>
      <c r="B964" s="29" t="s">
        <v>2957</v>
      </c>
      <c r="C964" s="16">
        <v>0</v>
      </c>
      <c r="D964" s="16">
        <v>0</v>
      </c>
      <c r="E964" s="29" t="s">
        <v>42</v>
      </c>
      <c r="F964" s="29" t="s">
        <v>43</v>
      </c>
      <c r="G964" t="e">
        <v>#N/A</v>
      </c>
    </row>
    <row r="965" spans="1:7" ht="11.5" hidden="1" customHeight="1" x14ac:dyDescent="0.35">
      <c r="A965" s="29" t="s">
        <v>1193</v>
      </c>
      <c r="B965" s="29" t="s">
        <v>2958</v>
      </c>
      <c r="C965" s="16">
        <v>0</v>
      </c>
      <c r="D965" s="16">
        <v>0</v>
      </c>
      <c r="E965" s="29" t="s">
        <v>42</v>
      </c>
      <c r="F965" s="29" t="s">
        <v>43</v>
      </c>
      <c r="G965" t="e">
        <v>#N/A</v>
      </c>
    </row>
    <row r="966" spans="1:7" ht="11.5" hidden="1" customHeight="1" x14ac:dyDescent="0.35">
      <c r="A966" s="29" t="s">
        <v>1194</v>
      </c>
      <c r="B966" s="29" t="s">
        <v>2959</v>
      </c>
      <c r="C966" s="16">
        <v>0</v>
      </c>
      <c r="D966" s="16">
        <v>0</v>
      </c>
      <c r="E966" s="29" t="s">
        <v>42</v>
      </c>
      <c r="F966" s="29" t="s">
        <v>43</v>
      </c>
      <c r="G966" t="e">
        <v>#N/A</v>
      </c>
    </row>
    <row r="967" spans="1:7" ht="11.5" hidden="1" customHeight="1" x14ac:dyDescent="0.35">
      <c r="A967" s="29" t="s">
        <v>1195</v>
      </c>
      <c r="B967" s="29" t="s">
        <v>2960</v>
      </c>
      <c r="C967" s="16">
        <v>0</v>
      </c>
      <c r="D967" s="16">
        <v>0</v>
      </c>
      <c r="E967" s="29" t="s">
        <v>42</v>
      </c>
      <c r="F967" s="29" t="s">
        <v>43</v>
      </c>
      <c r="G967" t="e">
        <v>#N/A</v>
      </c>
    </row>
    <row r="968" spans="1:7" ht="11.5" hidden="1" customHeight="1" x14ac:dyDescent="0.35">
      <c r="A968" s="29" t="s">
        <v>1196</v>
      </c>
      <c r="B968" s="29" t="s">
        <v>2961</v>
      </c>
      <c r="C968" s="16">
        <v>0</v>
      </c>
      <c r="D968" s="16">
        <v>0</v>
      </c>
      <c r="E968" s="29" t="s">
        <v>42</v>
      </c>
      <c r="F968" s="29" t="s">
        <v>43</v>
      </c>
      <c r="G968" t="e">
        <v>#N/A</v>
      </c>
    </row>
    <row r="969" spans="1:7" ht="11.5" hidden="1" customHeight="1" x14ac:dyDescent="0.35">
      <c r="A969" s="29" t="s">
        <v>1197</v>
      </c>
      <c r="B969" s="29" t="s">
        <v>2962</v>
      </c>
      <c r="C969" s="16">
        <v>0</v>
      </c>
      <c r="D969" s="16">
        <v>0</v>
      </c>
      <c r="E969" s="29" t="s">
        <v>42</v>
      </c>
      <c r="F969" s="29" t="s">
        <v>43</v>
      </c>
      <c r="G969" t="e">
        <v>#N/A</v>
      </c>
    </row>
    <row r="970" spans="1:7" ht="11.5" hidden="1" customHeight="1" x14ac:dyDescent="0.35">
      <c r="A970" s="29" t="s">
        <v>1198</v>
      </c>
      <c r="B970" s="29" t="s">
        <v>2963</v>
      </c>
      <c r="C970" s="16">
        <v>0</v>
      </c>
      <c r="D970" s="16">
        <v>0</v>
      </c>
      <c r="E970" s="29" t="s">
        <v>42</v>
      </c>
      <c r="F970" s="29" t="s">
        <v>43</v>
      </c>
      <c r="G970" t="e">
        <v>#N/A</v>
      </c>
    </row>
    <row r="971" spans="1:7" ht="11.5" hidden="1" customHeight="1" x14ac:dyDescent="0.35">
      <c r="A971" s="29" t="s">
        <v>1199</v>
      </c>
      <c r="B971" s="29" t="s">
        <v>2964</v>
      </c>
      <c r="C971" s="16">
        <v>0</v>
      </c>
      <c r="D971" s="16">
        <v>0</v>
      </c>
      <c r="E971" s="29" t="s">
        <v>42</v>
      </c>
      <c r="F971" s="29" t="s">
        <v>43</v>
      </c>
      <c r="G971" t="e">
        <v>#N/A</v>
      </c>
    </row>
    <row r="972" spans="1:7" ht="11.5" hidden="1" customHeight="1" x14ac:dyDescent="0.35">
      <c r="A972" s="29" t="s">
        <v>1200</v>
      </c>
      <c r="B972" s="29" t="s">
        <v>2965</v>
      </c>
      <c r="C972" s="16">
        <v>0</v>
      </c>
      <c r="D972" s="16">
        <v>0</v>
      </c>
      <c r="E972" s="29" t="s">
        <v>42</v>
      </c>
      <c r="F972" s="29" t="s">
        <v>43</v>
      </c>
      <c r="G972" t="e">
        <v>#N/A</v>
      </c>
    </row>
    <row r="973" spans="1:7" ht="11.5" hidden="1" customHeight="1" x14ac:dyDescent="0.35">
      <c r="A973" s="29" t="s">
        <v>1201</v>
      </c>
      <c r="B973" s="29" t="s">
        <v>2966</v>
      </c>
      <c r="C973" s="16">
        <v>0</v>
      </c>
      <c r="D973" s="16">
        <v>0</v>
      </c>
      <c r="E973" s="29" t="s">
        <v>42</v>
      </c>
      <c r="F973" s="29" t="s">
        <v>43</v>
      </c>
      <c r="G973" t="e">
        <v>#N/A</v>
      </c>
    </row>
    <row r="974" spans="1:7" ht="11.5" hidden="1" customHeight="1" x14ac:dyDescent="0.35">
      <c r="A974" s="29" t="s">
        <v>1202</v>
      </c>
      <c r="B974" s="29" t="s">
        <v>2967</v>
      </c>
      <c r="C974" s="16">
        <v>0</v>
      </c>
      <c r="D974" s="16">
        <v>0</v>
      </c>
      <c r="E974" s="29" t="s">
        <v>42</v>
      </c>
      <c r="F974" s="29" t="s">
        <v>43</v>
      </c>
      <c r="G974" t="e">
        <v>#N/A</v>
      </c>
    </row>
    <row r="975" spans="1:7" ht="11.5" hidden="1" customHeight="1" x14ac:dyDescent="0.35">
      <c r="A975" s="29" t="s">
        <v>1203</v>
      </c>
      <c r="B975" s="29" t="s">
        <v>2968</v>
      </c>
      <c r="C975" s="16">
        <v>0</v>
      </c>
      <c r="D975" s="16">
        <v>0</v>
      </c>
      <c r="E975" s="29" t="s">
        <v>42</v>
      </c>
      <c r="F975" s="29" t="s">
        <v>43</v>
      </c>
      <c r="G975" t="e">
        <v>#N/A</v>
      </c>
    </row>
    <row r="976" spans="1:7" ht="11.5" hidden="1" customHeight="1" x14ac:dyDescent="0.35">
      <c r="A976" s="29" t="s">
        <v>1204</v>
      </c>
      <c r="B976" s="29" t="s">
        <v>2969</v>
      </c>
      <c r="C976" s="16">
        <v>0</v>
      </c>
      <c r="D976" s="16">
        <v>0</v>
      </c>
      <c r="E976" s="29" t="s">
        <v>42</v>
      </c>
      <c r="F976" s="29" t="s">
        <v>43</v>
      </c>
      <c r="G976" t="e">
        <v>#N/A</v>
      </c>
    </row>
    <row r="977" spans="1:7" ht="11.5" hidden="1" customHeight="1" x14ac:dyDescent="0.35">
      <c r="A977" s="29" t="s">
        <v>1205</v>
      </c>
      <c r="B977" s="29" t="s">
        <v>2970</v>
      </c>
      <c r="C977" s="16">
        <v>0</v>
      </c>
      <c r="D977" s="16">
        <v>0</v>
      </c>
      <c r="E977" s="29" t="s">
        <v>42</v>
      </c>
      <c r="F977" s="29" t="s">
        <v>43</v>
      </c>
      <c r="G977" t="e">
        <v>#N/A</v>
      </c>
    </row>
    <row r="978" spans="1:7" ht="11.5" hidden="1" customHeight="1" x14ac:dyDescent="0.35">
      <c r="A978" s="29" t="s">
        <v>1206</v>
      </c>
      <c r="B978" s="29" t="s">
        <v>2971</v>
      </c>
      <c r="C978" s="16">
        <v>0</v>
      </c>
      <c r="D978" s="16">
        <v>0</v>
      </c>
      <c r="E978" s="29" t="s">
        <v>42</v>
      </c>
      <c r="F978" s="29" t="s">
        <v>43</v>
      </c>
      <c r="G978" t="e">
        <v>#N/A</v>
      </c>
    </row>
    <row r="979" spans="1:7" ht="11.5" hidden="1" customHeight="1" x14ac:dyDescent="0.35">
      <c r="A979" s="29" t="s">
        <v>1207</v>
      </c>
      <c r="B979" s="29" t="s">
        <v>2972</v>
      </c>
      <c r="C979" s="16">
        <v>0</v>
      </c>
      <c r="D979" s="16">
        <v>0</v>
      </c>
      <c r="E979" s="29" t="s">
        <v>42</v>
      </c>
      <c r="F979" s="29" t="s">
        <v>43</v>
      </c>
      <c r="G979" t="e">
        <v>#N/A</v>
      </c>
    </row>
    <row r="980" spans="1:7" ht="11.5" hidden="1" customHeight="1" x14ac:dyDescent="0.35">
      <c r="A980" s="29" t="s">
        <v>1208</v>
      </c>
      <c r="B980" s="29" t="s">
        <v>2973</v>
      </c>
      <c r="C980" s="16">
        <v>0</v>
      </c>
      <c r="D980" s="16">
        <v>0</v>
      </c>
      <c r="E980" s="29" t="s">
        <v>42</v>
      </c>
      <c r="F980" s="29" t="s">
        <v>43</v>
      </c>
      <c r="G980" t="e">
        <v>#N/A</v>
      </c>
    </row>
    <row r="981" spans="1:7" ht="11.5" hidden="1" customHeight="1" x14ac:dyDescent="0.35">
      <c r="A981" s="29" t="s">
        <v>1209</v>
      </c>
      <c r="B981" s="29" t="s">
        <v>2974</v>
      </c>
      <c r="C981" s="16">
        <v>0</v>
      </c>
      <c r="D981" s="16">
        <v>0</v>
      </c>
      <c r="E981" s="29" t="s">
        <v>42</v>
      </c>
      <c r="F981" s="29" t="s">
        <v>43</v>
      </c>
      <c r="G981" t="e">
        <v>#N/A</v>
      </c>
    </row>
    <row r="982" spans="1:7" ht="11.5" hidden="1" customHeight="1" x14ac:dyDescent="0.35">
      <c r="A982" s="29" t="s">
        <v>1210</v>
      </c>
      <c r="B982" s="29" t="s">
        <v>2975</v>
      </c>
      <c r="C982" s="16">
        <v>0</v>
      </c>
      <c r="D982" s="16">
        <v>0</v>
      </c>
      <c r="E982" s="29" t="s">
        <v>42</v>
      </c>
      <c r="F982" s="29" t="s">
        <v>43</v>
      </c>
      <c r="G982" t="e">
        <v>#N/A</v>
      </c>
    </row>
    <row r="983" spans="1:7" ht="11.5" hidden="1" customHeight="1" x14ac:dyDescent="0.35">
      <c r="A983" s="29" t="s">
        <v>1211</v>
      </c>
      <c r="B983" s="29" t="s">
        <v>2976</v>
      </c>
      <c r="C983" s="16">
        <v>0</v>
      </c>
      <c r="D983" s="16">
        <v>0</v>
      </c>
      <c r="E983" s="29" t="s">
        <v>42</v>
      </c>
      <c r="F983" s="29" t="s">
        <v>43</v>
      </c>
      <c r="G983" t="e">
        <v>#N/A</v>
      </c>
    </row>
    <row r="984" spans="1:7" ht="11.5" hidden="1" customHeight="1" x14ac:dyDescent="0.35">
      <c r="A984" s="29" t="s">
        <v>1212</v>
      </c>
      <c r="B984" s="29" t="s">
        <v>2977</v>
      </c>
      <c r="C984" s="16">
        <v>0</v>
      </c>
      <c r="D984" s="16">
        <v>0</v>
      </c>
      <c r="E984" s="29" t="s">
        <v>42</v>
      </c>
      <c r="F984" s="29" t="s">
        <v>43</v>
      </c>
      <c r="G984" t="e">
        <v>#N/A</v>
      </c>
    </row>
    <row r="985" spans="1:7" ht="11.5" hidden="1" customHeight="1" x14ac:dyDescent="0.35">
      <c r="A985" s="29" t="s">
        <v>1213</v>
      </c>
      <c r="B985" s="29" t="s">
        <v>2978</v>
      </c>
      <c r="C985" s="16">
        <v>0</v>
      </c>
      <c r="D985" s="16">
        <v>0</v>
      </c>
      <c r="E985" s="29" t="s">
        <v>42</v>
      </c>
      <c r="F985" s="29" t="s">
        <v>43</v>
      </c>
      <c r="G985" t="e">
        <v>#N/A</v>
      </c>
    </row>
    <row r="986" spans="1:7" ht="11.5" hidden="1" customHeight="1" x14ac:dyDescent="0.35">
      <c r="A986" s="29" t="s">
        <v>1214</v>
      </c>
      <c r="B986" s="29" t="s">
        <v>2979</v>
      </c>
      <c r="C986" s="16">
        <v>0</v>
      </c>
      <c r="D986" s="16">
        <v>0</v>
      </c>
      <c r="E986" s="29" t="s">
        <v>42</v>
      </c>
      <c r="F986" s="29" t="s">
        <v>43</v>
      </c>
      <c r="G986" t="e">
        <v>#N/A</v>
      </c>
    </row>
    <row r="987" spans="1:7" ht="11.5" hidden="1" customHeight="1" x14ac:dyDescent="0.35">
      <c r="A987" s="29" t="s">
        <v>1215</v>
      </c>
      <c r="B987" s="29" t="s">
        <v>2980</v>
      </c>
      <c r="C987" s="16">
        <v>0</v>
      </c>
      <c r="D987" s="16">
        <v>0</v>
      </c>
      <c r="E987" s="29" t="s">
        <v>42</v>
      </c>
      <c r="F987" s="29" t="s">
        <v>43</v>
      </c>
      <c r="G987" t="e">
        <v>#N/A</v>
      </c>
    </row>
    <row r="988" spans="1:7" ht="11.5" hidden="1" customHeight="1" x14ac:dyDescent="0.35">
      <c r="A988" s="29" t="s">
        <v>1216</v>
      </c>
      <c r="B988" s="29" t="s">
        <v>2981</v>
      </c>
      <c r="C988" s="16">
        <v>0</v>
      </c>
      <c r="D988" s="16">
        <v>0</v>
      </c>
      <c r="E988" s="29" t="s">
        <v>42</v>
      </c>
      <c r="F988" s="29" t="s">
        <v>43</v>
      </c>
      <c r="G988" t="e">
        <v>#N/A</v>
      </c>
    </row>
    <row r="989" spans="1:7" ht="11.5" hidden="1" customHeight="1" x14ac:dyDescent="0.35">
      <c r="A989" s="29" t="s">
        <v>1217</v>
      </c>
      <c r="B989" s="29" t="s">
        <v>2982</v>
      </c>
      <c r="C989" s="16">
        <v>0</v>
      </c>
      <c r="D989" s="16">
        <v>0</v>
      </c>
      <c r="E989" s="29" t="s">
        <v>42</v>
      </c>
      <c r="F989" s="29" t="s">
        <v>43</v>
      </c>
      <c r="G989" t="e">
        <v>#N/A</v>
      </c>
    </row>
    <row r="990" spans="1:7" ht="11.5" hidden="1" customHeight="1" x14ac:dyDescent="0.35">
      <c r="A990" s="29" t="s">
        <v>1218</v>
      </c>
      <c r="B990" s="29" t="s">
        <v>2983</v>
      </c>
      <c r="C990" s="16">
        <v>0</v>
      </c>
      <c r="D990" s="16">
        <v>0</v>
      </c>
      <c r="E990" s="29" t="s">
        <v>42</v>
      </c>
      <c r="F990" s="29" t="s">
        <v>43</v>
      </c>
      <c r="G990" t="e">
        <v>#N/A</v>
      </c>
    </row>
    <row r="991" spans="1:7" ht="11.5" hidden="1" customHeight="1" x14ac:dyDescent="0.35">
      <c r="A991" s="29" t="s">
        <v>1219</v>
      </c>
      <c r="B991" s="29" t="s">
        <v>2984</v>
      </c>
      <c r="C991" s="16">
        <v>0</v>
      </c>
      <c r="D991" s="16">
        <v>0</v>
      </c>
      <c r="E991" s="29" t="s">
        <v>42</v>
      </c>
      <c r="F991" s="29" t="s">
        <v>43</v>
      </c>
      <c r="G991" t="e">
        <v>#N/A</v>
      </c>
    </row>
    <row r="992" spans="1:7" ht="11.5" hidden="1" customHeight="1" x14ac:dyDescent="0.35">
      <c r="A992" s="29" t="s">
        <v>1220</v>
      </c>
      <c r="B992" s="29" t="s">
        <v>2985</v>
      </c>
      <c r="C992" s="16">
        <v>0</v>
      </c>
      <c r="D992" s="16">
        <v>0</v>
      </c>
      <c r="E992" s="29" t="s">
        <v>42</v>
      </c>
      <c r="F992" s="29" t="s">
        <v>43</v>
      </c>
      <c r="G992" t="e">
        <v>#N/A</v>
      </c>
    </row>
    <row r="993" spans="1:7" ht="11.5" hidden="1" customHeight="1" x14ac:dyDescent="0.35">
      <c r="A993" s="29" t="s">
        <v>30</v>
      </c>
      <c r="B993" s="29" t="s">
        <v>2986</v>
      </c>
      <c r="C993" s="16">
        <v>0</v>
      </c>
      <c r="D993" s="16">
        <v>0</v>
      </c>
      <c r="E993" s="29" t="s">
        <v>42</v>
      </c>
      <c r="F993" s="29" t="s">
        <v>43</v>
      </c>
      <c r="G993" t="s">
        <v>3849</v>
      </c>
    </row>
    <row r="994" spans="1:7" ht="11.5" hidden="1" customHeight="1" x14ac:dyDescent="0.35">
      <c r="A994" s="29" t="s">
        <v>1221</v>
      </c>
      <c r="B994" s="29" t="s">
        <v>2987</v>
      </c>
      <c r="C994" s="16">
        <v>0</v>
      </c>
      <c r="D994" s="16">
        <v>0</v>
      </c>
      <c r="E994" s="29" t="s">
        <v>42</v>
      </c>
      <c r="F994" s="29" t="s">
        <v>43</v>
      </c>
      <c r="G994" t="e">
        <v>#N/A</v>
      </c>
    </row>
    <row r="995" spans="1:7" ht="11.5" hidden="1" customHeight="1" x14ac:dyDescent="0.35">
      <c r="A995" s="29" t="s">
        <v>1222</v>
      </c>
      <c r="B995" s="29" t="s">
        <v>2988</v>
      </c>
      <c r="C995" s="16">
        <v>0</v>
      </c>
      <c r="D995" s="16">
        <v>0</v>
      </c>
      <c r="E995" s="29" t="s">
        <v>42</v>
      </c>
      <c r="F995" s="29" t="s">
        <v>43</v>
      </c>
      <c r="G995" t="e">
        <v>#N/A</v>
      </c>
    </row>
    <row r="996" spans="1:7" ht="11.5" hidden="1" customHeight="1" x14ac:dyDescent="0.35">
      <c r="A996" s="29" t="s">
        <v>1223</v>
      </c>
      <c r="B996" s="29" t="s">
        <v>2989</v>
      </c>
      <c r="C996" s="16">
        <v>0</v>
      </c>
      <c r="D996" s="16">
        <v>0</v>
      </c>
      <c r="E996" s="29" t="s">
        <v>42</v>
      </c>
      <c r="F996" s="29" t="s">
        <v>43</v>
      </c>
      <c r="G996" t="e">
        <v>#N/A</v>
      </c>
    </row>
    <row r="997" spans="1:7" ht="11.5" hidden="1" customHeight="1" x14ac:dyDescent="0.35">
      <c r="A997" s="29" t="s">
        <v>1224</v>
      </c>
      <c r="B997" s="29" t="s">
        <v>2990</v>
      </c>
      <c r="C997" s="16">
        <v>0</v>
      </c>
      <c r="D997" s="16">
        <v>0</v>
      </c>
      <c r="E997" s="29" t="s">
        <v>42</v>
      </c>
      <c r="F997" s="29" t="s">
        <v>43</v>
      </c>
      <c r="G997" t="e">
        <v>#N/A</v>
      </c>
    </row>
    <row r="998" spans="1:7" ht="11.5" hidden="1" customHeight="1" x14ac:dyDescent="0.35">
      <c r="A998" s="29" t="s">
        <v>1225</v>
      </c>
      <c r="B998" s="29" t="s">
        <v>2991</v>
      </c>
      <c r="C998" s="16">
        <v>0</v>
      </c>
      <c r="D998" s="16">
        <v>0</v>
      </c>
      <c r="E998" s="29" t="s">
        <v>42</v>
      </c>
      <c r="F998" s="29" t="s">
        <v>43</v>
      </c>
      <c r="G998" t="s">
        <v>3907</v>
      </c>
    </row>
    <row r="999" spans="1:7" ht="11.5" hidden="1" customHeight="1" x14ac:dyDescent="0.35">
      <c r="A999" s="29" t="s">
        <v>1226</v>
      </c>
      <c r="B999" s="29" t="s">
        <v>2992</v>
      </c>
      <c r="C999" s="16">
        <v>0</v>
      </c>
      <c r="D999" s="16">
        <v>0</v>
      </c>
      <c r="E999" s="29" t="s">
        <v>42</v>
      </c>
      <c r="F999" s="29" t="s">
        <v>43</v>
      </c>
      <c r="G999" t="e">
        <v>#N/A</v>
      </c>
    </row>
    <row r="1000" spans="1:7" ht="11.5" hidden="1" customHeight="1" x14ac:dyDescent="0.35">
      <c r="A1000" s="29" t="s">
        <v>1227</v>
      </c>
      <c r="B1000" s="29" t="s">
        <v>2993</v>
      </c>
      <c r="C1000" s="16">
        <v>0</v>
      </c>
      <c r="D1000" s="16">
        <v>0</v>
      </c>
      <c r="E1000" s="29" t="s">
        <v>42</v>
      </c>
      <c r="F1000" s="29" t="s">
        <v>43</v>
      </c>
      <c r="G1000" t="e">
        <v>#N/A</v>
      </c>
    </row>
    <row r="1001" spans="1:7" ht="11.5" hidden="1" customHeight="1" x14ac:dyDescent="0.35">
      <c r="A1001" s="29" t="s">
        <v>1228</v>
      </c>
      <c r="B1001" s="29" t="s">
        <v>2994</v>
      </c>
      <c r="C1001" s="16">
        <v>0</v>
      </c>
      <c r="D1001" s="16">
        <v>0</v>
      </c>
      <c r="E1001" s="29" t="s">
        <v>42</v>
      </c>
      <c r="F1001" s="29" t="s">
        <v>43</v>
      </c>
      <c r="G1001" t="e">
        <v>#N/A</v>
      </c>
    </row>
    <row r="1002" spans="1:7" ht="11.5" hidden="1" customHeight="1" x14ac:dyDescent="0.35">
      <c r="A1002" s="29" t="s">
        <v>1229</v>
      </c>
      <c r="B1002" s="29" t="s">
        <v>2995</v>
      </c>
      <c r="C1002" s="16">
        <v>0</v>
      </c>
      <c r="D1002" s="16">
        <v>0</v>
      </c>
      <c r="E1002" s="29" t="s">
        <v>42</v>
      </c>
      <c r="F1002" s="29" t="s">
        <v>43</v>
      </c>
      <c r="G1002" t="e">
        <v>#N/A</v>
      </c>
    </row>
    <row r="1003" spans="1:7" ht="11.5" hidden="1" customHeight="1" x14ac:dyDescent="0.35">
      <c r="A1003" s="29" t="s">
        <v>1230</v>
      </c>
      <c r="B1003" s="29" t="s">
        <v>2996</v>
      </c>
      <c r="C1003" s="16">
        <v>0</v>
      </c>
      <c r="D1003" s="16">
        <v>0</v>
      </c>
      <c r="E1003" s="29" t="s">
        <v>42</v>
      </c>
      <c r="F1003" s="29" t="s">
        <v>43</v>
      </c>
      <c r="G1003" t="e">
        <v>#N/A</v>
      </c>
    </row>
    <row r="1004" spans="1:7" ht="11.5" hidden="1" customHeight="1" x14ac:dyDescent="0.35">
      <c r="A1004" s="29" t="s">
        <v>1231</v>
      </c>
      <c r="B1004" s="29" t="s">
        <v>2997</v>
      </c>
      <c r="C1004" s="16">
        <v>0</v>
      </c>
      <c r="D1004" s="16">
        <v>0</v>
      </c>
      <c r="E1004" s="29" t="s">
        <v>42</v>
      </c>
      <c r="F1004" s="29" t="s">
        <v>43</v>
      </c>
      <c r="G1004" t="e">
        <v>#N/A</v>
      </c>
    </row>
    <row r="1005" spans="1:7" ht="11.5" hidden="1" customHeight="1" x14ac:dyDescent="0.35">
      <c r="A1005" s="29" t="s">
        <v>1232</v>
      </c>
      <c r="B1005" s="29" t="s">
        <v>2998</v>
      </c>
      <c r="C1005" s="16">
        <v>0</v>
      </c>
      <c r="D1005" s="16">
        <v>0</v>
      </c>
      <c r="E1005" s="29" t="s">
        <v>42</v>
      </c>
      <c r="F1005" s="29" t="s">
        <v>43</v>
      </c>
      <c r="G1005" t="e">
        <v>#N/A</v>
      </c>
    </row>
    <row r="1006" spans="1:7" ht="11.5" hidden="1" customHeight="1" x14ac:dyDescent="0.35">
      <c r="A1006" s="29" t="s">
        <v>1233</v>
      </c>
      <c r="B1006" s="29" t="s">
        <v>2999</v>
      </c>
      <c r="C1006" s="16">
        <v>0</v>
      </c>
      <c r="D1006" s="16">
        <v>0</v>
      </c>
      <c r="E1006" s="29" t="s">
        <v>42</v>
      </c>
      <c r="F1006" s="29" t="s">
        <v>43</v>
      </c>
      <c r="G1006" t="e">
        <v>#N/A</v>
      </c>
    </row>
    <row r="1007" spans="1:7" ht="11.5" hidden="1" customHeight="1" x14ac:dyDescent="0.35">
      <c r="A1007" s="29" t="s">
        <v>1234</v>
      </c>
      <c r="B1007" s="29" t="s">
        <v>3000</v>
      </c>
      <c r="C1007" s="16">
        <v>0</v>
      </c>
      <c r="D1007" s="16">
        <v>0</v>
      </c>
      <c r="E1007" s="29" t="s">
        <v>42</v>
      </c>
      <c r="F1007" s="29" t="s">
        <v>43</v>
      </c>
      <c r="G1007" t="e">
        <v>#N/A</v>
      </c>
    </row>
    <row r="1008" spans="1:7" ht="11.5" hidden="1" customHeight="1" x14ac:dyDescent="0.35">
      <c r="A1008" s="29" t="s">
        <v>1235</v>
      </c>
      <c r="B1008" s="29" t="s">
        <v>3000</v>
      </c>
      <c r="C1008" s="16">
        <v>0</v>
      </c>
      <c r="D1008" s="16">
        <v>0</v>
      </c>
      <c r="E1008" s="29" t="s">
        <v>42</v>
      </c>
      <c r="F1008" s="29" t="s">
        <v>43</v>
      </c>
      <c r="G1008" t="e">
        <v>#N/A</v>
      </c>
    </row>
    <row r="1009" spans="1:7" ht="11.5" hidden="1" customHeight="1" x14ac:dyDescent="0.35">
      <c r="A1009" s="29" t="s">
        <v>1236</v>
      </c>
      <c r="B1009" s="29" t="s">
        <v>3001</v>
      </c>
      <c r="C1009" s="16">
        <v>0</v>
      </c>
      <c r="D1009" s="16">
        <v>0</v>
      </c>
      <c r="E1009" s="29" t="s">
        <v>42</v>
      </c>
      <c r="F1009" s="29" t="s">
        <v>43</v>
      </c>
      <c r="G1009" t="e">
        <v>#N/A</v>
      </c>
    </row>
    <row r="1010" spans="1:7" ht="11.5" hidden="1" customHeight="1" x14ac:dyDescent="0.35">
      <c r="A1010" s="29" t="s">
        <v>1237</v>
      </c>
      <c r="B1010" s="29" t="s">
        <v>3002</v>
      </c>
      <c r="C1010" s="16">
        <v>0</v>
      </c>
      <c r="D1010" s="16">
        <v>0</v>
      </c>
      <c r="E1010" s="29" t="s">
        <v>42</v>
      </c>
      <c r="F1010" s="29" t="s">
        <v>43</v>
      </c>
      <c r="G1010" t="e">
        <v>#N/A</v>
      </c>
    </row>
    <row r="1011" spans="1:7" ht="11.5" hidden="1" customHeight="1" x14ac:dyDescent="0.35">
      <c r="A1011" s="29" t="s">
        <v>1238</v>
      </c>
      <c r="B1011" s="29" t="s">
        <v>3003</v>
      </c>
      <c r="C1011" s="16">
        <v>0</v>
      </c>
      <c r="D1011" s="16">
        <v>0</v>
      </c>
      <c r="E1011" s="29" t="s">
        <v>42</v>
      </c>
      <c r="F1011" s="29" t="s">
        <v>43</v>
      </c>
      <c r="G1011" t="e">
        <v>#N/A</v>
      </c>
    </row>
    <row r="1012" spans="1:7" ht="11.5" hidden="1" customHeight="1" x14ac:dyDescent="0.35">
      <c r="A1012" s="29" t="s">
        <v>1239</v>
      </c>
      <c r="B1012" s="29" t="s">
        <v>3004</v>
      </c>
      <c r="C1012" s="16">
        <v>0</v>
      </c>
      <c r="D1012" s="16">
        <v>0</v>
      </c>
      <c r="E1012" s="29" t="s">
        <v>42</v>
      </c>
      <c r="F1012" s="29" t="s">
        <v>43</v>
      </c>
      <c r="G1012" t="e">
        <v>#N/A</v>
      </c>
    </row>
    <row r="1013" spans="1:7" ht="11.5" hidden="1" customHeight="1" x14ac:dyDescent="0.35">
      <c r="A1013" s="29" t="s">
        <v>1240</v>
      </c>
      <c r="B1013" s="29" t="s">
        <v>3005</v>
      </c>
      <c r="C1013" s="16">
        <v>0</v>
      </c>
      <c r="D1013" s="16">
        <v>0</v>
      </c>
      <c r="E1013" s="29" t="s">
        <v>42</v>
      </c>
      <c r="F1013" s="29" t="s">
        <v>43</v>
      </c>
      <c r="G1013" t="e">
        <v>#N/A</v>
      </c>
    </row>
    <row r="1014" spans="1:7" ht="11.5" hidden="1" customHeight="1" x14ac:dyDescent="0.35">
      <c r="A1014" s="29" t="s">
        <v>1241</v>
      </c>
      <c r="B1014" s="29" t="s">
        <v>3006</v>
      </c>
      <c r="C1014" s="16">
        <v>0</v>
      </c>
      <c r="D1014" s="16">
        <v>0</v>
      </c>
      <c r="E1014" s="29" t="s">
        <v>42</v>
      </c>
      <c r="F1014" s="29" t="s">
        <v>43</v>
      </c>
      <c r="G1014" t="e">
        <v>#N/A</v>
      </c>
    </row>
    <row r="1015" spans="1:7" ht="11.5" hidden="1" customHeight="1" x14ac:dyDescent="0.35">
      <c r="A1015" s="29" t="s">
        <v>1242</v>
      </c>
      <c r="B1015" s="29" t="s">
        <v>3007</v>
      </c>
      <c r="C1015" s="16">
        <v>0</v>
      </c>
      <c r="D1015" s="16">
        <v>0</v>
      </c>
      <c r="E1015" s="29" t="s">
        <v>42</v>
      </c>
      <c r="F1015" s="29" t="s">
        <v>43</v>
      </c>
      <c r="G1015" t="e">
        <v>#N/A</v>
      </c>
    </row>
    <row r="1016" spans="1:7" ht="11.5" hidden="1" customHeight="1" x14ac:dyDescent="0.35">
      <c r="A1016" s="29" t="s">
        <v>1243</v>
      </c>
      <c r="B1016" s="29" t="s">
        <v>3008</v>
      </c>
      <c r="C1016" s="16">
        <v>0</v>
      </c>
      <c r="D1016" s="16">
        <v>0</v>
      </c>
      <c r="E1016" s="29" t="s">
        <v>42</v>
      </c>
      <c r="F1016" s="29" t="s">
        <v>43</v>
      </c>
      <c r="G1016" t="e">
        <v>#N/A</v>
      </c>
    </row>
    <row r="1017" spans="1:7" ht="11.5" hidden="1" customHeight="1" x14ac:dyDescent="0.35">
      <c r="A1017" s="29" t="s">
        <v>1244</v>
      </c>
      <c r="B1017" s="29" t="s">
        <v>3009</v>
      </c>
      <c r="C1017" s="16">
        <v>0</v>
      </c>
      <c r="D1017" s="16">
        <v>0</v>
      </c>
      <c r="E1017" s="29" t="s">
        <v>42</v>
      </c>
      <c r="F1017" s="29" t="s">
        <v>43</v>
      </c>
      <c r="G1017" t="e">
        <v>#N/A</v>
      </c>
    </row>
    <row r="1018" spans="1:7" ht="11.5" hidden="1" customHeight="1" x14ac:dyDescent="0.35">
      <c r="A1018" s="29" t="s">
        <v>1245</v>
      </c>
      <c r="B1018" s="29" t="s">
        <v>3010</v>
      </c>
      <c r="C1018" s="16">
        <v>0</v>
      </c>
      <c r="D1018" s="16">
        <v>0</v>
      </c>
      <c r="E1018" s="29" t="s">
        <v>42</v>
      </c>
      <c r="F1018" s="29" t="s">
        <v>43</v>
      </c>
      <c r="G1018" t="e">
        <v>#N/A</v>
      </c>
    </row>
    <row r="1019" spans="1:7" ht="11.5" hidden="1" customHeight="1" x14ac:dyDescent="0.35">
      <c r="A1019" s="29" t="s">
        <v>1246</v>
      </c>
      <c r="B1019" s="29" t="s">
        <v>3011</v>
      </c>
      <c r="C1019" s="16">
        <v>0</v>
      </c>
      <c r="D1019" s="16">
        <v>0</v>
      </c>
      <c r="E1019" s="29" t="s">
        <v>42</v>
      </c>
      <c r="F1019" s="29" t="s">
        <v>43</v>
      </c>
      <c r="G1019" t="e">
        <v>#N/A</v>
      </c>
    </row>
    <row r="1020" spans="1:7" ht="11.5" hidden="1" customHeight="1" x14ac:dyDescent="0.35">
      <c r="A1020" s="29" t="s">
        <v>1247</v>
      </c>
      <c r="B1020" s="29" t="s">
        <v>3012</v>
      </c>
      <c r="C1020" s="16">
        <v>0</v>
      </c>
      <c r="D1020" s="16">
        <v>0</v>
      </c>
      <c r="E1020" s="29" t="s">
        <v>42</v>
      </c>
      <c r="F1020" s="29" t="s">
        <v>43</v>
      </c>
      <c r="G1020" t="e">
        <v>#N/A</v>
      </c>
    </row>
    <row r="1021" spans="1:7" ht="11.5" hidden="1" customHeight="1" x14ac:dyDescent="0.35">
      <c r="A1021" s="29" t="s">
        <v>1248</v>
      </c>
      <c r="B1021" s="29" t="s">
        <v>3013</v>
      </c>
      <c r="C1021" s="16">
        <v>0</v>
      </c>
      <c r="D1021" s="16">
        <v>0</v>
      </c>
      <c r="E1021" s="29" t="s">
        <v>42</v>
      </c>
      <c r="F1021" s="29" t="s">
        <v>43</v>
      </c>
      <c r="G1021" t="e">
        <v>#N/A</v>
      </c>
    </row>
    <row r="1022" spans="1:7" ht="11.5" hidden="1" customHeight="1" x14ac:dyDescent="0.35">
      <c r="A1022" s="29" t="s">
        <v>1249</v>
      </c>
      <c r="B1022" s="29" t="s">
        <v>3014</v>
      </c>
      <c r="C1022" s="16">
        <v>0</v>
      </c>
      <c r="D1022" s="16">
        <v>0</v>
      </c>
      <c r="E1022" s="29" t="s">
        <v>42</v>
      </c>
      <c r="F1022" s="29" t="s">
        <v>43</v>
      </c>
      <c r="G1022" t="e">
        <v>#N/A</v>
      </c>
    </row>
    <row r="1023" spans="1:7" ht="11.5" hidden="1" customHeight="1" x14ac:dyDescent="0.35">
      <c r="A1023" s="29" t="s">
        <v>1250</v>
      </c>
      <c r="B1023" s="29" t="s">
        <v>3015</v>
      </c>
      <c r="C1023" s="16">
        <v>0</v>
      </c>
      <c r="D1023" s="16">
        <v>0</v>
      </c>
      <c r="E1023" s="29" t="s">
        <v>42</v>
      </c>
      <c r="F1023" s="29" t="s">
        <v>43</v>
      </c>
      <c r="G1023" t="e">
        <v>#N/A</v>
      </c>
    </row>
    <row r="1024" spans="1:7" ht="11.5" hidden="1" customHeight="1" x14ac:dyDescent="0.35">
      <c r="A1024" s="29" t="s">
        <v>1251</v>
      </c>
      <c r="B1024" s="29" t="s">
        <v>3016</v>
      </c>
      <c r="C1024" s="16">
        <v>0</v>
      </c>
      <c r="D1024" s="16">
        <v>0</v>
      </c>
      <c r="E1024" s="29" t="s">
        <v>42</v>
      </c>
      <c r="F1024" s="29" t="s">
        <v>43</v>
      </c>
      <c r="G1024" t="e">
        <v>#N/A</v>
      </c>
    </row>
    <row r="1025" spans="1:7" ht="11.5" hidden="1" customHeight="1" x14ac:dyDescent="0.35">
      <c r="A1025" s="29" t="s">
        <v>1252</v>
      </c>
      <c r="B1025" s="29" t="s">
        <v>3017</v>
      </c>
      <c r="C1025" s="16">
        <v>0</v>
      </c>
      <c r="D1025" s="16">
        <v>0</v>
      </c>
      <c r="E1025" s="29" t="s">
        <v>42</v>
      </c>
      <c r="F1025" s="29" t="s">
        <v>43</v>
      </c>
      <c r="G1025" t="s">
        <v>3849</v>
      </c>
    </row>
    <row r="1026" spans="1:7" ht="11.5" hidden="1" customHeight="1" x14ac:dyDescent="0.35">
      <c r="A1026" s="29" t="s">
        <v>1253</v>
      </c>
      <c r="B1026" s="29" t="s">
        <v>3018</v>
      </c>
      <c r="C1026" s="16">
        <v>0</v>
      </c>
      <c r="D1026" s="16">
        <v>0</v>
      </c>
      <c r="E1026" s="29" t="s">
        <v>42</v>
      </c>
      <c r="F1026" s="29" t="s">
        <v>43</v>
      </c>
      <c r="G1026" t="e">
        <v>#N/A</v>
      </c>
    </row>
    <row r="1027" spans="1:7" ht="11.5" hidden="1" customHeight="1" x14ac:dyDescent="0.35">
      <c r="A1027" s="29" t="s">
        <v>1254</v>
      </c>
      <c r="B1027" s="29" t="s">
        <v>3019</v>
      </c>
      <c r="C1027" s="16">
        <v>0</v>
      </c>
      <c r="D1027" s="16">
        <v>0</v>
      </c>
      <c r="E1027" s="29" t="s">
        <v>42</v>
      </c>
      <c r="F1027" s="29" t="s">
        <v>43</v>
      </c>
      <c r="G1027" t="e">
        <v>#N/A</v>
      </c>
    </row>
    <row r="1028" spans="1:7" ht="11.5" hidden="1" customHeight="1" x14ac:dyDescent="0.35">
      <c r="A1028" s="29" t="s">
        <v>1255</v>
      </c>
      <c r="B1028" s="29" t="s">
        <v>3020</v>
      </c>
      <c r="C1028" s="16">
        <v>0</v>
      </c>
      <c r="D1028" s="16">
        <v>0</v>
      </c>
      <c r="E1028" s="29" t="s">
        <v>42</v>
      </c>
      <c r="F1028" s="29" t="s">
        <v>43</v>
      </c>
      <c r="G1028" t="e">
        <v>#N/A</v>
      </c>
    </row>
    <row r="1029" spans="1:7" ht="11.5" hidden="1" customHeight="1" x14ac:dyDescent="0.35">
      <c r="A1029" s="29" t="s">
        <v>1256</v>
      </c>
      <c r="B1029" s="29" t="s">
        <v>3021</v>
      </c>
      <c r="C1029" s="16">
        <v>0</v>
      </c>
      <c r="D1029" s="16">
        <v>0</v>
      </c>
      <c r="E1029" s="29" t="s">
        <v>42</v>
      </c>
      <c r="F1029" s="29" t="s">
        <v>43</v>
      </c>
      <c r="G1029" t="e">
        <v>#N/A</v>
      </c>
    </row>
    <row r="1030" spans="1:7" ht="11.5" hidden="1" customHeight="1" x14ac:dyDescent="0.35">
      <c r="A1030" s="29" t="s">
        <v>1257</v>
      </c>
      <c r="B1030" s="29" t="s">
        <v>3022</v>
      </c>
      <c r="C1030" s="16">
        <v>0</v>
      </c>
      <c r="D1030" s="16">
        <v>0</v>
      </c>
      <c r="E1030" s="29" t="s">
        <v>42</v>
      </c>
      <c r="F1030" s="29" t="s">
        <v>43</v>
      </c>
      <c r="G1030" t="e">
        <v>#N/A</v>
      </c>
    </row>
    <row r="1031" spans="1:7" ht="11.5" hidden="1" customHeight="1" x14ac:dyDescent="0.35">
      <c r="A1031" s="29" t="s">
        <v>1258</v>
      </c>
      <c r="B1031" s="29" t="s">
        <v>3023</v>
      </c>
      <c r="C1031" s="16">
        <v>0</v>
      </c>
      <c r="D1031" s="16">
        <v>0</v>
      </c>
      <c r="E1031" s="29" t="s">
        <v>42</v>
      </c>
      <c r="F1031" s="29" t="s">
        <v>43</v>
      </c>
      <c r="G1031" t="e">
        <v>#N/A</v>
      </c>
    </row>
    <row r="1032" spans="1:7" ht="11.5" hidden="1" customHeight="1" x14ac:dyDescent="0.35">
      <c r="A1032" s="29" t="s">
        <v>1259</v>
      </c>
      <c r="B1032" s="29" t="s">
        <v>3024</v>
      </c>
      <c r="C1032" s="16">
        <v>0</v>
      </c>
      <c r="D1032" s="16">
        <v>0</v>
      </c>
      <c r="E1032" s="29" t="s">
        <v>42</v>
      </c>
      <c r="F1032" s="29" t="s">
        <v>43</v>
      </c>
      <c r="G1032" t="e">
        <v>#N/A</v>
      </c>
    </row>
    <row r="1033" spans="1:7" ht="11.5" hidden="1" customHeight="1" x14ac:dyDescent="0.35">
      <c r="A1033" s="29" t="s">
        <v>1260</v>
      </c>
      <c r="B1033" s="29" t="s">
        <v>3025</v>
      </c>
      <c r="C1033" s="16">
        <v>0</v>
      </c>
      <c r="D1033" s="16">
        <v>0</v>
      </c>
      <c r="E1033" s="29" t="s">
        <v>42</v>
      </c>
      <c r="F1033" s="29" t="s">
        <v>43</v>
      </c>
      <c r="G1033" t="e">
        <v>#N/A</v>
      </c>
    </row>
    <row r="1034" spans="1:7" ht="11.5" hidden="1" customHeight="1" x14ac:dyDescent="0.35">
      <c r="A1034" s="29" t="s">
        <v>1261</v>
      </c>
      <c r="B1034" s="29" t="s">
        <v>3026</v>
      </c>
      <c r="C1034" s="16">
        <v>0</v>
      </c>
      <c r="D1034" s="16">
        <v>0</v>
      </c>
      <c r="E1034" s="29" t="s">
        <v>42</v>
      </c>
      <c r="F1034" s="29" t="s">
        <v>43</v>
      </c>
      <c r="G1034" t="e">
        <v>#N/A</v>
      </c>
    </row>
    <row r="1035" spans="1:7" ht="11.5" hidden="1" customHeight="1" x14ac:dyDescent="0.35">
      <c r="A1035" s="29" t="s">
        <v>1262</v>
      </c>
      <c r="B1035" s="29" t="s">
        <v>3027</v>
      </c>
      <c r="C1035" s="16">
        <v>0</v>
      </c>
      <c r="D1035" s="16">
        <v>0</v>
      </c>
      <c r="E1035" s="29" t="s">
        <v>42</v>
      </c>
      <c r="F1035" s="29" t="s">
        <v>43</v>
      </c>
      <c r="G1035" t="e">
        <v>#N/A</v>
      </c>
    </row>
    <row r="1036" spans="1:7" ht="11.5" hidden="1" customHeight="1" x14ac:dyDescent="0.35">
      <c r="A1036" s="29" t="s">
        <v>1263</v>
      </c>
      <c r="B1036" s="29" t="s">
        <v>3028</v>
      </c>
      <c r="C1036" s="16">
        <v>0</v>
      </c>
      <c r="D1036" s="16">
        <v>0</v>
      </c>
      <c r="E1036" s="29" t="s">
        <v>42</v>
      </c>
      <c r="F1036" s="29" t="s">
        <v>43</v>
      </c>
      <c r="G1036" t="e">
        <v>#N/A</v>
      </c>
    </row>
    <row r="1037" spans="1:7" ht="11.5" hidden="1" customHeight="1" x14ac:dyDescent="0.35">
      <c r="A1037" s="29" t="s">
        <v>1264</v>
      </c>
      <c r="B1037" s="29" t="s">
        <v>3029</v>
      </c>
      <c r="C1037" s="16">
        <v>0</v>
      </c>
      <c r="D1037" s="16">
        <v>0</v>
      </c>
      <c r="E1037" s="29" t="s">
        <v>42</v>
      </c>
      <c r="F1037" s="29" t="s">
        <v>43</v>
      </c>
      <c r="G1037" t="e">
        <v>#N/A</v>
      </c>
    </row>
    <row r="1038" spans="1:7" ht="11.5" hidden="1" customHeight="1" x14ac:dyDescent="0.35">
      <c r="A1038" s="29" t="s">
        <v>1265</v>
      </c>
      <c r="B1038" s="29" t="s">
        <v>3030</v>
      </c>
      <c r="C1038" s="16">
        <v>0</v>
      </c>
      <c r="D1038" s="16">
        <v>0</v>
      </c>
      <c r="E1038" s="29" t="s">
        <v>42</v>
      </c>
      <c r="F1038" s="29" t="s">
        <v>43</v>
      </c>
      <c r="G1038" t="e">
        <v>#N/A</v>
      </c>
    </row>
    <row r="1039" spans="1:7" ht="11.5" hidden="1" customHeight="1" x14ac:dyDescent="0.35">
      <c r="A1039" s="29" t="s">
        <v>1266</v>
      </c>
      <c r="B1039" s="29" t="s">
        <v>3031</v>
      </c>
      <c r="C1039" s="16">
        <v>0</v>
      </c>
      <c r="D1039" s="16">
        <v>0</v>
      </c>
      <c r="E1039" s="29" t="s">
        <v>42</v>
      </c>
      <c r="F1039" s="29" t="s">
        <v>43</v>
      </c>
      <c r="G1039" t="e">
        <v>#N/A</v>
      </c>
    </row>
    <row r="1040" spans="1:7" ht="11.5" hidden="1" customHeight="1" x14ac:dyDescent="0.35">
      <c r="A1040" s="29" t="s">
        <v>1267</v>
      </c>
      <c r="B1040" s="29" t="s">
        <v>3032</v>
      </c>
      <c r="C1040" s="16">
        <v>0</v>
      </c>
      <c r="D1040" s="16">
        <v>0</v>
      </c>
      <c r="E1040" s="29" t="s">
        <v>42</v>
      </c>
      <c r="F1040" s="29" t="s">
        <v>43</v>
      </c>
      <c r="G1040" t="e">
        <v>#N/A</v>
      </c>
    </row>
    <row r="1041" spans="1:7" ht="11.5" hidden="1" customHeight="1" x14ac:dyDescent="0.35">
      <c r="A1041" s="29" t="s">
        <v>1268</v>
      </c>
      <c r="B1041" s="29" t="s">
        <v>3033</v>
      </c>
      <c r="C1041" s="16">
        <v>0</v>
      </c>
      <c r="D1041" s="16">
        <v>0</v>
      </c>
      <c r="E1041" s="29" t="s">
        <v>42</v>
      </c>
      <c r="F1041" s="29" t="s">
        <v>43</v>
      </c>
      <c r="G1041" t="e">
        <v>#N/A</v>
      </c>
    </row>
    <row r="1042" spans="1:7" ht="11.5" hidden="1" customHeight="1" x14ac:dyDescent="0.35">
      <c r="A1042" s="29" t="s">
        <v>1269</v>
      </c>
      <c r="B1042" s="29" t="s">
        <v>3034</v>
      </c>
      <c r="C1042" s="16">
        <v>0</v>
      </c>
      <c r="D1042" s="16">
        <v>0</v>
      </c>
      <c r="E1042" s="29" t="s">
        <v>42</v>
      </c>
      <c r="F1042" s="29" t="s">
        <v>43</v>
      </c>
      <c r="G1042" t="e">
        <v>#N/A</v>
      </c>
    </row>
    <row r="1043" spans="1:7" ht="11.5" hidden="1" customHeight="1" x14ac:dyDescent="0.35">
      <c r="A1043" s="29" t="s">
        <v>1270</v>
      </c>
      <c r="B1043" s="29" t="s">
        <v>3035</v>
      </c>
      <c r="C1043" s="16">
        <v>0</v>
      </c>
      <c r="D1043" s="16">
        <v>0</v>
      </c>
      <c r="E1043" s="29" t="s">
        <v>42</v>
      </c>
      <c r="F1043" s="29" t="s">
        <v>43</v>
      </c>
      <c r="G1043" t="e">
        <v>#N/A</v>
      </c>
    </row>
    <row r="1044" spans="1:7" ht="11.5" hidden="1" customHeight="1" x14ac:dyDescent="0.35">
      <c r="A1044" s="29" t="s">
        <v>1271</v>
      </c>
      <c r="B1044" s="29" t="s">
        <v>3036</v>
      </c>
      <c r="C1044" s="16">
        <v>0</v>
      </c>
      <c r="D1044" s="16">
        <v>0</v>
      </c>
      <c r="E1044" s="29" t="s">
        <v>42</v>
      </c>
      <c r="F1044" s="29" t="s">
        <v>43</v>
      </c>
      <c r="G1044" t="e">
        <v>#N/A</v>
      </c>
    </row>
    <row r="1045" spans="1:7" ht="11.5" hidden="1" customHeight="1" x14ac:dyDescent="0.35">
      <c r="A1045" s="29" t="s">
        <v>1272</v>
      </c>
      <c r="B1045" s="29" t="s">
        <v>3037</v>
      </c>
      <c r="C1045" s="16">
        <v>0</v>
      </c>
      <c r="D1045" s="16">
        <v>0</v>
      </c>
      <c r="E1045" s="29" t="s">
        <v>42</v>
      </c>
      <c r="F1045" s="29" t="s">
        <v>43</v>
      </c>
      <c r="G1045" t="e">
        <v>#N/A</v>
      </c>
    </row>
    <row r="1046" spans="1:7" ht="11.5" hidden="1" customHeight="1" x14ac:dyDescent="0.35">
      <c r="A1046" s="29" t="s">
        <v>1273</v>
      </c>
      <c r="B1046" s="29" t="s">
        <v>3038</v>
      </c>
      <c r="C1046" s="16">
        <v>0</v>
      </c>
      <c r="D1046" s="16">
        <v>0</v>
      </c>
      <c r="E1046" s="29" t="s">
        <v>42</v>
      </c>
      <c r="F1046" s="29" t="s">
        <v>43</v>
      </c>
      <c r="G1046" t="e">
        <v>#N/A</v>
      </c>
    </row>
    <row r="1047" spans="1:7" ht="11.5" hidden="1" customHeight="1" x14ac:dyDescent="0.35">
      <c r="A1047" s="29" t="s">
        <v>1274</v>
      </c>
      <c r="B1047" s="29" t="s">
        <v>3039</v>
      </c>
      <c r="C1047" s="16">
        <v>0</v>
      </c>
      <c r="D1047" s="16">
        <v>0</v>
      </c>
      <c r="E1047" s="29" t="s">
        <v>42</v>
      </c>
      <c r="F1047" s="29" t="s">
        <v>43</v>
      </c>
      <c r="G1047" t="e">
        <v>#N/A</v>
      </c>
    </row>
    <row r="1048" spans="1:7" ht="11.5" hidden="1" customHeight="1" x14ac:dyDescent="0.35">
      <c r="A1048" s="29" t="s">
        <v>1275</v>
      </c>
      <c r="B1048" s="29" t="s">
        <v>3040</v>
      </c>
      <c r="C1048" s="16">
        <v>0</v>
      </c>
      <c r="D1048" s="16">
        <v>0</v>
      </c>
      <c r="E1048" s="29" t="s">
        <v>42</v>
      </c>
      <c r="F1048" s="29" t="s">
        <v>43</v>
      </c>
      <c r="G1048" t="e">
        <v>#N/A</v>
      </c>
    </row>
    <row r="1049" spans="1:7" ht="11.5" hidden="1" customHeight="1" x14ac:dyDescent="0.35">
      <c r="A1049" s="29" t="s">
        <v>1276</v>
      </c>
      <c r="B1049" s="29" t="s">
        <v>3041</v>
      </c>
      <c r="C1049" s="16">
        <v>0</v>
      </c>
      <c r="D1049" s="16">
        <v>0</v>
      </c>
      <c r="E1049" s="29" t="s">
        <v>42</v>
      </c>
      <c r="F1049" s="29" t="s">
        <v>43</v>
      </c>
      <c r="G1049" t="e">
        <v>#N/A</v>
      </c>
    </row>
    <row r="1050" spans="1:7" ht="11.5" hidden="1" customHeight="1" x14ac:dyDescent="0.35">
      <c r="A1050" s="29" t="s">
        <v>1277</v>
      </c>
      <c r="B1050" s="29" t="s">
        <v>3042</v>
      </c>
      <c r="C1050" s="16">
        <v>0</v>
      </c>
      <c r="D1050" s="16">
        <v>0</v>
      </c>
      <c r="E1050" s="29" t="s">
        <v>42</v>
      </c>
      <c r="F1050" s="29" t="s">
        <v>43</v>
      </c>
      <c r="G1050" t="e">
        <v>#N/A</v>
      </c>
    </row>
    <row r="1051" spans="1:7" ht="11.5" hidden="1" customHeight="1" x14ac:dyDescent="0.35">
      <c r="A1051" s="29" t="s">
        <v>1278</v>
      </c>
      <c r="B1051" s="29" t="s">
        <v>3043</v>
      </c>
      <c r="C1051" s="16">
        <v>0</v>
      </c>
      <c r="D1051" s="16">
        <v>0</v>
      </c>
      <c r="E1051" s="29" t="s">
        <v>42</v>
      </c>
      <c r="F1051" s="29" t="s">
        <v>43</v>
      </c>
      <c r="G1051" t="e">
        <v>#N/A</v>
      </c>
    </row>
    <row r="1052" spans="1:7" ht="11.5" hidden="1" customHeight="1" x14ac:dyDescent="0.35">
      <c r="A1052" s="29" t="s">
        <v>1279</v>
      </c>
      <c r="B1052" s="29" t="s">
        <v>3044</v>
      </c>
      <c r="C1052" s="16">
        <v>0</v>
      </c>
      <c r="D1052" s="16">
        <v>0</v>
      </c>
      <c r="E1052" s="29" t="s">
        <v>42</v>
      </c>
      <c r="F1052" s="29" t="s">
        <v>43</v>
      </c>
      <c r="G1052" t="e">
        <v>#N/A</v>
      </c>
    </row>
    <row r="1053" spans="1:7" ht="11.5" hidden="1" customHeight="1" x14ac:dyDescent="0.35">
      <c r="A1053" s="29" t="s">
        <v>1280</v>
      </c>
      <c r="B1053" s="29" t="s">
        <v>3045</v>
      </c>
      <c r="C1053" s="16">
        <v>0</v>
      </c>
      <c r="D1053" s="16">
        <v>0</v>
      </c>
      <c r="E1053" s="29" t="s">
        <v>42</v>
      </c>
      <c r="F1053" s="29" t="s">
        <v>43</v>
      </c>
      <c r="G1053" t="e">
        <v>#N/A</v>
      </c>
    </row>
    <row r="1054" spans="1:7" ht="11.5" hidden="1" customHeight="1" x14ac:dyDescent="0.35">
      <c r="A1054" s="29" t="s">
        <v>1281</v>
      </c>
      <c r="B1054" s="29" t="s">
        <v>3046</v>
      </c>
      <c r="C1054" s="16">
        <v>0</v>
      </c>
      <c r="D1054" s="16">
        <v>0</v>
      </c>
      <c r="E1054" s="29" t="s">
        <v>42</v>
      </c>
      <c r="F1054" s="29" t="s">
        <v>43</v>
      </c>
      <c r="G1054" t="e">
        <v>#N/A</v>
      </c>
    </row>
    <row r="1055" spans="1:7" ht="11.5" hidden="1" customHeight="1" x14ac:dyDescent="0.35">
      <c r="A1055" s="29" t="s">
        <v>1282</v>
      </c>
      <c r="B1055" s="29" t="s">
        <v>3047</v>
      </c>
      <c r="C1055" s="16">
        <v>0</v>
      </c>
      <c r="D1055" s="16">
        <v>0</v>
      </c>
      <c r="E1055" s="29" t="s">
        <v>42</v>
      </c>
      <c r="F1055" s="29" t="s">
        <v>43</v>
      </c>
      <c r="G1055" t="e">
        <v>#N/A</v>
      </c>
    </row>
    <row r="1056" spans="1:7" ht="11.5" hidden="1" customHeight="1" x14ac:dyDescent="0.35">
      <c r="A1056" s="29" t="s">
        <v>1283</v>
      </c>
      <c r="B1056" s="29" t="s">
        <v>3048</v>
      </c>
      <c r="C1056" s="16">
        <v>0</v>
      </c>
      <c r="D1056" s="16">
        <v>0</v>
      </c>
      <c r="E1056" s="29" t="s">
        <v>42</v>
      </c>
      <c r="F1056" s="29" t="s">
        <v>43</v>
      </c>
      <c r="G1056" t="e">
        <v>#N/A</v>
      </c>
    </row>
    <row r="1057" spans="1:7" ht="11.5" hidden="1" customHeight="1" x14ac:dyDescent="0.35">
      <c r="A1057" s="29" t="s">
        <v>1284</v>
      </c>
      <c r="B1057" s="29" t="s">
        <v>3049</v>
      </c>
      <c r="C1057" s="16">
        <v>0</v>
      </c>
      <c r="D1057" s="16">
        <v>0</v>
      </c>
      <c r="E1057" s="29" t="s">
        <v>42</v>
      </c>
      <c r="F1057" s="29" t="s">
        <v>43</v>
      </c>
      <c r="G1057" t="e">
        <v>#N/A</v>
      </c>
    </row>
    <row r="1058" spans="1:7" ht="11.5" hidden="1" customHeight="1" x14ac:dyDescent="0.35">
      <c r="A1058" s="29" t="s">
        <v>1285</v>
      </c>
      <c r="B1058" s="29" t="s">
        <v>3050</v>
      </c>
      <c r="C1058" s="16">
        <v>0</v>
      </c>
      <c r="D1058" s="16">
        <v>0</v>
      </c>
      <c r="E1058" s="29" t="s">
        <v>42</v>
      </c>
      <c r="F1058" s="29" t="s">
        <v>43</v>
      </c>
      <c r="G1058" t="e">
        <v>#N/A</v>
      </c>
    </row>
    <row r="1059" spans="1:7" ht="11.5" hidden="1" customHeight="1" x14ac:dyDescent="0.35">
      <c r="A1059" s="29" t="s">
        <v>1286</v>
      </c>
      <c r="B1059" s="29" t="s">
        <v>3051</v>
      </c>
      <c r="C1059" s="16">
        <v>0</v>
      </c>
      <c r="D1059" s="16">
        <v>0</v>
      </c>
      <c r="E1059" s="29" t="s">
        <v>42</v>
      </c>
      <c r="F1059" s="29" t="s">
        <v>43</v>
      </c>
      <c r="G1059" t="s">
        <v>3885</v>
      </c>
    </row>
    <row r="1060" spans="1:7" ht="11.5" hidden="1" customHeight="1" x14ac:dyDescent="0.35">
      <c r="A1060" s="29" t="s">
        <v>1287</v>
      </c>
      <c r="B1060" s="29" t="s">
        <v>3052</v>
      </c>
      <c r="C1060" s="16">
        <v>0</v>
      </c>
      <c r="D1060" s="16">
        <v>0</v>
      </c>
      <c r="E1060" s="29" t="s">
        <v>42</v>
      </c>
      <c r="F1060" s="29" t="s">
        <v>43</v>
      </c>
      <c r="G1060" t="e">
        <v>#N/A</v>
      </c>
    </row>
    <row r="1061" spans="1:7" ht="11.5" hidden="1" customHeight="1" x14ac:dyDescent="0.35">
      <c r="A1061" s="29" t="s">
        <v>1288</v>
      </c>
      <c r="B1061" s="29" t="s">
        <v>3053</v>
      </c>
      <c r="C1061" s="16">
        <v>0</v>
      </c>
      <c r="D1061" s="16">
        <v>0</v>
      </c>
      <c r="E1061" s="29" t="s">
        <v>42</v>
      </c>
      <c r="F1061" s="29" t="s">
        <v>43</v>
      </c>
      <c r="G1061" t="e">
        <v>#N/A</v>
      </c>
    </row>
    <row r="1062" spans="1:7" ht="11.5" hidden="1" customHeight="1" x14ac:dyDescent="0.35">
      <c r="A1062" s="29" t="s">
        <v>1289</v>
      </c>
      <c r="B1062" s="29" t="s">
        <v>3054</v>
      </c>
      <c r="C1062" s="16">
        <v>0</v>
      </c>
      <c r="D1062" s="16">
        <v>0</v>
      </c>
      <c r="E1062" s="29" t="s">
        <v>42</v>
      </c>
      <c r="F1062" s="29" t="s">
        <v>43</v>
      </c>
      <c r="G1062" t="e">
        <v>#N/A</v>
      </c>
    </row>
    <row r="1063" spans="1:7" ht="11.5" hidden="1" customHeight="1" x14ac:dyDescent="0.35">
      <c r="A1063" s="29" t="s">
        <v>1290</v>
      </c>
      <c r="B1063" s="29" t="s">
        <v>3055</v>
      </c>
      <c r="C1063" s="16">
        <v>0</v>
      </c>
      <c r="D1063" s="16">
        <v>0</v>
      </c>
      <c r="E1063" s="29" t="s">
        <v>42</v>
      </c>
      <c r="F1063" s="29" t="s">
        <v>43</v>
      </c>
      <c r="G1063" t="e">
        <v>#N/A</v>
      </c>
    </row>
    <row r="1064" spans="1:7" ht="11.5" hidden="1" customHeight="1" x14ac:dyDescent="0.35">
      <c r="A1064" s="29" t="s">
        <v>1291</v>
      </c>
      <c r="B1064" s="29" t="s">
        <v>3056</v>
      </c>
      <c r="C1064" s="16">
        <v>0</v>
      </c>
      <c r="D1064" s="16">
        <v>0</v>
      </c>
      <c r="E1064" s="29" t="s">
        <v>42</v>
      </c>
      <c r="F1064" s="29" t="s">
        <v>43</v>
      </c>
      <c r="G1064" t="s">
        <v>3908</v>
      </c>
    </row>
    <row r="1065" spans="1:7" ht="11.5" hidden="1" customHeight="1" x14ac:dyDescent="0.35">
      <c r="A1065" s="29" t="s">
        <v>1292</v>
      </c>
      <c r="B1065" s="29" t="s">
        <v>3057</v>
      </c>
      <c r="C1065" s="16">
        <v>0</v>
      </c>
      <c r="D1065" s="16">
        <v>0</v>
      </c>
      <c r="E1065" s="29" t="s">
        <v>42</v>
      </c>
      <c r="F1065" s="29" t="s">
        <v>43</v>
      </c>
      <c r="G1065" t="e">
        <v>#N/A</v>
      </c>
    </row>
    <row r="1066" spans="1:7" ht="11.5" hidden="1" customHeight="1" x14ac:dyDescent="0.35">
      <c r="A1066" s="29" t="s">
        <v>1293</v>
      </c>
      <c r="B1066" s="29" t="s">
        <v>3058</v>
      </c>
      <c r="C1066" s="16">
        <v>0</v>
      </c>
      <c r="D1066" s="16">
        <v>0</v>
      </c>
      <c r="E1066" s="29" t="s">
        <v>42</v>
      </c>
      <c r="F1066" s="29" t="s">
        <v>43</v>
      </c>
      <c r="G1066" t="e">
        <v>#N/A</v>
      </c>
    </row>
    <row r="1067" spans="1:7" ht="11.5" hidden="1" customHeight="1" x14ac:dyDescent="0.35">
      <c r="A1067" s="29" t="s">
        <v>1294</v>
      </c>
      <c r="B1067" s="29" t="s">
        <v>3059</v>
      </c>
      <c r="C1067" s="16">
        <v>0</v>
      </c>
      <c r="D1067" s="16">
        <v>0</v>
      </c>
      <c r="E1067" s="29" t="s">
        <v>42</v>
      </c>
      <c r="F1067" s="29" t="s">
        <v>43</v>
      </c>
      <c r="G1067" t="e">
        <v>#N/A</v>
      </c>
    </row>
    <row r="1068" spans="1:7" ht="11.5" hidden="1" customHeight="1" x14ac:dyDescent="0.35">
      <c r="A1068" s="29" t="s">
        <v>1295</v>
      </c>
      <c r="B1068" s="29" t="s">
        <v>3060</v>
      </c>
      <c r="C1068" s="16">
        <v>0</v>
      </c>
      <c r="D1068" s="16">
        <v>0</v>
      </c>
      <c r="E1068" s="29" t="s">
        <v>42</v>
      </c>
      <c r="F1068" s="29" t="s">
        <v>43</v>
      </c>
      <c r="G1068" t="e">
        <v>#N/A</v>
      </c>
    </row>
    <row r="1069" spans="1:7" ht="11.5" hidden="1" customHeight="1" x14ac:dyDescent="0.35">
      <c r="A1069" s="29" t="s">
        <v>1296</v>
      </c>
      <c r="B1069" s="29" t="s">
        <v>3061</v>
      </c>
      <c r="C1069" s="16">
        <v>0</v>
      </c>
      <c r="D1069" s="16">
        <v>0</v>
      </c>
      <c r="E1069" s="29" t="s">
        <v>42</v>
      </c>
      <c r="F1069" s="29" t="s">
        <v>43</v>
      </c>
      <c r="G1069" t="e">
        <v>#N/A</v>
      </c>
    </row>
    <row r="1070" spans="1:7" ht="11.5" hidden="1" customHeight="1" x14ac:dyDescent="0.35">
      <c r="A1070" s="29" t="s">
        <v>1297</v>
      </c>
      <c r="B1070" s="29" t="s">
        <v>3062</v>
      </c>
      <c r="C1070" s="16">
        <v>0</v>
      </c>
      <c r="D1070" s="16">
        <v>0</v>
      </c>
      <c r="E1070" s="29" t="s">
        <v>42</v>
      </c>
      <c r="F1070" s="29" t="s">
        <v>43</v>
      </c>
      <c r="G1070" t="e">
        <v>#N/A</v>
      </c>
    </row>
    <row r="1071" spans="1:7" ht="11.5" hidden="1" customHeight="1" x14ac:dyDescent="0.35">
      <c r="A1071" s="29" t="s">
        <v>1298</v>
      </c>
      <c r="B1071" s="29" t="s">
        <v>3063</v>
      </c>
      <c r="C1071" s="16">
        <v>0</v>
      </c>
      <c r="D1071" s="16">
        <v>0</v>
      </c>
      <c r="E1071" s="29" t="s">
        <v>42</v>
      </c>
      <c r="F1071" s="29" t="s">
        <v>43</v>
      </c>
      <c r="G1071" t="e">
        <v>#N/A</v>
      </c>
    </row>
    <row r="1072" spans="1:7" ht="11.5" hidden="1" customHeight="1" x14ac:dyDescent="0.35">
      <c r="A1072" s="29" t="s">
        <v>1299</v>
      </c>
      <c r="B1072" s="29" t="s">
        <v>3064</v>
      </c>
      <c r="C1072" s="16">
        <v>0</v>
      </c>
      <c r="D1072" s="16">
        <v>0</v>
      </c>
      <c r="E1072" s="29" t="s">
        <v>42</v>
      </c>
      <c r="F1072" s="29" t="s">
        <v>43</v>
      </c>
      <c r="G1072" t="e">
        <v>#N/A</v>
      </c>
    </row>
    <row r="1073" spans="1:7" ht="11.5" hidden="1" customHeight="1" x14ac:dyDescent="0.35">
      <c r="A1073" s="29" t="s">
        <v>1300</v>
      </c>
      <c r="B1073" s="29" t="s">
        <v>3065</v>
      </c>
      <c r="C1073" s="16">
        <v>0</v>
      </c>
      <c r="D1073" s="16">
        <v>0</v>
      </c>
      <c r="E1073" s="29" t="s">
        <v>42</v>
      </c>
      <c r="F1073" s="29" t="s">
        <v>43</v>
      </c>
      <c r="G1073" t="e">
        <v>#N/A</v>
      </c>
    </row>
    <row r="1074" spans="1:7" ht="11.5" hidden="1" customHeight="1" x14ac:dyDescent="0.35">
      <c r="A1074" s="29" t="s">
        <v>1301</v>
      </c>
      <c r="B1074" s="29" t="s">
        <v>3065</v>
      </c>
      <c r="C1074" s="16">
        <v>0</v>
      </c>
      <c r="D1074" s="16">
        <v>0</v>
      </c>
      <c r="E1074" s="29" t="s">
        <v>42</v>
      </c>
      <c r="F1074" s="29" t="s">
        <v>43</v>
      </c>
      <c r="G1074" t="e">
        <v>#N/A</v>
      </c>
    </row>
    <row r="1075" spans="1:7" ht="11.5" hidden="1" customHeight="1" x14ac:dyDescent="0.35">
      <c r="A1075" s="29" t="s">
        <v>1302</v>
      </c>
      <c r="B1075" s="29" t="s">
        <v>3066</v>
      </c>
      <c r="C1075" s="16">
        <v>0</v>
      </c>
      <c r="D1075" s="16">
        <v>0</v>
      </c>
      <c r="E1075" s="29" t="s">
        <v>42</v>
      </c>
      <c r="F1075" s="29" t="s">
        <v>43</v>
      </c>
      <c r="G1075" t="e">
        <v>#N/A</v>
      </c>
    </row>
    <row r="1076" spans="1:7" ht="11.5" hidden="1" customHeight="1" x14ac:dyDescent="0.35">
      <c r="A1076" s="29" t="s">
        <v>1303</v>
      </c>
      <c r="B1076" s="29" t="s">
        <v>3067</v>
      </c>
      <c r="C1076" s="16">
        <v>0</v>
      </c>
      <c r="D1076" s="16">
        <v>0</v>
      </c>
      <c r="E1076" s="29" t="s">
        <v>42</v>
      </c>
      <c r="F1076" s="29" t="s">
        <v>43</v>
      </c>
      <c r="G1076" t="e">
        <v>#N/A</v>
      </c>
    </row>
    <row r="1077" spans="1:7" ht="11.5" hidden="1" customHeight="1" x14ac:dyDescent="0.35">
      <c r="A1077" s="29" t="s">
        <v>1304</v>
      </c>
      <c r="B1077" s="29" t="s">
        <v>3068</v>
      </c>
      <c r="C1077" s="16">
        <v>0</v>
      </c>
      <c r="D1077" s="16">
        <v>0</v>
      </c>
      <c r="E1077" s="29" t="s">
        <v>42</v>
      </c>
      <c r="F1077" s="29" t="s">
        <v>43</v>
      </c>
      <c r="G1077" t="e">
        <v>#N/A</v>
      </c>
    </row>
    <row r="1078" spans="1:7" ht="11.5" hidden="1" customHeight="1" x14ac:dyDescent="0.35">
      <c r="A1078" s="29" t="s">
        <v>1305</v>
      </c>
      <c r="B1078" s="29" t="s">
        <v>3069</v>
      </c>
      <c r="C1078" s="16">
        <v>0</v>
      </c>
      <c r="D1078" s="16">
        <v>0</v>
      </c>
      <c r="E1078" s="29" t="s">
        <v>42</v>
      </c>
      <c r="F1078" s="29" t="s">
        <v>43</v>
      </c>
      <c r="G1078" t="e">
        <v>#N/A</v>
      </c>
    </row>
    <row r="1079" spans="1:7" ht="11.5" hidden="1" customHeight="1" x14ac:dyDescent="0.35">
      <c r="A1079" s="29" t="s">
        <v>1306</v>
      </c>
      <c r="B1079" s="29" t="s">
        <v>3070</v>
      </c>
      <c r="C1079" s="16">
        <v>0</v>
      </c>
      <c r="D1079" s="16">
        <v>0</v>
      </c>
      <c r="E1079" s="29" t="s">
        <v>42</v>
      </c>
      <c r="F1079" s="29" t="s">
        <v>43</v>
      </c>
      <c r="G1079" t="e">
        <v>#N/A</v>
      </c>
    </row>
    <row r="1080" spans="1:7" ht="11.5" hidden="1" customHeight="1" x14ac:dyDescent="0.35">
      <c r="A1080" s="29" t="s">
        <v>1307</v>
      </c>
      <c r="B1080" s="29" t="s">
        <v>3071</v>
      </c>
      <c r="C1080" s="16">
        <v>0</v>
      </c>
      <c r="D1080" s="16">
        <v>0</v>
      </c>
      <c r="E1080" s="29" t="s">
        <v>42</v>
      </c>
      <c r="F1080" s="29" t="s">
        <v>43</v>
      </c>
      <c r="G1080" t="e">
        <v>#N/A</v>
      </c>
    </row>
    <row r="1081" spans="1:7" ht="11.5" hidden="1" customHeight="1" x14ac:dyDescent="0.35">
      <c r="A1081" s="29" t="s">
        <v>1308</v>
      </c>
      <c r="B1081" s="29" t="s">
        <v>3072</v>
      </c>
      <c r="C1081" s="16">
        <v>0</v>
      </c>
      <c r="D1081" s="16">
        <v>0</v>
      </c>
      <c r="E1081" s="29" t="s">
        <v>42</v>
      </c>
      <c r="F1081" s="29" t="s">
        <v>43</v>
      </c>
      <c r="G1081" t="e">
        <v>#N/A</v>
      </c>
    </row>
    <row r="1082" spans="1:7" ht="11.5" hidden="1" customHeight="1" x14ac:dyDescent="0.35">
      <c r="A1082" s="29" t="s">
        <v>1309</v>
      </c>
      <c r="B1082" s="29" t="s">
        <v>3073</v>
      </c>
      <c r="C1082" s="16">
        <v>0</v>
      </c>
      <c r="D1082" s="16">
        <v>0</v>
      </c>
      <c r="E1082" s="29" t="s">
        <v>42</v>
      </c>
      <c r="F1082" s="29" t="s">
        <v>43</v>
      </c>
      <c r="G1082" t="e">
        <v>#N/A</v>
      </c>
    </row>
    <row r="1083" spans="1:7" ht="11.5" hidden="1" customHeight="1" x14ac:dyDescent="0.35">
      <c r="A1083" s="29" t="s">
        <v>1310</v>
      </c>
      <c r="B1083" s="29" t="s">
        <v>3074</v>
      </c>
      <c r="C1083" s="16">
        <v>0</v>
      </c>
      <c r="D1083" s="16">
        <v>0</v>
      </c>
      <c r="E1083" s="29" t="s">
        <v>42</v>
      </c>
      <c r="F1083" s="29" t="s">
        <v>43</v>
      </c>
      <c r="G1083" t="e">
        <v>#N/A</v>
      </c>
    </row>
    <row r="1084" spans="1:7" ht="11.5" hidden="1" customHeight="1" x14ac:dyDescent="0.35">
      <c r="A1084" s="29" t="s">
        <v>1311</v>
      </c>
      <c r="B1084" s="29" t="s">
        <v>3075</v>
      </c>
      <c r="C1084" s="16">
        <v>0</v>
      </c>
      <c r="D1084" s="16">
        <v>0</v>
      </c>
      <c r="E1084" s="29" t="s">
        <v>42</v>
      </c>
      <c r="F1084" s="29" t="s">
        <v>43</v>
      </c>
      <c r="G1084" t="e">
        <v>#N/A</v>
      </c>
    </row>
    <row r="1085" spans="1:7" ht="11.5" hidden="1" customHeight="1" x14ac:dyDescent="0.35">
      <c r="A1085" s="29" t="s">
        <v>1312</v>
      </c>
      <c r="B1085" s="29" t="s">
        <v>3076</v>
      </c>
      <c r="C1085" s="16">
        <v>0</v>
      </c>
      <c r="D1085" s="16">
        <v>0</v>
      </c>
      <c r="E1085" s="29" t="s">
        <v>42</v>
      </c>
      <c r="F1085" s="29" t="s">
        <v>43</v>
      </c>
      <c r="G1085" t="e">
        <v>#N/A</v>
      </c>
    </row>
    <row r="1086" spans="1:7" ht="11.5" hidden="1" customHeight="1" x14ac:dyDescent="0.35">
      <c r="A1086" s="29" t="s">
        <v>1313</v>
      </c>
      <c r="B1086" s="29" t="s">
        <v>3077</v>
      </c>
      <c r="C1086" s="16">
        <v>0</v>
      </c>
      <c r="D1086" s="16">
        <v>0</v>
      </c>
      <c r="E1086" s="29" t="s">
        <v>42</v>
      </c>
      <c r="F1086" s="29" t="s">
        <v>43</v>
      </c>
      <c r="G1086" t="e">
        <v>#N/A</v>
      </c>
    </row>
    <row r="1087" spans="1:7" ht="11.5" hidden="1" customHeight="1" x14ac:dyDescent="0.35">
      <c r="A1087" s="29" t="s">
        <v>1314</v>
      </c>
      <c r="B1087" s="29" t="s">
        <v>3078</v>
      </c>
      <c r="C1087" s="16">
        <v>0</v>
      </c>
      <c r="D1087" s="16">
        <v>0</v>
      </c>
      <c r="E1087" s="29" t="s">
        <v>42</v>
      </c>
      <c r="F1087" s="29" t="s">
        <v>43</v>
      </c>
      <c r="G1087" t="e">
        <v>#N/A</v>
      </c>
    </row>
    <row r="1088" spans="1:7" ht="11.5" hidden="1" customHeight="1" x14ac:dyDescent="0.35">
      <c r="A1088" s="29" t="s">
        <v>1315</v>
      </c>
      <c r="B1088" s="29" t="s">
        <v>3079</v>
      </c>
      <c r="C1088" s="16">
        <v>0</v>
      </c>
      <c r="D1088" s="16">
        <v>0</v>
      </c>
      <c r="E1088" s="29" t="s">
        <v>42</v>
      </c>
      <c r="F1088" s="29" t="s">
        <v>43</v>
      </c>
      <c r="G1088" t="e">
        <v>#N/A</v>
      </c>
    </row>
    <row r="1089" spans="1:7" ht="11.5" hidden="1" customHeight="1" x14ac:dyDescent="0.35">
      <c r="A1089" s="29" t="s">
        <v>1316</v>
      </c>
      <c r="B1089" s="29" t="s">
        <v>3080</v>
      </c>
      <c r="C1089" s="16">
        <v>0</v>
      </c>
      <c r="D1089" s="16">
        <v>0</v>
      </c>
      <c r="E1089" s="29" t="s">
        <v>42</v>
      </c>
      <c r="F1089" s="29" t="s">
        <v>43</v>
      </c>
      <c r="G1089" t="e">
        <v>#N/A</v>
      </c>
    </row>
    <row r="1090" spans="1:7" ht="11.5" hidden="1" customHeight="1" x14ac:dyDescent="0.35">
      <c r="A1090" s="29" t="s">
        <v>1317</v>
      </c>
      <c r="B1090" s="29" t="s">
        <v>3081</v>
      </c>
      <c r="C1090" s="16">
        <v>0</v>
      </c>
      <c r="D1090" s="16">
        <v>0</v>
      </c>
      <c r="E1090" s="29" t="s">
        <v>42</v>
      </c>
      <c r="F1090" s="29" t="s">
        <v>43</v>
      </c>
      <c r="G1090" t="e">
        <v>#N/A</v>
      </c>
    </row>
    <row r="1091" spans="1:7" ht="11.5" hidden="1" customHeight="1" x14ac:dyDescent="0.35">
      <c r="A1091" s="29" t="s">
        <v>1318</v>
      </c>
      <c r="B1091" s="29" t="s">
        <v>3082</v>
      </c>
      <c r="C1091" s="16">
        <v>0</v>
      </c>
      <c r="D1091" s="16">
        <v>0</v>
      </c>
      <c r="E1091" s="29" t="s">
        <v>42</v>
      </c>
      <c r="F1091" s="29" t="s">
        <v>43</v>
      </c>
      <c r="G1091" t="s">
        <v>3885</v>
      </c>
    </row>
    <row r="1092" spans="1:7" ht="11.5" hidden="1" customHeight="1" x14ac:dyDescent="0.35">
      <c r="A1092" s="29" t="s">
        <v>1319</v>
      </c>
      <c r="B1092" s="29" t="s">
        <v>3083</v>
      </c>
      <c r="C1092" s="16">
        <v>0</v>
      </c>
      <c r="D1092" s="16">
        <v>0</v>
      </c>
      <c r="E1092" s="29" t="s">
        <v>42</v>
      </c>
      <c r="F1092" s="29" t="s">
        <v>43</v>
      </c>
      <c r="G1092" t="e">
        <v>#N/A</v>
      </c>
    </row>
    <row r="1093" spans="1:7" ht="11.5" hidden="1" customHeight="1" x14ac:dyDescent="0.35">
      <c r="A1093" s="29" t="s">
        <v>1320</v>
      </c>
      <c r="B1093" s="29" t="s">
        <v>3084</v>
      </c>
      <c r="C1093" s="16">
        <v>0</v>
      </c>
      <c r="D1093" s="16">
        <v>0</v>
      </c>
      <c r="E1093" s="29" t="s">
        <v>42</v>
      </c>
      <c r="F1093" s="29" t="s">
        <v>43</v>
      </c>
      <c r="G1093" t="e">
        <v>#N/A</v>
      </c>
    </row>
    <row r="1094" spans="1:7" ht="11.5" hidden="1" customHeight="1" x14ac:dyDescent="0.35">
      <c r="A1094" s="29" t="s">
        <v>1321</v>
      </c>
      <c r="B1094" s="29" t="s">
        <v>3085</v>
      </c>
      <c r="C1094" s="16">
        <v>0</v>
      </c>
      <c r="D1094" s="16">
        <v>0</v>
      </c>
      <c r="E1094" s="29" t="s">
        <v>42</v>
      </c>
      <c r="F1094" s="29" t="s">
        <v>43</v>
      </c>
      <c r="G1094" t="e">
        <v>#N/A</v>
      </c>
    </row>
    <row r="1095" spans="1:7" ht="11.5" hidden="1" customHeight="1" x14ac:dyDescent="0.35">
      <c r="A1095" s="29" t="s">
        <v>1322</v>
      </c>
      <c r="B1095" s="29" t="s">
        <v>3086</v>
      </c>
      <c r="C1095" s="16">
        <v>0</v>
      </c>
      <c r="D1095" s="16">
        <v>0</v>
      </c>
      <c r="E1095" s="29" t="s">
        <v>42</v>
      </c>
      <c r="F1095" s="29" t="s">
        <v>43</v>
      </c>
      <c r="G1095" t="e">
        <v>#N/A</v>
      </c>
    </row>
    <row r="1096" spans="1:7" ht="11.5" hidden="1" customHeight="1" x14ac:dyDescent="0.35">
      <c r="A1096" s="29" t="s">
        <v>1323</v>
      </c>
      <c r="B1096" s="29" t="s">
        <v>3087</v>
      </c>
      <c r="C1096" s="16">
        <v>0</v>
      </c>
      <c r="D1096" s="16">
        <v>0</v>
      </c>
      <c r="E1096" s="29" t="s">
        <v>42</v>
      </c>
      <c r="F1096" s="29" t="s">
        <v>43</v>
      </c>
      <c r="G1096" t="e">
        <v>#N/A</v>
      </c>
    </row>
    <row r="1097" spans="1:7" ht="11.5" hidden="1" customHeight="1" x14ac:dyDescent="0.35">
      <c r="A1097" s="29" t="s">
        <v>1324</v>
      </c>
      <c r="B1097" s="29" t="s">
        <v>3088</v>
      </c>
      <c r="C1097" s="16">
        <v>0</v>
      </c>
      <c r="D1097" s="16">
        <v>0</v>
      </c>
      <c r="E1097" s="29" t="s">
        <v>42</v>
      </c>
      <c r="F1097" s="29" t="s">
        <v>43</v>
      </c>
      <c r="G1097" t="e">
        <v>#N/A</v>
      </c>
    </row>
    <row r="1098" spans="1:7" ht="11.5" hidden="1" customHeight="1" x14ac:dyDescent="0.35">
      <c r="A1098" s="29" t="s">
        <v>1325</v>
      </c>
      <c r="B1098" s="29" t="s">
        <v>3089</v>
      </c>
      <c r="C1098" s="16">
        <v>0</v>
      </c>
      <c r="D1098" s="16">
        <v>0</v>
      </c>
      <c r="E1098" s="29" t="s">
        <v>42</v>
      </c>
      <c r="F1098" s="29" t="s">
        <v>43</v>
      </c>
      <c r="G1098" t="e">
        <v>#N/A</v>
      </c>
    </row>
    <row r="1099" spans="1:7" ht="11.5" hidden="1" customHeight="1" x14ac:dyDescent="0.35">
      <c r="A1099" s="29" t="s">
        <v>1326</v>
      </c>
      <c r="B1099" s="29" t="s">
        <v>3090</v>
      </c>
      <c r="C1099" s="16">
        <v>0</v>
      </c>
      <c r="D1099" s="16">
        <v>0</v>
      </c>
      <c r="E1099" s="29" t="s">
        <v>42</v>
      </c>
      <c r="F1099" s="29" t="s">
        <v>43</v>
      </c>
      <c r="G1099" t="e">
        <v>#N/A</v>
      </c>
    </row>
    <row r="1100" spans="1:7" ht="11.5" hidden="1" customHeight="1" x14ac:dyDescent="0.35">
      <c r="A1100" s="29" t="s">
        <v>1327</v>
      </c>
      <c r="B1100" s="29" t="s">
        <v>3091</v>
      </c>
      <c r="C1100" s="16">
        <v>0</v>
      </c>
      <c r="D1100" s="16">
        <v>0</v>
      </c>
      <c r="E1100" s="29" t="s">
        <v>42</v>
      </c>
      <c r="F1100" s="29" t="s">
        <v>43</v>
      </c>
      <c r="G1100" t="e">
        <v>#N/A</v>
      </c>
    </row>
    <row r="1101" spans="1:7" ht="11.5" hidden="1" customHeight="1" x14ac:dyDescent="0.35">
      <c r="A1101" s="29" t="s">
        <v>1328</v>
      </c>
      <c r="B1101" s="29" t="s">
        <v>3092</v>
      </c>
      <c r="C1101" s="16">
        <v>0</v>
      </c>
      <c r="D1101" s="16">
        <v>0</v>
      </c>
      <c r="E1101" s="29" t="s">
        <v>42</v>
      </c>
      <c r="F1101" s="29" t="s">
        <v>43</v>
      </c>
      <c r="G1101" t="e">
        <v>#N/A</v>
      </c>
    </row>
    <row r="1102" spans="1:7" ht="11.5" hidden="1" customHeight="1" x14ac:dyDescent="0.35">
      <c r="A1102" s="29" t="s">
        <v>1329</v>
      </c>
      <c r="B1102" s="29" t="s">
        <v>3093</v>
      </c>
      <c r="C1102" s="16">
        <v>0</v>
      </c>
      <c r="D1102" s="16">
        <v>0</v>
      </c>
      <c r="E1102" s="29" t="s">
        <v>42</v>
      </c>
      <c r="F1102" s="29" t="s">
        <v>43</v>
      </c>
      <c r="G1102" t="e">
        <v>#N/A</v>
      </c>
    </row>
    <row r="1103" spans="1:7" ht="11.5" hidden="1" customHeight="1" x14ac:dyDescent="0.35">
      <c r="A1103" s="29" t="s">
        <v>1330</v>
      </c>
      <c r="B1103" s="29" t="s">
        <v>3094</v>
      </c>
      <c r="C1103" s="16">
        <v>0</v>
      </c>
      <c r="D1103" s="16">
        <v>0</v>
      </c>
      <c r="E1103" s="29" t="s">
        <v>42</v>
      </c>
      <c r="F1103" s="29" t="s">
        <v>43</v>
      </c>
      <c r="G1103" t="e">
        <v>#N/A</v>
      </c>
    </row>
    <row r="1104" spans="1:7" ht="11.5" hidden="1" customHeight="1" x14ac:dyDescent="0.35">
      <c r="A1104" s="29" t="s">
        <v>1331</v>
      </c>
      <c r="B1104" s="29" t="s">
        <v>3095</v>
      </c>
      <c r="C1104" s="16">
        <v>0</v>
      </c>
      <c r="D1104" s="16">
        <v>0</v>
      </c>
      <c r="E1104" s="29" t="s">
        <v>42</v>
      </c>
      <c r="F1104" s="29" t="s">
        <v>43</v>
      </c>
      <c r="G1104" t="e">
        <v>#N/A</v>
      </c>
    </row>
    <row r="1105" spans="1:7" ht="11.5" hidden="1" customHeight="1" x14ac:dyDescent="0.35">
      <c r="A1105" s="29" t="s">
        <v>1332</v>
      </c>
      <c r="B1105" s="29" t="s">
        <v>3096</v>
      </c>
      <c r="C1105" s="16">
        <v>0</v>
      </c>
      <c r="D1105" s="16">
        <v>0</v>
      </c>
      <c r="E1105" s="29" t="s">
        <v>42</v>
      </c>
      <c r="F1105" s="29" t="s">
        <v>43</v>
      </c>
      <c r="G1105" t="e">
        <v>#N/A</v>
      </c>
    </row>
    <row r="1106" spans="1:7" ht="11.5" hidden="1" customHeight="1" x14ac:dyDescent="0.35">
      <c r="A1106" s="29" t="s">
        <v>1333</v>
      </c>
      <c r="B1106" s="29" t="s">
        <v>3097</v>
      </c>
      <c r="C1106" s="16">
        <v>0</v>
      </c>
      <c r="D1106" s="16">
        <v>0</v>
      </c>
      <c r="E1106" s="29" t="s">
        <v>42</v>
      </c>
      <c r="F1106" s="29" t="s">
        <v>43</v>
      </c>
      <c r="G1106" t="e">
        <v>#N/A</v>
      </c>
    </row>
    <row r="1107" spans="1:7" ht="11.5" hidden="1" customHeight="1" x14ac:dyDescent="0.35">
      <c r="A1107" s="29" t="s">
        <v>1334</v>
      </c>
      <c r="B1107" s="29" t="s">
        <v>3098</v>
      </c>
      <c r="C1107" s="16">
        <v>0</v>
      </c>
      <c r="D1107" s="16">
        <v>0</v>
      </c>
      <c r="E1107" s="29" t="s">
        <v>42</v>
      </c>
      <c r="F1107" s="29" t="s">
        <v>43</v>
      </c>
      <c r="G1107" t="e">
        <v>#N/A</v>
      </c>
    </row>
    <row r="1108" spans="1:7" ht="11.5" hidden="1" customHeight="1" x14ac:dyDescent="0.35">
      <c r="A1108" s="29" t="s">
        <v>1335</v>
      </c>
      <c r="B1108" s="29" t="s">
        <v>3099</v>
      </c>
      <c r="C1108" s="16">
        <v>0</v>
      </c>
      <c r="D1108" s="16">
        <v>0</v>
      </c>
      <c r="E1108" s="29" t="s">
        <v>42</v>
      </c>
      <c r="F1108" s="29" t="s">
        <v>43</v>
      </c>
      <c r="G1108" t="e">
        <v>#N/A</v>
      </c>
    </row>
    <row r="1109" spans="1:7" ht="11.5" hidden="1" customHeight="1" x14ac:dyDescent="0.35">
      <c r="A1109" s="29" t="s">
        <v>1336</v>
      </c>
      <c r="B1109" s="29" t="s">
        <v>3100</v>
      </c>
      <c r="C1109" s="16">
        <v>0</v>
      </c>
      <c r="D1109" s="16">
        <v>0</v>
      </c>
      <c r="E1109" s="29" t="s">
        <v>42</v>
      </c>
      <c r="F1109" s="29" t="s">
        <v>43</v>
      </c>
      <c r="G1109" t="e">
        <v>#N/A</v>
      </c>
    </row>
    <row r="1110" spans="1:7" ht="11.5" hidden="1" customHeight="1" x14ac:dyDescent="0.35">
      <c r="A1110" s="29" t="s">
        <v>1337</v>
      </c>
      <c r="B1110" s="29" t="s">
        <v>3101</v>
      </c>
      <c r="C1110" s="16">
        <v>0</v>
      </c>
      <c r="D1110" s="16">
        <v>0</v>
      </c>
      <c r="E1110" s="29" t="s">
        <v>42</v>
      </c>
      <c r="F1110" s="29" t="s">
        <v>43</v>
      </c>
      <c r="G1110" t="e">
        <v>#N/A</v>
      </c>
    </row>
    <row r="1111" spans="1:7" ht="11.5" hidden="1" customHeight="1" x14ac:dyDescent="0.35">
      <c r="A1111" s="29" t="s">
        <v>1338</v>
      </c>
      <c r="B1111" s="29" t="s">
        <v>3102</v>
      </c>
      <c r="C1111" s="16">
        <v>0</v>
      </c>
      <c r="D1111" s="16">
        <v>0</v>
      </c>
      <c r="E1111" s="29" t="s">
        <v>42</v>
      </c>
      <c r="F1111" s="29" t="s">
        <v>43</v>
      </c>
      <c r="G1111" t="e">
        <v>#N/A</v>
      </c>
    </row>
    <row r="1112" spans="1:7" ht="11.5" hidden="1" customHeight="1" x14ac:dyDescent="0.35">
      <c r="A1112" s="29" t="s">
        <v>1339</v>
      </c>
      <c r="B1112" s="29" t="s">
        <v>3103</v>
      </c>
      <c r="C1112" s="16">
        <v>0</v>
      </c>
      <c r="D1112" s="16">
        <v>0</v>
      </c>
      <c r="E1112" s="29" t="s">
        <v>42</v>
      </c>
      <c r="F1112" s="29" t="s">
        <v>43</v>
      </c>
      <c r="G1112" t="e">
        <v>#N/A</v>
      </c>
    </row>
    <row r="1113" spans="1:7" ht="11.5" hidden="1" customHeight="1" x14ac:dyDescent="0.35">
      <c r="A1113" s="29" t="s">
        <v>1340</v>
      </c>
      <c r="B1113" s="29" t="s">
        <v>3104</v>
      </c>
      <c r="C1113" s="16">
        <v>0</v>
      </c>
      <c r="D1113" s="16">
        <v>0</v>
      </c>
      <c r="E1113" s="29" t="s">
        <v>42</v>
      </c>
      <c r="F1113" s="29" t="s">
        <v>43</v>
      </c>
      <c r="G1113" t="e">
        <v>#N/A</v>
      </c>
    </row>
    <row r="1114" spans="1:7" ht="11.5" hidden="1" customHeight="1" x14ac:dyDescent="0.35">
      <c r="A1114" s="29" t="s">
        <v>1341</v>
      </c>
      <c r="B1114" s="29" t="s">
        <v>3105</v>
      </c>
      <c r="C1114" s="16">
        <v>0</v>
      </c>
      <c r="D1114" s="16">
        <v>0</v>
      </c>
      <c r="E1114" s="29" t="s">
        <v>42</v>
      </c>
      <c r="F1114" s="29" t="s">
        <v>43</v>
      </c>
      <c r="G1114" t="e">
        <v>#N/A</v>
      </c>
    </row>
    <row r="1115" spans="1:7" ht="11.5" hidden="1" customHeight="1" x14ac:dyDescent="0.35">
      <c r="A1115" s="29" t="s">
        <v>1342</v>
      </c>
      <c r="B1115" s="29" t="s">
        <v>3106</v>
      </c>
      <c r="C1115" s="16">
        <v>0</v>
      </c>
      <c r="D1115" s="16">
        <v>0</v>
      </c>
      <c r="E1115" s="29" t="s">
        <v>42</v>
      </c>
      <c r="F1115" s="29" t="s">
        <v>43</v>
      </c>
      <c r="G1115" t="e">
        <v>#N/A</v>
      </c>
    </row>
    <row r="1116" spans="1:7" ht="11.5" hidden="1" customHeight="1" x14ac:dyDescent="0.35">
      <c r="A1116" s="29" t="s">
        <v>1343</v>
      </c>
      <c r="B1116" s="29" t="s">
        <v>3107</v>
      </c>
      <c r="C1116" s="16">
        <v>0</v>
      </c>
      <c r="D1116" s="16">
        <v>0</v>
      </c>
      <c r="E1116" s="29" t="s">
        <v>42</v>
      </c>
      <c r="F1116" s="29" t="s">
        <v>43</v>
      </c>
      <c r="G1116" t="e">
        <v>#N/A</v>
      </c>
    </row>
    <row r="1117" spans="1:7" ht="11.5" hidden="1" customHeight="1" x14ac:dyDescent="0.35">
      <c r="A1117" s="29" t="s">
        <v>1344</v>
      </c>
      <c r="B1117" s="29" t="s">
        <v>3108</v>
      </c>
      <c r="C1117" s="16">
        <v>0</v>
      </c>
      <c r="D1117" s="16">
        <v>0</v>
      </c>
      <c r="E1117" s="29" t="s">
        <v>42</v>
      </c>
      <c r="F1117" s="29" t="s">
        <v>43</v>
      </c>
      <c r="G1117" t="e">
        <v>#N/A</v>
      </c>
    </row>
    <row r="1118" spans="1:7" ht="11.5" hidden="1" customHeight="1" x14ac:dyDescent="0.35">
      <c r="A1118" s="29" t="s">
        <v>1345</v>
      </c>
      <c r="B1118" s="29" t="s">
        <v>3109</v>
      </c>
      <c r="C1118" s="16">
        <v>0</v>
      </c>
      <c r="D1118" s="16">
        <v>0</v>
      </c>
      <c r="E1118" s="29" t="s">
        <v>42</v>
      </c>
      <c r="F1118" s="29" t="s">
        <v>43</v>
      </c>
      <c r="G1118" t="e">
        <v>#N/A</v>
      </c>
    </row>
    <row r="1119" spans="1:7" ht="11.5" hidden="1" customHeight="1" x14ac:dyDescent="0.35">
      <c r="A1119" s="29" t="s">
        <v>1346</v>
      </c>
      <c r="B1119" s="29" t="s">
        <v>3110</v>
      </c>
      <c r="C1119" s="16">
        <v>0</v>
      </c>
      <c r="D1119" s="16">
        <v>0</v>
      </c>
      <c r="E1119" s="29" t="s">
        <v>42</v>
      </c>
      <c r="F1119" s="29" t="s">
        <v>43</v>
      </c>
      <c r="G1119" t="e">
        <v>#N/A</v>
      </c>
    </row>
    <row r="1120" spans="1:7" ht="11.5" hidden="1" customHeight="1" x14ac:dyDescent="0.35">
      <c r="A1120" s="29" t="s">
        <v>1347</v>
      </c>
      <c r="B1120" s="29" t="s">
        <v>3111</v>
      </c>
      <c r="C1120" s="16">
        <v>0</v>
      </c>
      <c r="D1120" s="16">
        <v>0</v>
      </c>
      <c r="E1120" s="29" t="s">
        <v>42</v>
      </c>
      <c r="F1120" s="29" t="s">
        <v>43</v>
      </c>
      <c r="G1120" t="e">
        <v>#N/A</v>
      </c>
    </row>
    <row r="1121" spans="1:7" ht="11.5" hidden="1" customHeight="1" x14ac:dyDescent="0.35">
      <c r="A1121" s="29" t="s">
        <v>1348</v>
      </c>
      <c r="B1121" s="29" t="s">
        <v>3112</v>
      </c>
      <c r="C1121" s="16">
        <v>0</v>
      </c>
      <c r="D1121" s="16">
        <v>0</v>
      </c>
      <c r="E1121" s="29" t="s">
        <v>42</v>
      </c>
      <c r="F1121" s="29" t="s">
        <v>43</v>
      </c>
      <c r="G1121" t="e">
        <v>#N/A</v>
      </c>
    </row>
    <row r="1122" spans="1:7" ht="11.5" hidden="1" customHeight="1" x14ac:dyDescent="0.35">
      <c r="A1122" s="29" t="s">
        <v>1349</v>
      </c>
      <c r="B1122" s="29" t="s">
        <v>3113</v>
      </c>
      <c r="C1122" s="16">
        <v>0</v>
      </c>
      <c r="D1122" s="16">
        <v>0</v>
      </c>
      <c r="E1122" s="29" t="s">
        <v>42</v>
      </c>
      <c r="F1122" s="29" t="s">
        <v>43</v>
      </c>
      <c r="G1122" t="e">
        <v>#N/A</v>
      </c>
    </row>
    <row r="1123" spans="1:7" ht="11.5" hidden="1" customHeight="1" x14ac:dyDescent="0.35">
      <c r="A1123" s="29" t="s">
        <v>1350</v>
      </c>
      <c r="B1123" s="29" t="s">
        <v>3114</v>
      </c>
      <c r="C1123" s="16">
        <v>0</v>
      </c>
      <c r="D1123" s="16">
        <v>0</v>
      </c>
      <c r="E1123" s="29" t="s">
        <v>42</v>
      </c>
      <c r="F1123" s="29" t="s">
        <v>43</v>
      </c>
      <c r="G1123" t="e">
        <v>#N/A</v>
      </c>
    </row>
    <row r="1124" spans="1:7" ht="11.5" hidden="1" customHeight="1" x14ac:dyDescent="0.35">
      <c r="A1124" s="29" t="s">
        <v>1351</v>
      </c>
      <c r="B1124" s="29" t="s">
        <v>3115</v>
      </c>
      <c r="C1124" s="16">
        <v>0</v>
      </c>
      <c r="D1124" s="16">
        <v>0</v>
      </c>
      <c r="E1124" s="29" t="s">
        <v>42</v>
      </c>
      <c r="F1124" s="29" t="s">
        <v>43</v>
      </c>
      <c r="G1124" t="e">
        <v>#N/A</v>
      </c>
    </row>
    <row r="1125" spans="1:7" ht="11.5" hidden="1" customHeight="1" x14ac:dyDescent="0.35">
      <c r="A1125" s="29" t="s">
        <v>1352</v>
      </c>
      <c r="B1125" s="29" t="s">
        <v>3116</v>
      </c>
      <c r="C1125" s="16">
        <v>0</v>
      </c>
      <c r="D1125" s="16">
        <v>0</v>
      </c>
      <c r="E1125" s="29" t="s">
        <v>42</v>
      </c>
      <c r="F1125" s="29" t="s">
        <v>43</v>
      </c>
      <c r="G1125" t="s">
        <v>3886</v>
      </c>
    </row>
    <row r="1126" spans="1:7" ht="11.5" hidden="1" customHeight="1" x14ac:dyDescent="0.35">
      <c r="A1126" s="29" t="s">
        <v>1353</v>
      </c>
      <c r="B1126" s="29" t="s">
        <v>3117</v>
      </c>
      <c r="C1126" s="16">
        <v>0</v>
      </c>
      <c r="D1126" s="16">
        <v>0</v>
      </c>
      <c r="E1126" s="29" t="s">
        <v>42</v>
      </c>
      <c r="F1126" s="29" t="s">
        <v>43</v>
      </c>
      <c r="G1126" t="e">
        <v>#N/A</v>
      </c>
    </row>
    <row r="1127" spans="1:7" ht="11.5" hidden="1" customHeight="1" x14ac:dyDescent="0.35">
      <c r="A1127" s="29" t="s">
        <v>1354</v>
      </c>
      <c r="B1127" s="29" t="s">
        <v>3118</v>
      </c>
      <c r="C1127" s="16">
        <v>0</v>
      </c>
      <c r="D1127" s="16">
        <v>0</v>
      </c>
      <c r="E1127" s="29" t="s">
        <v>42</v>
      </c>
      <c r="F1127" s="29" t="s">
        <v>43</v>
      </c>
      <c r="G1127" t="e">
        <v>#N/A</v>
      </c>
    </row>
    <row r="1128" spans="1:7" ht="11.5" hidden="1" customHeight="1" x14ac:dyDescent="0.35">
      <c r="A1128" s="29" t="s">
        <v>1355</v>
      </c>
      <c r="B1128" s="29" t="s">
        <v>3119</v>
      </c>
      <c r="C1128" s="16">
        <v>0</v>
      </c>
      <c r="D1128" s="16">
        <v>0</v>
      </c>
      <c r="E1128" s="29" t="s">
        <v>42</v>
      </c>
      <c r="F1128" s="29" t="s">
        <v>43</v>
      </c>
      <c r="G1128" t="e">
        <v>#N/A</v>
      </c>
    </row>
    <row r="1129" spans="1:7" ht="11.5" hidden="1" customHeight="1" x14ac:dyDescent="0.35">
      <c r="A1129" s="29" t="s">
        <v>1356</v>
      </c>
      <c r="B1129" s="29" t="s">
        <v>3120</v>
      </c>
      <c r="C1129" s="16">
        <v>0</v>
      </c>
      <c r="D1129" s="16">
        <v>0</v>
      </c>
      <c r="E1129" s="29" t="s">
        <v>42</v>
      </c>
      <c r="F1129" s="29" t="s">
        <v>43</v>
      </c>
      <c r="G1129" t="e">
        <v>#N/A</v>
      </c>
    </row>
    <row r="1130" spans="1:7" ht="11.5" hidden="1" customHeight="1" x14ac:dyDescent="0.35">
      <c r="A1130" s="29" t="s">
        <v>1357</v>
      </c>
      <c r="B1130" s="29" t="s">
        <v>3121</v>
      </c>
      <c r="C1130" s="16">
        <v>0</v>
      </c>
      <c r="D1130" s="16">
        <v>0</v>
      </c>
      <c r="E1130" s="29" t="s">
        <v>42</v>
      </c>
      <c r="F1130" s="29" t="s">
        <v>43</v>
      </c>
      <c r="G1130" t="s">
        <v>3909</v>
      </c>
    </row>
    <row r="1131" spans="1:7" ht="11.5" hidden="1" customHeight="1" x14ac:dyDescent="0.35">
      <c r="A1131" s="29" t="s">
        <v>1358</v>
      </c>
      <c r="B1131" s="29" t="s">
        <v>3122</v>
      </c>
      <c r="C1131" s="16">
        <v>0</v>
      </c>
      <c r="D1131" s="16">
        <v>0</v>
      </c>
      <c r="E1131" s="29" t="s">
        <v>42</v>
      </c>
      <c r="F1131" s="29" t="s">
        <v>43</v>
      </c>
      <c r="G1131" t="e">
        <v>#N/A</v>
      </c>
    </row>
    <row r="1132" spans="1:7" ht="11.5" hidden="1" customHeight="1" x14ac:dyDescent="0.35">
      <c r="A1132" s="29" t="s">
        <v>1359</v>
      </c>
      <c r="B1132" s="29" t="s">
        <v>3123</v>
      </c>
      <c r="C1132" s="16">
        <v>0</v>
      </c>
      <c r="D1132" s="16">
        <v>0</v>
      </c>
      <c r="E1132" s="29" t="s">
        <v>42</v>
      </c>
      <c r="F1132" s="29" t="s">
        <v>43</v>
      </c>
      <c r="G1132" t="e">
        <v>#N/A</v>
      </c>
    </row>
    <row r="1133" spans="1:7" ht="11.5" hidden="1" customHeight="1" x14ac:dyDescent="0.35">
      <c r="A1133" s="29" t="s">
        <v>1360</v>
      </c>
      <c r="B1133" s="29" t="s">
        <v>3124</v>
      </c>
      <c r="C1133" s="16">
        <v>0</v>
      </c>
      <c r="D1133" s="16">
        <v>0</v>
      </c>
      <c r="E1133" s="29" t="s">
        <v>42</v>
      </c>
      <c r="F1133" s="29" t="s">
        <v>43</v>
      </c>
      <c r="G1133" t="e">
        <v>#N/A</v>
      </c>
    </row>
    <row r="1134" spans="1:7" ht="11.5" hidden="1" customHeight="1" x14ac:dyDescent="0.35">
      <c r="A1134" s="29" t="s">
        <v>1361</v>
      </c>
      <c r="B1134" s="29" t="s">
        <v>3125</v>
      </c>
      <c r="C1134" s="16">
        <v>0</v>
      </c>
      <c r="D1134" s="16">
        <v>0</v>
      </c>
      <c r="E1134" s="29" t="s">
        <v>42</v>
      </c>
      <c r="F1134" s="29" t="s">
        <v>43</v>
      </c>
      <c r="G1134" t="e">
        <v>#N/A</v>
      </c>
    </row>
    <row r="1135" spans="1:7" ht="11.5" hidden="1" customHeight="1" x14ac:dyDescent="0.35">
      <c r="A1135" s="29" t="s">
        <v>1362</v>
      </c>
      <c r="B1135" s="29" t="s">
        <v>3126</v>
      </c>
      <c r="C1135" s="16">
        <v>0</v>
      </c>
      <c r="D1135" s="16">
        <v>0</v>
      </c>
      <c r="E1135" s="29" t="s">
        <v>42</v>
      </c>
      <c r="F1135" s="29" t="s">
        <v>43</v>
      </c>
      <c r="G1135" t="e">
        <v>#N/A</v>
      </c>
    </row>
    <row r="1136" spans="1:7" ht="11.5" hidden="1" customHeight="1" x14ac:dyDescent="0.35">
      <c r="A1136" s="29" t="s">
        <v>1363</v>
      </c>
      <c r="B1136" s="29" t="s">
        <v>3127</v>
      </c>
      <c r="C1136" s="16">
        <v>0</v>
      </c>
      <c r="D1136" s="16">
        <v>0</v>
      </c>
      <c r="E1136" s="29" t="s">
        <v>42</v>
      </c>
      <c r="F1136" s="29" t="s">
        <v>43</v>
      </c>
      <c r="G1136" t="e">
        <v>#N/A</v>
      </c>
    </row>
    <row r="1137" spans="1:7" ht="11.5" hidden="1" customHeight="1" x14ac:dyDescent="0.35">
      <c r="A1137" s="29" t="s">
        <v>1364</v>
      </c>
      <c r="B1137" s="29" t="s">
        <v>3128</v>
      </c>
      <c r="C1137" s="16">
        <v>0</v>
      </c>
      <c r="D1137" s="16">
        <v>0</v>
      </c>
      <c r="E1137" s="29" t="s">
        <v>42</v>
      </c>
      <c r="F1137" s="29" t="s">
        <v>43</v>
      </c>
      <c r="G1137" t="e">
        <v>#N/A</v>
      </c>
    </row>
    <row r="1138" spans="1:7" ht="11.5" hidden="1" customHeight="1" x14ac:dyDescent="0.35">
      <c r="A1138" s="29" t="s">
        <v>1365</v>
      </c>
      <c r="B1138" s="29" t="s">
        <v>3129</v>
      </c>
      <c r="C1138" s="16">
        <v>0</v>
      </c>
      <c r="D1138" s="16">
        <v>0</v>
      </c>
      <c r="E1138" s="29" t="s">
        <v>42</v>
      </c>
      <c r="F1138" s="29" t="s">
        <v>43</v>
      </c>
      <c r="G1138" t="e">
        <v>#N/A</v>
      </c>
    </row>
    <row r="1139" spans="1:7" ht="11.5" hidden="1" customHeight="1" x14ac:dyDescent="0.35">
      <c r="A1139" s="29" t="s">
        <v>1366</v>
      </c>
      <c r="B1139" s="29" t="s">
        <v>3130</v>
      </c>
      <c r="C1139" s="16">
        <v>0</v>
      </c>
      <c r="D1139" s="16">
        <v>0</v>
      </c>
      <c r="E1139" s="29" t="s">
        <v>42</v>
      </c>
      <c r="F1139" s="29" t="s">
        <v>43</v>
      </c>
      <c r="G1139" t="e">
        <v>#N/A</v>
      </c>
    </row>
    <row r="1140" spans="1:7" ht="11.5" hidden="1" customHeight="1" x14ac:dyDescent="0.35">
      <c r="A1140" s="29" t="s">
        <v>1367</v>
      </c>
      <c r="B1140" s="29" t="s">
        <v>3130</v>
      </c>
      <c r="C1140" s="16">
        <v>0</v>
      </c>
      <c r="D1140" s="16">
        <v>0</v>
      </c>
      <c r="E1140" s="29" t="s">
        <v>42</v>
      </c>
      <c r="F1140" s="29" t="s">
        <v>43</v>
      </c>
      <c r="G1140" t="e">
        <v>#N/A</v>
      </c>
    </row>
    <row r="1141" spans="1:7" ht="11.5" hidden="1" customHeight="1" x14ac:dyDescent="0.35">
      <c r="A1141" s="29" t="s">
        <v>1368</v>
      </c>
      <c r="B1141" s="29" t="s">
        <v>3131</v>
      </c>
      <c r="C1141" s="16">
        <v>0</v>
      </c>
      <c r="D1141" s="16">
        <v>0</v>
      </c>
      <c r="E1141" s="29" t="s">
        <v>42</v>
      </c>
      <c r="F1141" s="29" t="s">
        <v>43</v>
      </c>
      <c r="G1141" t="e">
        <v>#N/A</v>
      </c>
    </row>
    <row r="1142" spans="1:7" ht="11.5" hidden="1" customHeight="1" x14ac:dyDescent="0.35">
      <c r="A1142" s="29" t="s">
        <v>1369</v>
      </c>
      <c r="B1142" s="29" t="s">
        <v>3132</v>
      </c>
      <c r="C1142" s="16">
        <v>0</v>
      </c>
      <c r="D1142" s="16">
        <v>0</v>
      </c>
      <c r="E1142" s="29" t="s">
        <v>42</v>
      </c>
      <c r="F1142" s="29" t="s">
        <v>43</v>
      </c>
      <c r="G1142" t="e">
        <v>#N/A</v>
      </c>
    </row>
    <row r="1143" spans="1:7" ht="11.5" hidden="1" customHeight="1" x14ac:dyDescent="0.35">
      <c r="A1143" s="29" t="s">
        <v>1370</v>
      </c>
      <c r="B1143" s="29" t="s">
        <v>3133</v>
      </c>
      <c r="C1143" s="16">
        <v>0</v>
      </c>
      <c r="D1143" s="16">
        <v>0</v>
      </c>
      <c r="E1143" s="29" t="s">
        <v>42</v>
      </c>
      <c r="F1143" s="29" t="s">
        <v>43</v>
      </c>
      <c r="G1143" t="e">
        <v>#N/A</v>
      </c>
    </row>
    <row r="1144" spans="1:7" ht="11.5" hidden="1" customHeight="1" x14ac:dyDescent="0.35">
      <c r="A1144" s="29" t="s">
        <v>1371</v>
      </c>
      <c r="B1144" s="29" t="s">
        <v>3134</v>
      </c>
      <c r="C1144" s="16">
        <v>0</v>
      </c>
      <c r="D1144" s="16">
        <v>0</v>
      </c>
      <c r="E1144" s="29" t="s">
        <v>42</v>
      </c>
      <c r="F1144" s="29" t="s">
        <v>43</v>
      </c>
      <c r="G1144" t="e">
        <v>#N/A</v>
      </c>
    </row>
    <row r="1145" spans="1:7" ht="11.5" hidden="1" customHeight="1" x14ac:dyDescent="0.35">
      <c r="A1145" s="29" t="s">
        <v>1372</v>
      </c>
      <c r="B1145" s="29" t="s">
        <v>3135</v>
      </c>
      <c r="C1145" s="16">
        <v>0</v>
      </c>
      <c r="D1145" s="16">
        <v>0</v>
      </c>
      <c r="E1145" s="29" t="s">
        <v>42</v>
      </c>
      <c r="F1145" s="29" t="s">
        <v>43</v>
      </c>
      <c r="G1145" t="e">
        <v>#N/A</v>
      </c>
    </row>
    <row r="1146" spans="1:7" ht="11.5" hidden="1" customHeight="1" x14ac:dyDescent="0.35">
      <c r="A1146" s="29" t="s">
        <v>1373</v>
      </c>
      <c r="B1146" s="29" t="s">
        <v>3136</v>
      </c>
      <c r="C1146" s="16">
        <v>0</v>
      </c>
      <c r="D1146" s="16">
        <v>0</v>
      </c>
      <c r="E1146" s="29" t="s">
        <v>42</v>
      </c>
      <c r="F1146" s="29" t="s">
        <v>43</v>
      </c>
      <c r="G1146" t="e">
        <v>#N/A</v>
      </c>
    </row>
    <row r="1147" spans="1:7" ht="11.5" hidden="1" customHeight="1" x14ac:dyDescent="0.35">
      <c r="A1147" s="29" t="s">
        <v>1374</v>
      </c>
      <c r="B1147" s="29" t="s">
        <v>3137</v>
      </c>
      <c r="C1147" s="16">
        <v>0</v>
      </c>
      <c r="D1147" s="16">
        <v>0</v>
      </c>
      <c r="E1147" s="29" t="s">
        <v>42</v>
      </c>
      <c r="F1147" s="29" t="s">
        <v>43</v>
      </c>
      <c r="G1147" t="e">
        <v>#N/A</v>
      </c>
    </row>
    <row r="1148" spans="1:7" ht="11.5" hidden="1" customHeight="1" x14ac:dyDescent="0.35">
      <c r="A1148" s="29" t="s">
        <v>1375</v>
      </c>
      <c r="B1148" s="29" t="s">
        <v>3138</v>
      </c>
      <c r="C1148" s="16">
        <v>0</v>
      </c>
      <c r="D1148" s="16">
        <v>0</v>
      </c>
      <c r="E1148" s="29" t="s">
        <v>42</v>
      </c>
      <c r="F1148" s="29" t="s">
        <v>43</v>
      </c>
      <c r="G1148" t="e">
        <v>#N/A</v>
      </c>
    </row>
    <row r="1149" spans="1:7" ht="11.5" hidden="1" customHeight="1" x14ac:dyDescent="0.35">
      <c r="A1149" s="29" t="s">
        <v>1376</v>
      </c>
      <c r="B1149" s="29" t="s">
        <v>3139</v>
      </c>
      <c r="C1149" s="16">
        <v>0</v>
      </c>
      <c r="D1149" s="16">
        <v>0</v>
      </c>
      <c r="E1149" s="29" t="s">
        <v>42</v>
      </c>
      <c r="F1149" s="29" t="s">
        <v>43</v>
      </c>
      <c r="G1149" t="e">
        <v>#N/A</v>
      </c>
    </row>
    <row r="1150" spans="1:7" ht="11.5" hidden="1" customHeight="1" x14ac:dyDescent="0.35">
      <c r="A1150" s="29" t="s">
        <v>1377</v>
      </c>
      <c r="B1150" s="29" t="s">
        <v>3140</v>
      </c>
      <c r="C1150" s="16">
        <v>0</v>
      </c>
      <c r="D1150" s="16">
        <v>0</v>
      </c>
      <c r="E1150" s="29" t="s">
        <v>42</v>
      </c>
      <c r="F1150" s="29" t="s">
        <v>43</v>
      </c>
      <c r="G1150" t="e">
        <v>#N/A</v>
      </c>
    </row>
    <row r="1151" spans="1:7" ht="11.5" hidden="1" customHeight="1" x14ac:dyDescent="0.35">
      <c r="A1151" s="29" t="s">
        <v>1378</v>
      </c>
      <c r="B1151" s="29" t="s">
        <v>3141</v>
      </c>
      <c r="C1151" s="16">
        <v>0</v>
      </c>
      <c r="D1151" s="16">
        <v>0</v>
      </c>
      <c r="E1151" s="29" t="s">
        <v>42</v>
      </c>
      <c r="F1151" s="29" t="s">
        <v>43</v>
      </c>
      <c r="G1151" t="e">
        <v>#N/A</v>
      </c>
    </row>
    <row r="1152" spans="1:7" ht="11.5" hidden="1" customHeight="1" x14ac:dyDescent="0.35">
      <c r="A1152" s="29" t="s">
        <v>1379</v>
      </c>
      <c r="B1152" s="29" t="s">
        <v>3142</v>
      </c>
      <c r="C1152" s="16">
        <v>0</v>
      </c>
      <c r="D1152" s="16">
        <v>0</v>
      </c>
      <c r="E1152" s="29" t="s">
        <v>42</v>
      </c>
      <c r="F1152" s="29" t="s">
        <v>43</v>
      </c>
      <c r="G1152" t="e">
        <v>#N/A</v>
      </c>
    </row>
    <row r="1153" spans="1:7" ht="11.5" hidden="1" customHeight="1" x14ac:dyDescent="0.35">
      <c r="A1153" s="29" t="s">
        <v>1380</v>
      </c>
      <c r="B1153" s="29" t="s">
        <v>3143</v>
      </c>
      <c r="C1153" s="16">
        <v>0</v>
      </c>
      <c r="D1153" s="16">
        <v>0</v>
      </c>
      <c r="E1153" s="29" t="s">
        <v>42</v>
      </c>
      <c r="F1153" s="29" t="s">
        <v>43</v>
      </c>
      <c r="G1153" t="e">
        <v>#N/A</v>
      </c>
    </row>
    <row r="1154" spans="1:7" ht="11.5" hidden="1" customHeight="1" x14ac:dyDescent="0.35">
      <c r="A1154" s="29" t="s">
        <v>1381</v>
      </c>
      <c r="B1154" s="29" t="s">
        <v>3144</v>
      </c>
      <c r="C1154" s="16">
        <v>0</v>
      </c>
      <c r="D1154" s="16">
        <v>0</v>
      </c>
      <c r="E1154" s="29" t="s">
        <v>42</v>
      </c>
      <c r="F1154" s="29" t="s">
        <v>43</v>
      </c>
      <c r="G1154" t="e">
        <v>#N/A</v>
      </c>
    </row>
    <row r="1155" spans="1:7" ht="11.5" hidden="1" customHeight="1" x14ac:dyDescent="0.35">
      <c r="A1155" s="29" t="s">
        <v>1382</v>
      </c>
      <c r="B1155" s="29" t="s">
        <v>3145</v>
      </c>
      <c r="C1155" s="16">
        <v>0</v>
      </c>
      <c r="D1155" s="16">
        <v>0</v>
      </c>
      <c r="E1155" s="29" t="s">
        <v>42</v>
      </c>
      <c r="F1155" s="29" t="s">
        <v>43</v>
      </c>
      <c r="G1155" t="e">
        <v>#N/A</v>
      </c>
    </row>
    <row r="1156" spans="1:7" ht="11.5" hidden="1" customHeight="1" x14ac:dyDescent="0.35">
      <c r="A1156" s="29" t="s">
        <v>1383</v>
      </c>
      <c r="B1156" s="29" t="s">
        <v>3146</v>
      </c>
      <c r="C1156" s="16">
        <v>0</v>
      </c>
      <c r="D1156" s="16">
        <v>0</v>
      </c>
      <c r="E1156" s="29" t="s">
        <v>42</v>
      </c>
      <c r="F1156" s="29" t="s">
        <v>43</v>
      </c>
      <c r="G1156" t="e">
        <v>#N/A</v>
      </c>
    </row>
    <row r="1157" spans="1:7" ht="11.5" hidden="1" customHeight="1" x14ac:dyDescent="0.35">
      <c r="A1157" s="29" t="s">
        <v>1384</v>
      </c>
      <c r="B1157" s="29" t="s">
        <v>3147</v>
      </c>
      <c r="C1157" s="16">
        <v>0</v>
      </c>
      <c r="D1157" s="16">
        <v>0</v>
      </c>
      <c r="E1157" s="29" t="s">
        <v>42</v>
      </c>
      <c r="F1157" s="29" t="s">
        <v>43</v>
      </c>
      <c r="G1157" t="s">
        <v>3886</v>
      </c>
    </row>
    <row r="1158" spans="1:7" ht="11.5" hidden="1" customHeight="1" x14ac:dyDescent="0.35">
      <c r="A1158" s="29" t="s">
        <v>1385</v>
      </c>
      <c r="B1158" s="29" t="s">
        <v>3148</v>
      </c>
      <c r="C1158" s="16">
        <v>0</v>
      </c>
      <c r="D1158" s="16">
        <v>0</v>
      </c>
      <c r="E1158" s="29" t="s">
        <v>42</v>
      </c>
      <c r="F1158" s="29" t="s">
        <v>43</v>
      </c>
      <c r="G1158" t="e">
        <v>#N/A</v>
      </c>
    </row>
    <row r="1159" spans="1:7" ht="11.5" hidden="1" customHeight="1" x14ac:dyDescent="0.35">
      <c r="A1159" s="29" t="s">
        <v>1386</v>
      </c>
      <c r="B1159" s="29" t="s">
        <v>3149</v>
      </c>
      <c r="C1159" s="16">
        <v>0</v>
      </c>
      <c r="D1159" s="16">
        <v>0</v>
      </c>
      <c r="E1159" s="29" t="s">
        <v>42</v>
      </c>
      <c r="F1159" s="29" t="s">
        <v>43</v>
      </c>
      <c r="G1159" t="e">
        <v>#N/A</v>
      </c>
    </row>
    <row r="1160" spans="1:7" ht="11.5" hidden="1" customHeight="1" x14ac:dyDescent="0.35">
      <c r="A1160" s="29" t="s">
        <v>1387</v>
      </c>
      <c r="B1160" s="29" t="s">
        <v>3150</v>
      </c>
      <c r="C1160" s="16">
        <v>0</v>
      </c>
      <c r="D1160" s="16">
        <v>0</v>
      </c>
      <c r="E1160" s="29" t="s">
        <v>42</v>
      </c>
      <c r="F1160" s="29" t="s">
        <v>43</v>
      </c>
      <c r="G1160" t="e">
        <v>#N/A</v>
      </c>
    </row>
    <row r="1161" spans="1:7" ht="11.5" hidden="1" customHeight="1" x14ac:dyDescent="0.35">
      <c r="A1161" s="29" t="s">
        <v>1388</v>
      </c>
      <c r="B1161" s="29" t="s">
        <v>3151</v>
      </c>
      <c r="C1161" s="16">
        <v>0</v>
      </c>
      <c r="D1161" s="16">
        <v>0</v>
      </c>
      <c r="E1161" s="29" t="s">
        <v>42</v>
      </c>
      <c r="F1161" s="29" t="s">
        <v>43</v>
      </c>
      <c r="G1161" t="e">
        <v>#N/A</v>
      </c>
    </row>
    <row r="1162" spans="1:7" ht="11.5" hidden="1" customHeight="1" x14ac:dyDescent="0.35">
      <c r="A1162" s="29" t="s">
        <v>1389</v>
      </c>
      <c r="B1162" s="29" t="s">
        <v>3152</v>
      </c>
      <c r="C1162" s="16">
        <v>0</v>
      </c>
      <c r="D1162" s="16">
        <v>0</v>
      </c>
      <c r="E1162" s="29" t="s">
        <v>42</v>
      </c>
      <c r="F1162" s="29" t="s">
        <v>43</v>
      </c>
      <c r="G1162" t="e">
        <v>#N/A</v>
      </c>
    </row>
    <row r="1163" spans="1:7" ht="11.5" hidden="1" customHeight="1" x14ac:dyDescent="0.35">
      <c r="A1163" s="29" t="s">
        <v>1390</v>
      </c>
      <c r="B1163" s="29" t="s">
        <v>3153</v>
      </c>
      <c r="C1163" s="16">
        <v>0</v>
      </c>
      <c r="D1163" s="16">
        <v>0</v>
      </c>
      <c r="E1163" s="29" t="s">
        <v>42</v>
      </c>
      <c r="F1163" s="29" t="s">
        <v>43</v>
      </c>
      <c r="G1163" t="e">
        <v>#N/A</v>
      </c>
    </row>
    <row r="1164" spans="1:7" ht="11.5" hidden="1" customHeight="1" x14ac:dyDescent="0.35">
      <c r="A1164" s="29" t="s">
        <v>1391</v>
      </c>
      <c r="B1164" s="29" t="s">
        <v>3154</v>
      </c>
      <c r="C1164" s="16">
        <v>0</v>
      </c>
      <c r="D1164" s="16">
        <v>0</v>
      </c>
      <c r="E1164" s="29" t="s">
        <v>42</v>
      </c>
      <c r="F1164" s="29" t="s">
        <v>43</v>
      </c>
      <c r="G1164" t="e">
        <v>#N/A</v>
      </c>
    </row>
    <row r="1165" spans="1:7" ht="11.5" hidden="1" customHeight="1" x14ac:dyDescent="0.35">
      <c r="A1165" s="29" t="s">
        <v>1392</v>
      </c>
      <c r="B1165" s="29" t="s">
        <v>3155</v>
      </c>
      <c r="C1165" s="16">
        <v>0</v>
      </c>
      <c r="D1165" s="16">
        <v>0</v>
      </c>
      <c r="E1165" s="29" t="s">
        <v>42</v>
      </c>
      <c r="F1165" s="29" t="s">
        <v>43</v>
      </c>
      <c r="G1165" t="e">
        <v>#N/A</v>
      </c>
    </row>
    <row r="1166" spans="1:7" ht="11.5" hidden="1" customHeight="1" x14ac:dyDescent="0.35">
      <c r="A1166" s="29" t="s">
        <v>1393</v>
      </c>
      <c r="B1166" s="29" t="s">
        <v>3156</v>
      </c>
      <c r="C1166" s="16">
        <v>0</v>
      </c>
      <c r="D1166" s="16">
        <v>0</v>
      </c>
      <c r="E1166" s="29" t="s">
        <v>42</v>
      </c>
      <c r="F1166" s="29" t="s">
        <v>43</v>
      </c>
      <c r="G1166" t="e">
        <v>#N/A</v>
      </c>
    </row>
    <row r="1167" spans="1:7" ht="11.5" hidden="1" customHeight="1" x14ac:dyDescent="0.35">
      <c r="A1167" s="29" t="s">
        <v>1394</v>
      </c>
      <c r="B1167" s="29" t="s">
        <v>3157</v>
      </c>
      <c r="C1167" s="16">
        <v>0</v>
      </c>
      <c r="D1167" s="16">
        <v>0</v>
      </c>
      <c r="E1167" s="29" t="s">
        <v>42</v>
      </c>
      <c r="F1167" s="29" t="s">
        <v>43</v>
      </c>
      <c r="G1167" t="e">
        <v>#N/A</v>
      </c>
    </row>
    <row r="1168" spans="1:7" ht="11.5" hidden="1" customHeight="1" x14ac:dyDescent="0.35">
      <c r="A1168" s="29" t="s">
        <v>1395</v>
      </c>
      <c r="B1168" s="29" t="s">
        <v>3158</v>
      </c>
      <c r="C1168" s="16">
        <v>0</v>
      </c>
      <c r="D1168" s="16">
        <v>0</v>
      </c>
      <c r="E1168" s="29" t="s">
        <v>42</v>
      </c>
      <c r="F1168" s="29" t="s">
        <v>43</v>
      </c>
      <c r="G1168" t="e">
        <v>#N/A</v>
      </c>
    </row>
    <row r="1169" spans="1:7" ht="11.5" hidden="1" customHeight="1" x14ac:dyDescent="0.35">
      <c r="A1169" s="29" t="s">
        <v>1396</v>
      </c>
      <c r="B1169" s="29" t="s">
        <v>3159</v>
      </c>
      <c r="C1169" s="16">
        <v>0</v>
      </c>
      <c r="D1169" s="16">
        <v>0</v>
      </c>
      <c r="E1169" s="29" t="s">
        <v>42</v>
      </c>
      <c r="F1169" s="29" t="s">
        <v>43</v>
      </c>
      <c r="G1169" t="e">
        <v>#N/A</v>
      </c>
    </row>
    <row r="1170" spans="1:7" ht="11.5" hidden="1" customHeight="1" x14ac:dyDescent="0.35">
      <c r="A1170" s="29" t="s">
        <v>1397</v>
      </c>
      <c r="B1170" s="29" t="s">
        <v>3160</v>
      </c>
      <c r="C1170" s="16">
        <v>0</v>
      </c>
      <c r="D1170" s="16">
        <v>0</v>
      </c>
      <c r="E1170" s="29" t="s">
        <v>42</v>
      </c>
      <c r="F1170" s="29" t="s">
        <v>43</v>
      </c>
      <c r="G1170" t="e">
        <v>#N/A</v>
      </c>
    </row>
    <row r="1171" spans="1:7" ht="11.5" hidden="1" customHeight="1" x14ac:dyDescent="0.35">
      <c r="A1171" s="29" t="s">
        <v>1398</v>
      </c>
      <c r="B1171" s="29" t="s">
        <v>3161</v>
      </c>
      <c r="C1171" s="16">
        <v>0</v>
      </c>
      <c r="D1171" s="16">
        <v>0</v>
      </c>
      <c r="E1171" s="29" t="s">
        <v>42</v>
      </c>
      <c r="F1171" s="29" t="s">
        <v>43</v>
      </c>
      <c r="G1171" t="e">
        <v>#N/A</v>
      </c>
    </row>
    <row r="1172" spans="1:7" ht="11.5" hidden="1" customHeight="1" x14ac:dyDescent="0.35">
      <c r="A1172" s="29" t="s">
        <v>1399</v>
      </c>
      <c r="B1172" s="29" t="s">
        <v>3162</v>
      </c>
      <c r="C1172" s="16">
        <v>0</v>
      </c>
      <c r="D1172" s="16">
        <v>0</v>
      </c>
      <c r="E1172" s="29" t="s">
        <v>42</v>
      </c>
      <c r="F1172" s="29" t="s">
        <v>43</v>
      </c>
      <c r="G1172" t="e">
        <v>#N/A</v>
      </c>
    </row>
    <row r="1173" spans="1:7" ht="11.5" hidden="1" customHeight="1" x14ac:dyDescent="0.35">
      <c r="A1173" s="29" t="s">
        <v>1400</v>
      </c>
      <c r="B1173" s="29" t="s">
        <v>3163</v>
      </c>
      <c r="C1173" s="16">
        <v>0</v>
      </c>
      <c r="D1173" s="16">
        <v>0</v>
      </c>
      <c r="E1173" s="29" t="s">
        <v>42</v>
      </c>
      <c r="F1173" s="29" t="s">
        <v>43</v>
      </c>
      <c r="G1173" t="e">
        <v>#N/A</v>
      </c>
    </row>
    <row r="1174" spans="1:7" ht="11.5" hidden="1" customHeight="1" x14ac:dyDescent="0.35">
      <c r="A1174" s="29" t="s">
        <v>1401</v>
      </c>
      <c r="B1174" s="29" t="s">
        <v>3164</v>
      </c>
      <c r="C1174" s="16">
        <v>0</v>
      </c>
      <c r="D1174" s="16">
        <v>0</v>
      </c>
      <c r="E1174" s="29" t="s">
        <v>42</v>
      </c>
      <c r="F1174" s="29" t="s">
        <v>43</v>
      </c>
      <c r="G1174" t="e">
        <v>#N/A</v>
      </c>
    </row>
    <row r="1175" spans="1:7" ht="11.5" hidden="1" customHeight="1" x14ac:dyDescent="0.35">
      <c r="A1175" s="29" t="s">
        <v>1402</v>
      </c>
      <c r="B1175" s="29" t="s">
        <v>3165</v>
      </c>
      <c r="C1175" s="16">
        <v>0</v>
      </c>
      <c r="D1175" s="16">
        <v>0</v>
      </c>
      <c r="E1175" s="29" t="s">
        <v>42</v>
      </c>
      <c r="F1175" s="29" t="s">
        <v>43</v>
      </c>
      <c r="G1175" t="e">
        <v>#N/A</v>
      </c>
    </row>
    <row r="1176" spans="1:7" ht="11.5" hidden="1" customHeight="1" x14ac:dyDescent="0.35">
      <c r="A1176" s="29" t="s">
        <v>1403</v>
      </c>
      <c r="B1176" s="29" t="s">
        <v>3166</v>
      </c>
      <c r="C1176" s="16">
        <v>0</v>
      </c>
      <c r="D1176" s="16">
        <v>0</v>
      </c>
      <c r="E1176" s="29" t="s">
        <v>42</v>
      </c>
      <c r="F1176" s="29" t="s">
        <v>43</v>
      </c>
      <c r="G1176" t="e">
        <v>#N/A</v>
      </c>
    </row>
    <row r="1177" spans="1:7" ht="11.5" hidden="1" customHeight="1" x14ac:dyDescent="0.35">
      <c r="A1177" s="29" t="s">
        <v>1404</v>
      </c>
      <c r="B1177" s="29" t="s">
        <v>3167</v>
      </c>
      <c r="C1177" s="16">
        <v>0</v>
      </c>
      <c r="D1177" s="16">
        <v>0</v>
      </c>
      <c r="E1177" s="29" t="s">
        <v>42</v>
      </c>
      <c r="F1177" s="29" t="s">
        <v>43</v>
      </c>
      <c r="G1177" t="e">
        <v>#N/A</v>
      </c>
    </row>
    <row r="1178" spans="1:7" ht="11.5" hidden="1" customHeight="1" x14ac:dyDescent="0.35">
      <c r="A1178" s="29" t="s">
        <v>1405</v>
      </c>
      <c r="B1178" s="29" t="s">
        <v>3168</v>
      </c>
      <c r="C1178" s="16">
        <v>0</v>
      </c>
      <c r="D1178" s="16">
        <v>0</v>
      </c>
      <c r="E1178" s="29" t="s">
        <v>42</v>
      </c>
      <c r="F1178" s="29" t="s">
        <v>43</v>
      </c>
      <c r="G1178" t="e">
        <v>#N/A</v>
      </c>
    </row>
    <row r="1179" spans="1:7" ht="11.5" hidden="1" customHeight="1" x14ac:dyDescent="0.35">
      <c r="A1179" s="29" t="s">
        <v>1406</v>
      </c>
      <c r="B1179" s="29" t="s">
        <v>3169</v>
      </c>
      <c r="C1179" s="16">
        <v>0</v>
      </c>
      <c r="D1179" s="16">
        <v>0</v>
      </c>
      <c r="E1179" s="29" t="s">
        <v>42</v>
      </c>
      <c r="F1179" s="29" t="s">
        <v>43</v>
      </c>
      <c r="G1179" t="e">
        <v>#N/A</v>
      </c>
    </row>
    <row r="1180" spans="1:7" ht="11.5" hidden="1" customHeight="1" x14ac:dyDescent="0.35">
      <c r="A1180" s="29" t="s">
        <v>1407</v>
      </c>
      <c r="B1180" s="29" t="s">
        <v>3170</v>
      </c>
      <c r="C1180" s="16">
        <v>0</v>
      </c>
      <c r="D1180" s="16">
        <v>0</v>
      </c>
      <c r="E1180" s="29" t="s">
        <v>42</v>
      </c>
      <c r="F1180" s="29" t="s">
        <v>43</v>
      </c>
      <c r="G1180" t="e">
        <v>#N/A</v>
      </c>
    </row>
    <row r="1181" spans="1:7" ht="11.5" hidden="1" customHeight="1" x14ac:dyDescent="0.35">
      <c r="A1181" s="29" t="s">
        <v>1408</v>
      </c>
      <c r="B1181" s="29" t="s">
        <v>3171</v>
      </c>
      <c r="C1181" s="16">
        <v>0</v>
      </c>
      <c r="D1181" s="16">
        <v>0</v>
      </c>
      <c r="E1181" s="29" t="s">
        <v>42</v>
      </c>
      <c r="F1181" s="29" t="s">
        <v>43</v>
      </c>
      <c r="G1181" t="e">
        <v>#N/A</v>
      </c>
    </row>
    <row r="1182" spans="1:7" ht="11.5" hidden="1" customHeight="1" x14ac:dyDescent="0.35">
      <c r="A1182" s="29" t="s">
        <v>1409</v>
      </c>
      <c r="B1182" s="29" t="s">
        <v>3172</v>
      </c>
      <c r="C1182" s="16">
        <v>0</v>
      </c>
      <c r="D1182" s="16">
        <v>0</v>
      </c>
      <c r="E1182" s="29" t="s">
        <v>42</v>
      </c>
      <c r="F1182" s="29" t="s">
        <v>43</v>
      </c>
      <c r="G1182" t="e">
        <v>#N/A</v>
      </c>
    </row>
    <row r="1183" spans="1:7" ht="11.5" hidden="1" customHeight="1" x14ac:dyDescent="0.35">
      <c r="A1183" s="29" t="s">
        <v>1410</v>
      </c>
      <c r="B1183" s="29" t="s">
        <v>3173</v>
      </c>
      <c r="C1183" s="16">
        <v>0</v>
      </c>
      <c r="D1183" s="16">
        <v>0</v>
      </c>
      <c r="E1183" s="29" t="s">
        <v>42</v>
      </c>
      <c r="F1183" s="29" t="s">
        <v>43</v>
      </c>
      <c r="G1183" t="e">
        <v>#N/A</v>
      </c>
    </row>
    <row r="1184" spans="1:7" ht="11.5" hidden="1" customHeight="1" x14ac:dyDescent="0.35">
      <c r="A1184" s="29" t="s">
        <v>1411</v>
      </c>
      <c r="B1184" s="29" t="s">
        <v>3174</v>
      </c>
      <c r="C1184" s="16">
        <v>0</v>
      </c>
      <c r="D1184" s="16">
        <v>0</v>
      </c>
      <c r="E1184" s="29" t="s">
        <v>42</v>
      </c>
      <c r="F1184" s="29" t="s">
        <v>43</v>
      </c>
      <c r="G1184" t="e">
        <v>#N/A</v>
      </c>
    </row>
    <row r="1185" spans="1:7" ht="11.5" hidden="1" customHeight="1" x14ac:dyDescent="0.35">
      <c r="A1185" s="29" t="s">
        <v>1412</v>
      </c>
      <c r="B1185" s="29" t="s">
        <v>3175</v>
      </c>
      <c r="C1185" s="16">
        <v>0</v>
      </c>
      <c r="D1185" s="16">
        <v>0</v>
      </c>
      <c r="E1185" s="29" t="s">
        <v>42</v>
      </c>
      <c r="F1185" s="29" t="s">
        <v>43</v>
      </c>
      <c r="G1185" t="e">
        <v>#N/A</v>
      </c>
    </row>
    <row r="1186" spans="1:7" ht="11.5" hidden="1" customHeight="1" x14ac:dyDescent="0.35">
      <c r="A1186" s="29" t="s">
        <v>1413</v>
      </c>
      <c r="B1186" s="29" t="s">
        <v>3176</v>
      </c>
      <c r="C1186" s="16">
        <v>0</v>
      </c>
      <c r="D1186" s="16">
        <v>0</v>
      </c>
      <c r="E1186" s="29" t="s">
        <v>42</v>
      </c>
      <c r="F1186" s="29" t="s">
        <v>43</v>
      </c>
      <c r="G1186" t="e">
        <v>#N/A</v>
      </c>
    </row>
    <row r="1187" spans="1:7" ht="11.5" hidden="1" customHeight="1" x14ac:dyDescent="0.35">
      <c r="A1187" s="29" t="s">
        <v>1414</v>
      </c>
      <c r="B1187" s="29" t="s">
        <v>3177</v>
      </c>
      <c r="C1187" s="16">
        <v>0</v>
      </c>
      <c r="D1187" s="16">
        <v>0</v>
      </c>
      <c r="E1187" s="29" t="s">
        <v>42</v>
      </c>
      <c r="F1187" s="29" t="s">
        <v>43</v>
      </c>
      <c r="G1187" t="e">
        <v>#N/A</v>
      </c>
    </row>
    <row r="1188" spans="1:7" ht="11.5" hidden="1" customHeight="1" x14ac:dyDescent="0.35">
      <c r="A1188" s="29" t="s">
        <v>1415</v>
      </c>
      <c r="B1188" s="29" t="s">
        <v>3178</v>
      </c>
      <c r="C1188" s="16">
        <v>0</v>
      </c>
      <c r="D1188" s="16">
        <v>0</v>
      </c>
      <c r="E1188" s="29" t="s">
        <v>42</v>
      </c>
      <c r="F1188" s="29" t="s">
        <v>43</v>
      </c>
      <c r="G1188" t="e">
        <v>#N/A</v>
      </c>
    </row>
    <row r="1189" spans="1:7" ht="11.5" hidden="1" customHeight="1" x14ac:dyDescent="0.35">
      <c r="A1189" s="29" t="s">
        <v>1416</v>
      </c>
      <c r="B1189" s="29" t="s">
        <v>3179</v>
      </c>
      <c r="C1189" s="16">
        <v>0</v>
      </c>
      <c r="D1189" s="16">
        <v>0</v>
      </c>
      <c r="E1189" s="29" t="s">
        <v>42</v>
      </c>
      <c r="F1189" s="29" t="s">
        <v>43</v>
      </c>
      <c r="G1189" t="e">
        <v>#N/A</v>
      </c>
    </row>
    <row r="1190" spans="1:7" ht="11.5" hidden="1" customHeight="1" x14ac:dyDescent="0.35">
      <c r="A1190" s="29" t="s">
        <v>1417</v>
      </c>
      <c r="B1190" s="29" t="s">
        <v>3180</v>
      </c>
      <c r="C1190" s="16">
        <v>0</v>
      </c>
      <c r="D1190" s="16">
        <v>0</v>
      </c>
      <c r="E1190" s="29" t="s">
        <v>42</v>
      </c>
      <c r="F1190" s="29" t="s">
        <v>43</v>
      </c>
      <c r="G1190" t="e">
        <v>#N/A</v>
      </c>
    </row>
    <row r="1191" spans="1:7" ht="11.5" hidden="1" customHeight="1" x14ac:dyDescent="0.35">
      <c r="A1191" s="29" t="s">
        <v>1418</v>
      </c>
      <c r="B1191" s="29" t="s">
        <v>3181</v>
      </c>
      <c r="C1191" s="16">
        <v>0</v>
      </c>
      <c r="D1191" s="16">
        <v>0</v>
      </c>
      <c r="E1191" s="29" t="s">
        <v>42</v>
      </c>
      <c r="F1191" s="29" t="s">
        <v>43</v>
      </c>
      <c r="G1191" t="e">
        <v>#N/A</v>
      </c>
    </row>
    <row r="1192" spans="1:7" ht="11.5" hidden="1" customHeight="1" x14ac:dyDescent="0.35">
      <c r="A1192" s="29" t="s">
        <v>1419</v>
      </c>
      <c r="B1192" s="29" t="s">
        <v>3182</v>
      </c>
      <c r="C1192" s="16">
        <v>0</v>
      </c>
      <c r="D1192" s="16">
        <v>0</v>
      </c>
      <c r="E1192" s="29" t="s">
        <v>42</v>
      </c>
      <c r="F1192" s="29" t="s">
        <v>43</v>
      </c>
      <c r="G1192" t="e">
        <v>#N/A</v>
      </c>
    </row>
    <row r="1193" spans="1:7" ht="11.5" hidden="1" customHeight="1" x14ac:dyDescent="0.35">
      <c r="A1193" s="29" t="s">
        <v>1420</v>
      </c>
      <c r="B1193" s="29" t="s">
        <v>3183</v>
      </c>
      <c r="C1193" s="16">
        <v>0</v>
      </c>
      <c r="D1193" s="16">
        <v>0</v>
      </c>
      <c r="E1193" s="29" t="s">
        <v>42</v>
      </c>
      <c r="F1193" s="29" t="s">
        <v>43</v>
      </c>
      <c r="G1193" t="e">
        <v>#N/A</v>
      </c>
    </row>
    <row r="1194" spans="1:7" ht="11.5" hidden="1" customHeight="1" x14ac:dyDescent="0.35">
      <c r="A1194" s="29" t="s">
        <v>1421</v>
      </c>
      <c r="B1194" s="29" t="s">
        <v>3184</v>
      </c>
      <c r="C1194" s="16">
        <v>0</v>
      </c>
      <c r="D1194" s="16">
        <v>0</v>
      </c>
      <c r="E1194" s="29" t="s">
        <v>42</v>
      </c>
      <c r="F1194" s="29" t="s">
        <v>43</v>
      </c>
      <c r="G1194" t="e">
        <v>#N/A</v>
      </c>
    </row>
    <row r="1195" spans="1:7" ht="11.5" hidden="1" customHeight="1" x14ac:dyDescent="0.35">
      <c r="A1195" s="29" t="s">
        <v>1422</v>
      </c>
      <c r="B1195" s="29" t="s">
        <v>3185</v>
      </c>
      <c r="C1195" s="16">
        <v>0</v>
      </c>
      <c r="D1195" s="16">
        <v>0</v>
      </c>
      <c r="E1195" s="29" t="s">
        <v>42</v>
      </c>
      <c r="F1195" s="29" t="s">
        <v>43</v>
      </c>
      <c r="G1195" t="e">
        <v>#N/A</v>
      </c>
    </row>
    <row r="1196" spans="1:7" ht="11.5" hidden="1" customHeight="1" x14ac:dyDescent="0.35">
      <c r="A1196" s="29" t="s">
        <v>1423</v>
      </c>
      <c r="B1196" s="29" t="s">
        <v>3186</v>
      </c>
      <c r="C1196" s="16">
        <v>0</v>
      </c>
      <c r="D1196" s="16">
        <v>0</v>
      </c>
      <c r="E1196" s="29" t="s">
        <v>42</v>
      </c>
      <c r="F1196" s="29" t="s">
        <v>43</v>
      </c>
      <c r="G1196" t="e">
        <v>#N/A</v>
      </c>
    </row>
    <row r="1197" spans="1:7" ht="11.5" hidden="1" customHeight="1" x14ac:dyDescent="0.35">
      <c r="A1197" s="29" t="s">
        <v>1424</v>
      </c>
      <c r="B1197" s="29" t="s">
        <v>3187</v>
      </c>
      <c r="C1197" s="16">
        <v>0</v>
      </c>
      <c r="D1197" s="16">
        <v>0</v>
      </c>
      <c r="E1197" s="29" t="s">
        <v>42</v>
      </c>
      <c r="F1197" s="29" t="s">
        <v>43</v>
      </c>
      <c r="G1197" t="s">
        <v>3945</v>
      </c>
    </row>
    <row r="1198" spans="1:7" ht="11.5" hidden="1" customHeight="1" x14ac:dyDescent="0.35">
      <c r="A1198" s="29" t="s">
        <v>1425</v>
      </c>
      <c r="B1198" s="29" t="s">
        <v>3188</v>
      </c>
      <c r="C1198" s="16">
        <v>0</v>
      </c>
      <c r="D1198" s="16">
        <v>0</v>
      </c>
      <c r="E1198" s="29" t="s">
        <v>42</v>
      </c>
      <c r="F1198" s="29" t="s">
        <v>43</v>
      </c>
      <c r="G1198" t="e">
        <v>#N/A</v>
      </c>
    </row>
    <row r="1199" spans="1:7" ht="11.5" hidden="1" customHeight="1" x14ac:dyDescent="0.35">
      <c r="A1199" s="29" t="s">
        <v>1426</v>
      </c>
      <c r="B1199" s="29" t="s">
        <v>3189</v>
      </c>
      <c r="C1199" s="16">
        <v>0</v>
      </c>
      <c r="D1199" s="16">
        <v>0</v>
      </c>
      <c r="E1199" s="29" t="s">
        <v>42</v>
      </c>
      <c r="F1199" s="29" t="s">
        <v>43</v>
      </c>
      <c r="G1199" t="e">
        <v>#N/A</v>
      </c>
    </row>
    <row r="1200" spans="1:7" ht="11.5" hidden="1" customHeight="1" x14ac:dyDescent="0.35">
      <c r="A1200" s="29" t="s">
        <v>1427</v>
      </c>
      <c r="B1200" s="29" t="s">
        <v>3190</v>
      </c>
      <c r="C1200" s="16">
        <v>0</v>
      </c>
      <c r="D1200" s="16">
        <v>0</v>
      </c>
      <c r="E1200" s="29" t="s">
        <v>42</v>
      </c>
      <c r="F1200" s="29" t="s">
        <v>43</v>
      </c>
      <c r="G1200" t="e">
        <v>#N/A</v>
      </c>
    </row>
    <row r="1201" spans="1:7" ht="11.5" hidden="1" customHeight="1" x14ac:dyDescent="0.35">
      <c r="A1201" s="29" t="s">
        <v>1428</v>
      </c>
      <c r="B1201" s="29" t="s">
        <v>3191</v>
      </c>
      <c r="C1201" s="16">
        <v>0</v>
      </c>
      <c r="D1201" s="16">
        <v>0</v>
      </c>
      <c r="E1201" s="29" t="s">
        <v>42</v>
      </c>
      <c r="F1201" s="29" t="s">
        <v>43</v>
      </c>
      <c r="G1201" t="e">
        <v>#N/A</v>
      </c>
    </row>
    <row r="1202" spans="1:7" ht="11.5" hidden="1" customHeight="1" x14ac:dyDescent="0.35">
      <c r="A1202" s="29" t="s">
        <v>1429</v>
      </c>
      <c r="B1202" s="29" t="s">
        <v>3192</v>
      </c>
      <c r="C1202" s="16">
        <v>0</v>
      </c>
      <c r="D1202" s="16">
        <v>0</v>
      </c>
      <c r="E1202" s="29" t="s">
        <v>42</v>
      </c>
      <c r="F1202" s="29" t="s">
        <v>43</v>
      </c>
      <c r="G1202" t="e">
        <v>#N/A</v>
      </c>
    </row>
    <row r="1203" spans="1:7" ht="11.5" hidden="1" customHeight="1" x14ac:dyDescent="0.35">
      <c r="A1203" s="29" t="s">
        <v>1430</v>
      </c>
      <c r="B1203" s="29" t="s">
        <v>3193</v>
      </c>
      <c r="C1203" s="16">
        <v>0</v>
      </c>
      <c r="D1203" s="16">
        <v>0</v>
      </c>
      <c r="E1203" s="29" t="s">
        <v>42</v>
      </c>
      <c r="F1203" s="29" t="s">
        <v>43</v>
      </c>
      <c r="G1203" t="e">
        <v>#N/A</v>
      </c>
    </row>
    <row r="1204" spans="1:7" ht="11.5" hidden="1" customHeight="1" x14ac:dyDescent="0.35">
      <c r="A1204" s="29" t="s">
        <v>1431</v>
      </c>
      <c r="B1204" s="29" t="s">
        <v>3194</v>
      </c>
      <c r="C1204" s="16">
        <v>0</v>
      </c>
      <c r="D1204" s="16">
        <v>0</v>
      </c>
      <c r="E1204" s="29" t="s">
        <v>42</v>
      </c>
      <c r="F1204" s="29" t="s">
        <v>43</v>
      </c>
      <c r="G1204" t="e">
        <v>#N/A</v>
      </c>
    </row>
    <row r="1205" spans="1:7" ht="11.5" hidden="1" customHeight="1" x14ac:dyDescent="0.35">
      <c r="A1205" s="29" t="s">
        <v>1432</v>
      </c>
      <c r="B1205" s="29" t="s">
        <v>3195</v>
      </c>
      <c r="C1205" s="16">
        <v>0</v>
      </c>
      <c r="D1205" s="16">
        <v>0</v>
      </c>
      <c r="E1205" s="29" t="s">
        <v>42</v>
      </c>
      <c r="F1205" s="29" t="s">
        <v>43</v>
      </c>
      <c r="G1205" t="e">
        <v>#N/A</v>
      </c>
    </row>
    <row r="1206" spans="1:7" ht="11.5" hidden="1" customHeight="1" x14ac:dyDescent="0.35">
      <c r="A1206" s="29" t="s">
        <v>1433</v>
      </c>
      <c r="B1206" s="29" t="s">
        <v>3196</v>
      </c>
      <c r="C1206" s="16">
        <v>0</v>
      </c>
      <c r="D1206" s="16">
        <v>0</v>
      </c>
      <c r="E1206" s="29" t="s">
        <v>42</v>
      </c>
      <c r="F1206" s="29" t="s">
        <v>43</v>
      </c>
      <c r="G1206" t="e">
        <v>#N/A</v>
      </c>
    </row>
    <row r="1207" spans="1:7" ht="11.5" hidden="1" customHeight="1" x14ac:dyDescent="0.35">
      <c r="A1207" s="29" t="s">
        <v>1434</v>
      </c>
      <c r="B1207" s="29" t="s">
        <v>3196</v>
      </c>
      <c r="C1207" s="16">
        <v>0</v>
      </c>
      <c r="D1207" s="16">
        <v>0</v>
      </c>
      <c r="E1207" s="29" t="s">
        <v>42</v>
      </c>
      <c r="F1207" s="29" t="s">
        <v>43</v>
      </c>
      <c r="G1207" t="e">
        <v>#N/A</v>
      </c>
    </row>
    <row r="1208" spans="1:7" ht="11.5" hidden="1" customHeight="1" x14ac:dyDescent="0.35">
      <c r="A1208" s="29" t="s">
        <v>1435</v>
      </c>
      <c r="B1208" s="29" t="s">
        <v>3197</v>
      </c>
      <c r="C1208" s="16">
        <v>0</v>
      </c>
      <c r="D1208" s="16">
        <v>0</v>
      </c>
      <c r="E1208" s="29" t="s">
        <v>42</v>
      </c>
      <c r="F1208" s="29" t="s">
        <v>43</v>
      </c>
      <c r="G1208" t="e">
        <v>#N/A</v>
      </c>
    </row>
    <row r="1209" spans="1:7" ht="11.5" hidden="1" customHeight="1" x14ac:dyDescent="0.35">
      <c r="A1209" s="29" t="s">
        <v>1436</v>
      </c>
      <c r="B1209" s="29" t="s">
        <v>3198</v>
      </c>
      <c r="C1209" s="16">
        <v>0</v>
      </c>
      <c r="D1209" s="16">
        <v>0</v>
      </c>
      <c r="E1209" s="29" t="s">
        <v>42</v>
      </c>
      <c r="F1209" s="29" t="s">
        <v>43</v>
      </c>
      <c r="G1209" t="e">
        <v>#N/A</v>
      </c>
    </row>
    <row r="1210" spans="1:7" ht="11.5" hidden="1" customHeight="1" x14ac:dyDescent="0.35">
      <c r="A1210" s="29" t="s">
        <v>1437</v>
      </c>
      <c r="B1210" s="29" t="s">
        <v>3199</v>
      </c>
      <c r="C1210" s="16">
        <v>0</v>
      </c>
      <c r="D1210" s="16">
        <v>0</v>
      </c>
      <c r="E1210" s="29" t="s">
        <v>42</v>
      </c>
      <c r="F1210" s="29" t="s">
        <v>43</v>
      </c>
      <c r="G1210" t="e">
        <v>#N/A</v>
      </c>
    </row>
    <row r="1211" spans="1:7" ht="11.5" hidden="1" customHeight="1" x14ac:dyDescent="0.35">
      <c r="A1211" s="29" t="s">
        <v>1438</v>
      </c>
      <c r="B1211" s="29" t="s">
        <v>3200</v>
      </c>
      <c r="C1211" s="16">
        <v>0</v>
      </c>
      <c r="D1211" s="16">
        <v>0</v>
      </c>
      <c r="E1211" s="29" t="s">
        <v>42</v>
      </c>
      <c r="F1211" s="29" t="s">
        <v>43</v>
      </c>
      <c r="G1211" t="e">
        <v>#N/A</v>
      </c>
    </row>
    <row r="1212" spans="1:7" ht="11.5" hidden="1" customHeight="1" x14ac:dyDescent="0.35">
      <c r="A1212" s="29" t="s">
        <v>1439</v>
      </c>
      <c r="B1212" s="29" t="s">
        <v>3201</v>
      </c>
      <c r="C1212" s="16">
        <v>0</v>
      </c>
      <c r="D1212" s="16">
        <v>0</v>
      </c>
      <c r="E1212" s="29" t="s">
        <v>42</v>
      </c>
      <c r="F1212" s="29" t="s">
        <v>43</v>
      </c>
      <c r="G1212" t="e">
        <v>#N/A</v>
      </c>
    </row>
    <row r="1213" spans="1:7" ht="11.5" hidden="1" customHeight="1" x14ac:dyDescent="0.35">
      <c r="A1213" s="29" t="s">
        <v>1440</v>
      </c>
      <c r="B1213" s="29" t="s">
        <v>3202</v>
      </c>
      <c r="C1213" s="16">
        <v>0</v>
      </c>
      <c r="D1213" s="16">
        <v>0</v>
      </c>
      <c r="E1213" s="29" t="s">
        <v>42</v>
      </c>
      <c r="F1213" s="29" t="s">
        <v>43</v>
      </c>
      <c r="G1213" t="e">
        <v>#N/A</v>
      </c>
    </row>
    <row r="1214" spans="1:7" ht="11.5" hidden="1" customHeight="1" x14ac:dyDescent="0.35">
      <c r="A1214" s="29" t="s">
        <v>1441</v>
      </c>
      <c r="B1214" s="29" t="s">
        <v>3203</v>
      </c>
      <c r="C1214" s="16">
        <v>0</v>
      </c>
      <c r="D1214" s="16">
        <v>0</v>
      </c>
      <c r="E1214" s="29" t="s">
        <v>42</v>
      </c>
      <c r="F1214" s="29" t="s">
        <v>43</v>
      </c>
      <c r="G1214" t="e">
        <v>#N/A</v>
      </c>
    </row>
    <row r="1215" spans="1:7" ht="11.5" hidden="1" customHeight="1" x14ac:dyDescent="0.35">
      <c r="A1215" s="29" t="s">
        <v>1442</v>
      </c>
      <c r="B1215" s="29" t="s">
        <v>3204</v>
      </c>
      <c r="C1215" s="16">
        <v>0</v>
      </c>
      <c r="D1215" s="16">
        <v>0</v>
      </c>
      <c r="E1215" s="29" t="s">
        <v>42</v>
      </c>
      <c r="F1215" s="29" t="s">
        <v>43</v>
      </c>
      <c r="G1215" t="e">
        <v>#N/A</v>
      </c>
    </row>
    <row r="1216" spans="1:7" ht="11.5" hidden="1" customHeight="1" x14ac:dyDescent="0.35">
      <c r="A1216" s="29" t="s">
        <v>1443</v>
      </c>
      <c r="B1216" s="29" t="s">
        <v>3205</v>
      </c>
      <c r="C1216" s="16">
        <v>0</v>
      </c>
      <c r="D1216" s="16">
        <v>0</v>
      </c>
      <c r="E1216" s="29" t="s">
        <v>42</v>
      </c>
      <c r="F1216" s="29" t="s">
        <v>43</v>
      </c>
      <c r="G1216" t="e">
        <v>#N/A</v>
      </c>
    </row>
    <row r="1217" spans="1:7" ht="11.5" hidden="1" customHeight="1" x14ac:dyDescent="0.35">
      <c r="A1217" s="29" t="s">
        <v>1444</v>
      </c>
      <c r="B1217" s="29" t="s">
        <v>3206</v>
      </c>
      <c r="C1217" s="16">
        <v>0</v>
      </c>
      <c r="D1217" s="16">
        <v>0</v>
      </c>
      <c r="E1217" s="29" t="s">
        <v>42</v>
      </c>
      <c r="F1217" s="29" t="s">
        <v>43</v>
      </c>
      <c r="G1217" t="e">
        <v>#N/A</v>
      </c>
    </row>
    <row r="1218" spans="1:7" ht="11.5" hidden="1" customHeight="1" x14ac:dyDescent="0.35">
      <c r="A1218" s="29" t="s">
        <v>1445</v>
      </c>
      <c r="B1218" s="29" t="s">
        <v>3207</v>
      </c>
      <c r="C1218" s="16">
        <v>0</v>
      </c>
      <c r="D1218" s="16">
        <v>0</v>
      </c>
      <c r="E1218" s="29" t="s">
        <v>42</v>
      </c>
      <c r="F1218" s="29" t="s">
        <v>43</v>
      </c>
      <c r="G1218" t="e">
        <v>#N/A</v>
      </c>
    </row>
    <row r="1219" spans="1:7" ht="11.5" hidden="1" customHeight="1" x14ac:dyDescent="0.35">
      <c r="A1219" s="29" t="s">
        <v>1446</v>
      </c>
      <c r="B1219" s="29" t="s">
        <v>3208</v>
      </c>
      <c r="C1219" s="16">
        <v>0</v>
      </c>
      <c r="D1219" s="16">
        <v>0</v>
      </c>
      <c r="E1219" s="29" t="s">
        <v>42</v>
      </c>
      <c r="F1219" s="29" t="s">
        <v>43</v>
      </c>
      <c r="G1219" t="e">
        <v>#N/A</v>
      </c>
    </row>
    <row r="1220" spans="1:7" ht="11.5" hidden="1" customHeight="1" x14ac:dyDescent="0.35">
      <c r="A1220" s="29" t="s">
        <v>1447</v>
      </c>
      <c r="B1220" s="29" t="s">
        <v>3209</v>
      </c>
      <c r="C1220" s="16">
        <v>0</v>
      </c>
      <c r="D1220" s="16">
        <v>0</v>
      </c>
      <c r="E1220" s="29" t="s">
        <v>42</v>
      </c>
      <c r="F1220" s="29" t="s">
        <v>43</v>
      </c>
      <c r="G1220" t="e">
        <v>#N/A</v>
      </c>
    </row>
    <row r="1221" spans="1:7" ht="11.5" hidden="1" customHeight="1" x14ac:dyDescent="0.35">
      <c r="A1221" s="29" t="s">
        <v>1448</v>
      </c>
      <c r="B1221" s="29" t="s">
        <v>3210</v>
      </c>
      <c r="C1221" s="16">
        <v>0</v>
      </c>
      <c r="D1221" s="16">
        <v>0</v>
      </c>
      <c r="E1221" s="29" t="s">
        <v>42</v>
      </c>
      <c r="F1221" s="29" t="s">
        <v>43</v>
      </c>
      <c r="G1221" t="e">
        <v>#N/A</v>
      </c>
    </row>
    <row r="1222" spans="1:7" ht="11.5" hidden="1" customHeight="1" x14ac:dyDescent="0.35">
      <c r="A1222" s="29" t="s">
        <v>1449</v>
      </c>
      <c r="B1222" s="29" t="s">
        <v>3211</v>
      </c>
      <c r="C1222" s="16">
        <v>0</v>
      </c>
      <c r="D1222" s="16">
        <v>0</v>
      </c>
      <c r="E1222" s="29" t="s">
        <v>42</v>
      </c>
      <c r="F1222" s="29" t="s">
        <v>43</v>
      </c>
      <c r="G1222" t="e">
        <v>#N/A</v>
      </c>
    </row>
    <row r="1223" spans="1:7" ht="11.5" hidden="1" customHeight="1" x14ac:dyDescent="0.35">
      <c r="A1223" s="29" t="s">
        <v>1450</v>
      </c>
      <c r="B1223" s="29" t="s">
        <v>3212</v>
      </c>
      <c r="C1223" s="16">
        <v>0</v>
      </c>
      <c r="D1223" s="16">
        <v>0</v>
      </c>
      <c r="E1223" s="29" t="s">
        <v>42</v>
      </c>
      <c r="F1223" s="29" t="s">
        <v>43</v>
      </c>
      <c r="G1223" t="s">
        <v>3887</v>
      </c>
    </row>
    <row r="1224" spans="1:7" ht="11.5" hidden="1" customHeight="1" x14ac:dyDescent="0.35">
      <c r="A1224" s="29" t="s">
        <v>1451</v>
      </c>
      <c r="B1224" s="29" t="s">
        <v>3213</v>
      </c>
      <c r="C1224" s="16">
        <v>0</v>
      </c>
      <c r="D1224" s="16">
        <v>0</v>
      </c>
      <c r="E1224" s="29" t="s">
        <v>42</v>
      </c>
      <c r="F1224" s="29" t="s">
        <v>43</v>
      </c>
      <c r="G1224" t="e">
        <v>#N/A</v>
      </c>
    </row>
    <row r="1225" spans="1:7" ht="11.5" hidden="1" customHeight="1" x14ac:dyDescent="0.35">
      <c r="A1225" s="29" t="s">
        <v>1452</v>
      </c>
      <c r="B1225" s="29" t="s">
        <v>3214</v>
      </c>
      <c r="C1225" s="16">
        <v>0</v>
      </c>
      <c r="D1225" s="16">
        <v>0</v>
      </c>
      <c r="E1225" s="29" t="s">
        <v>42</v>
      </c>
      <c r="F1225" s="29" t="s">
        <v>43</v>
      </c>
      <c r="G1225" t="e">
        <v>#N/A</v>
      </c>
    </row>
    <row r="1226" spans="1:7" ht="11.5" hidden="1" customHeight="1" x14ac:dyDescent="0.35">
      <c r="A1226" s="29" t="s">
        <v>1453</v>
      </c>
      <c r="B1226" s="29" t="s">
        <v>3215</v>
      </c>
      <c r="C1226" s="16">
        <v>0</v>
      </c>
      <c r="D1226" s="16">
        <v>0</v>
      </c>
      <c r="E1226" s="29" t="s">
        <v>42</v>
      </c>
      <c r="F1226" s="29" t="s">
        <v>43</v>
      </c>
      <c r="G1226" t="e">
        <v>#N/A</v>
      </c>
    </row>
    <row r="1227" spans="1:7" ht="11.5" hidden="1" customHeight="1" x14ac:dyDescent="0.35">
      <c r="A1227" s="29" t="s">
        <v>1454</v>
      </c>
      <c r="B1227" s="29" t="s">
        <v>3216</v>
      </c>
      <c r="C1227" s="16">
        <v>0</v>
      </c>
      <c r="D1227" s="16">
        <v>0</v>
      </c>
      <c r="E1227" s="29" t="s">
        <v>42</v>
      </c>
      <c r="F1227" s="29" t="s">
        <v>43</v>
      </c>
      <c r="G1227" t="e">
        <v>#N/A</v>
      </c>
    </row>
    <row r="1228" spans="1:7" ht="11.5" hidden="1" customHeight="1" x14ac:dyDescent="0.35">
      <c r="A1228" s="29" t="s">
        <v>1455</v>
      </c>
      <c r="B1228" s="29" t="s">
        <v>3217</v>
      </c>
      <c r="C1228" s="16">
        <v>0</v>
      </c>
      <c r="D1228" s="16">
        <v>0</v>
      </c>
      <c r="E1228" s="29" t="s">
        <v>42</v>
      </c>
      <c r="F1228" s="29" t="s">
        <v>43</v>
      </c>
      <c r="G1228" t="e">
        <v>#N/A</v>
      </c>
    </row>
    <row r="1229" spans="1:7" ht="11.5" hidden="1" customHeight="1" x14ac:dyDescent="0.35">
      <c r="A1229" s="29" t="s">
        <v>1456</v>
      </c>
      <c r="B1229" s="29" t="s">
        <v>3218</v>
      </c>
      <c r="C1229" s="16">
        <v>0</v>
      </c>
      <c r="D1229" s="16">
        <v>0</v>
      </c>
      <c r="E1229" s="29" t="s">
        <v>42</v>
      </c>
      <c r="F1229" s="29" t="s">
        <v>43</v>
      </c>
      <c r="G1229" t="e">
        <v>#N/A</v>
      </c>
    </row>
    <row r="1230" spans="1:7" ht="11.5" hidden="1" customHeight="1" x14ac:dyDescent="0.35">
      <c r="A1230" s="29" t="s">
        <v>1457</v>
      </c>
      <c r="B1230" s="29" t="s">
        <v>3219</v>
      </c>
      <c r="C1230" s="16">
        <v>0</v>
      </c>
      <c r="D1230" s="16">
        <v>0</v>
      </c>
      <c r="E1230" s="29" t="s">
        <v>42</v>
      </c>
      <c r="F1230" s="29" t="s">
        <v>43</v>
      </c>
      <c r="G1230" t="e">
        <v>#N/A</v>
      </c>
    </row>
    <row r="1231" spans="1:7" ht="11.5" hidden="1" customHeight="1" x14ac:dyDescent="0.35">
      <c r="A1231" s="29" t="s">
        <v>1458</v>
      </c>
      <c r="B1231" s="29" t="s">
        <v>3220</v>
      </c>
      <c r="C1231" s="16">
        <v>0</v>
      </c>
      <c r="D1231" s="16">
        <v>0</v>
      </c>
      <c r="E1231" s="29" t="s">
        <v>42</v>
      </c>
      <c r="F1231" s="29" t="s">
        <v>43</v>
      </c>
      <c r="G1231" t="e">
        <v>#N/A</v>
      </c>
    </row>
    <row r="1232" spans="1:7" ht="11.5" hidden="1" customHeight="1" x14ac:dyDescent="0.35">
      <c r="A1232" s="29" t="s">
        <v>1459</v>
      </c>
      <c r="B1232" s="29" t="s">
        <v>3221</v>
      </c>
      <c r="C1232" s="16">
        <v>0</v>
      </c>
      <c r="D1232" s="16">
        <v>0</v>
      </c>
      <c r="E1232" s="29" t="s">
        <v>42</v>
      </c>
      <c r="F1232" s="29" t="s">
        <v>43</v>
      </c>
      <c r="G1232" t="e">
        <v>#N/A</v>
      </c>
    </row>
    <row r="1233" spans="1:7" ht="11.5" hidden="1" customHeight="1" x14ac:dyDescent="0.35">
      <c r="A1233" s="29" t="s">
        <v>1460</v>
      </c>
      <c r="B1233" s="29" t="s">
        <v>3222</v>
      </c>
      <c r="C1233" s="16">
        <v>0</v>
      </c>
      <c r="D1233" s="16">
        <v>0</v>
      </c>
      <c r="E1233" s="29" t="s">
        <v>42</v>
      </c>
      <c r="F1233" s="29" t="s">
        <v>43</v>
      </c>
      <c r="G1233" t="e">
        <v>#N/A</v>
      </c>
    </row>
    <row r="1234" spans="1:7" ht="11.5" hidden="1" customHeight="1" x14ac:dyDescent="0.35">
      <c r="A1234" s="29" t="s">
        <v>1461</v>
      </c>
      <c r="B1234" s="29" t="s">
        <v>3223</v>
      </c>
      <c r="C1234" s="16">
        <v>0</v>
      </c>
      <c r="D1234" s="16">
        <v>0</v>
      </c>
      <c r="E1234" s="29" t="s">
        <v>42</v>
      </c>
      <c r="F1234" s="29" t="s">
        <v>43</v>
      </c>
      <c r="G1234" t="e">
        <v>#N/A</v>
      </c>
    </row>
    <row r="1235" spans="1:7" ht="11.5" hidden="1" customHeight="1" x14ac:dyDescent="0.35">
      <c r="A1235" s="29" t="s">
        <v>1462</v>
      </c>
      <c r="B1235" s="29" t="s">
        <v>3224</v>
      </c>
      <c r="C1235" s="16">
        <v>0</v>
      </c>
      <c r="D1235" s="16">
        <v>0</v>
      </c>
      <c r="E1235" s="29" t="s">
        <v>42</v>
      </c>
      <c r="F1235" s="29" t="s">
        <v>43</v>
      </c>
      <c r="G1235" t="e">
        <v>#N/A</v>
      </c>
    </row>
    <row r="1236" spans="1:7" ht="11.5" hidden="1" customHeight="1" x14ac:dyDescent="0.35">
      <c r="A1236" s="29" t="s">
        <v>1463</v>
      </c>
      <c r="B1236" s="29" t="s">
        <v>3225</v>
      </c>
      <c r="C1236" s="16">
        <v>0</v>
      </c>
      <c r="D1236" s="16">
        <v>0</v>
      </c>
      <c r="E1236" s="29" t="s">
        <v>42</v>
      </c>
      <c r="F1236" s="29" t="s">
        <v>43</v>
      </c>
      <c r="G1236" t="e">
        <v>#N/A</v>
      </c>
    </row>
    <row r="1237" spans="1:7" ht="11.5" hidden="1" customHeight="1" x14ac:dyDescent="0.35">
      <c r="A1237" s="29" t="s">
        <v>1464</v>
      </c>
      <c r="B1237" s="29" t="s">
        <v>3226</v>
      </c>
      <c r="C1237" s="16">
        <v>0</v>
      </c>
      <c r="D1237" s="16">
        <v>0</v>
      </c>
      <c r="E1237" s="29" t="s">
        <v>42</v>
      </c>
      <c r="F1237" s="29" t="s">
        <v>43</v>
      </c>
      <c r="G1237" t="e">
        <v>#N/A</v>
      </c>
    </row>
    <row r="1238" spans="1:7" ht="11.5" hidden="1" customHeight="1" x14ac:dyDescent="0.35">
      <c r="A1238" s="29" t="s">
        <v>1465</v>
      </c>
      <c r="B1238" s="29" t="s">
        <v>3227</v>
      </c>
      <c r="C1238" s="16">
        <v>0</v>
      </c>
      <c r="D1238" s="16">
        <v>0</v>
      </c>
      <c r="E1238" s="29" t="s">
        <v>42</v>
      </c>
      <c r="F1238" s="29" t="s">
        <v>43</v>
      </c>
      <c r="G1238" t="e">
        <v>#N/A</v>
      </c>
    </row>
    <row r="1239" spans="1:7" ht="11.5" hidden="1" customHeight="1" x14ac:dyDescent="0.35">
      <c r="A1239" s="29" t="s">
        <v>1466</v>
      </c>
      <c r="B1239" s="29" t="s">
        <v>3228</v>
      </c>
      <c r="C1239" s="16">
        <v>0</v>
      </c>
      <c r="D1239" s="16">
        <v>0</v>
      </c>
      <c r="E1239" s="29" t="s">
        <v>42</v>
      </c>
      <c r="F1239" s="29" t="s">
        <v>43</v>
      </c>
      <c r="G1239" t="e">
        <v>#N/A</v>
      </c>
    </row>
    <row r="1240" spans="1:7" ht="11.5" hidden="1" customHeight="1" x14ac:dyDescent="0.35">
      <c r="A1240" s="29" t="s">
        <v>1467</v>
      </c>
      <c r="B1240" s="29" t="s">
        <v>3229</v>
      </c>
      <c r="C1240" s="16">
        <v>0</v>
      </c>
      <c r="D1240" s="16">
        <v>0</v>
      </c>
      <c r="E1240" s="29" t="s">
        <v>42</v>
      </c>
      <c r="F1240" s="29" t="s">
        <v>43</v>
      </c>
      <c r="G1240" t="e">
        <v>#N/A</v>
      </c>
    </row>
    <row r="1241" spans="1:7" ht="11.5" hidden="1" customHeight="1" x14ac:dyDescent="0.35">
      <c r="A1241" s="29" t="s">
        <v>1468</v>
      </c>
      <c r="B1241" s="29" t="s">
        <v>3230</v>
      </c>
      <c r="C1241" s="16">
        <v>0</v>
      </c>
      <c r="D1241" s="16">
        <v>0</v>
      </c>
      <c r="E1241" s="29" t="s">
        <v>42</v>
      </c>
      <c r="F1241" s="29" t="s">
        <v>43</v>
      </c>
      <c r="G1241" t="e">
        <v>#N/A</v>
      </c>
    </row>
    <row r="1242" spans="1:7" ht="11.5" hidden="1" customHeight="1" x14ac:dyDescent="0.35">
      <c r="A1242" s="29" t="s">
        <v>1469</v>
      </c>
      <c r="B1242" s="29" t="s">
        <v>3231</v>
      </c>
      <c r="C1242" s="16">
        <v>0</v>
      </c>
      <c r="D1242" s="16">
        <v>0</v>
      </c>
      <c r="E1242" s="29" t="s">
        <v>42</v>
      </c>
      <c r="F1242" s="29" t="s">
        <v>43</v>
      </c>
      <c r="G1242" t="e">
        <v>#N/A</v>
      </c>
    </row>
    <row r="1243" spans="1:7" ht="11.5" hidden="1" customHeight="1" x14ac:dyDescent="0.35">
      <c r="A1243" s="29" t="s">
        <v>1470</v>
      </c>
      <c r="B1243" s="29" t="s">
        <v>3232</v>
      </c>
      <c r="C1243" s="16">
        <v>0</v>
      </c>
      <c r="D1243" s="16">
        <v>0</v>
      </c>
      <c r="E1243" s="29" t="s">
        <v>42</v>
      </c>
      <c r="F1243" s="29" t="s">
        <v>43</v>
      </c>
      <c r="G1243" t="e">
        <v>#N/A</v>
      </c>
    </row>
    <row r="1244" spans="1:7" ht="11.5" hidden="1" customHeight="1" x14ac:dyDescent="0.35">
      <c r="A1244" s="29" t="s">
        <v>1471</v>
      </c>
      <c r="B1244" s="29" t="s">
        <v>3233</v>
      </c>
      <c r="C1244" s="16">
        <v>0</v>
      </c>
      <c r="D1244" s="16">
        <v>0</v>
      </c>
      <c r="E1244" s="29" t="s">
        <v>42</v>
      </c>
      <c r="F1244" s="29" t="s">
        <v>43</v>
      </c>
      <c r="G1244" t="e">
        <v>#N/A</v>
      </c>
    </row>
    <row r="1245" spans="1:7" ht="11.5" hidden="1" customHeight="1" x14ac:dyDescent="0.35">
      <c r="A1245" s="29" t="s">
        <v>1472</v>
      </c>
      <c r="B1245" s="29" t="s">
        <v>3234</v>
      </c>
      <c r="C1245" s="16">
        <v>0</v>
      </c>
      <c r="D1245" s="16">
        <v>0</v>
      </c>
      <c r="E1245" s="29" t="s">
        <v>42</v>
      </c>
      <c r="F1245" s="29" t="s">
        <v>43</v>
      </c>
      <c r="G1245" t="e">
        <v>#N/A</v>
      </c>
    </row>
    <row r="1246" spans="1:7" ht="11.5" hidden="1" customHeight="1" x14ac:dyDescent="0.35">
      <c r="A1246" s="29" t="s">
        <v>1473</v>
      </c>
      <c r="B1246" s="29" t="s">
        <v>3235</v>
      </c>
      <c r="C1246" s="16">
        <v>0</v>
      </c>
      <c r="D1246" s="16">
        <v>0</v>
      </c>
      <c r="E1246" s="29" t="s">
        <v>42</v>
      </c>
      <c r="F1246" s="29" t="s">
        <v>43</v>
      </c>
      <c r="G1246" t="e">
        <v>#N/A</v>
      </c>
    </row>
    <row r="1247" spans="1:7" ht="11.5" hidden="1" customHeight="1" x14ac:dyDescent="0.35">
      <c r="A1247" s="29" t="s">
        <v>1474</v>
      </c>
      <c r="B1247" s="29" t="s">
        <v>3236</v>
      </c>
      <c r="C1247" s="16">
        <v>0</v>
      </c>
      <c r="D1247" s="16">
        <v>0</v>
      </c>
      <c r="E1247" s="29" t="s">
        <v>42</v>
      </c>
      <c r="F1247" s="29" t="s">
        <v>43</v>
      </c>
      <c r="G1247" t="e">
        <v>#N/A</v>
      </c>
    </row>
    <row r="1248" spans="1:7" ht="11.5" hidden="1" customHeight="1" x14ac:dyDescent="0.35">
      <c r="A1248" s="29" t="s">
        <v>1475</v>
      </c>
      <c r="B1248" s="29" t="s">
        <v>3237</v>
      </c>
      <c r="C1248" s="16">
        <v>0</v>
      </c>
      <c r="D1248" s="16">
        <v>0</v>
      </c>
      <c r="E1248" s="29" t="s">
        <v>42</v>
      </c>
      <c r="F1248" s="29" t="s">
        <v>43</v>
      </c>
      <c r="G1248" t="e">
        <v>#N/A</v>
      </c>
    </row>
    <row r="1249" spans="1:7" ht="11.5" hidden="1" customHeight="1" x14ac:dyDescent="0.35">
      <c r="A1249" s="29" t="s">
        <v>1476</v>
      </c>
      <c r="B1249" s="29" t="s">
        <v>3238</v>
      </c>
      <c r="C1249" s="16">
        <v>0</v>
      </c>
      <c r="D1249" s="16">
        <v>0</v>
      </c>
      <c r="E1249" s="29" t="s">
        <v>42</v>
      </c>
      <c r="F1249" s="29" t="s">
        <v>43</v>
      </c>
      <c r="G1249" t="e">
        <v>#N/A</v>
      </c>
    </row>
    <row r="1250" spans="1:7" ht="11.5" hidden="1" customHeight="1" x14ac:dyDescent="0.35">
      <c r="A1250" s="29" t="s">
        <v>1477</v>
      </c>
      <c r="B1250" s="29" t="s">
        <v>3239</v>
      </c>
      <c r="C1250" s="16">
        <v>0</v>
      </c>
      <c r="D1250" s="16">
        <v>0</v>
      </c>
      <c r="E1250" s="29" t="s">
        <v>42</v>
      </c>
      <c r="F1250" s="29" t="s">
        <v>43</v>
      </c>
      <c r="G1250" t="e">
        <v>#N/A</v>
      </c>
    </row>
    <row r="1251" spans="1:7" ht="11.5" hidden="1" customHeight="1" x14ac:dyDescent="0.35">
      <c r="A1251" s="29" t="s">
        <v>1478</v>
      </c>
      <c r="B1251" s="29" t="s">
        <v>3240</v>
      </c>
      <c r="C1251" s="16">
        <v>0</v>
      </c>
      <c r="D1251" s="16">
        <v>0</v>
      </c>
      <c r="E1251" s="29" t="s">
        <v>42</v>
      </c>
      <c r="F1251" s="29" t="s">
        <v>43</v>
      </c>
      <c r="G1251" t="e">
        <v>#N/A</v>
      </c>
    </row>
    <row r="1252" spans="1:7" ht="11.5" hidden="1" customHeight="1" x14ac:dyDescent="0.35">
      <c r="A1252" s="29" t="s">
        <v>1479</v>
      </c>
      <c r="B1252" s="29" t="s">
        <v>3241</v>
      </c>
      <c r="C1252" s="16">
        <v>0</v>
      </c>
      <c r="D1252" s="16">
        <v>0</v>
      </c>
      <c r="E1252" s="29" t="s">
        <v>42</v>
      </c>
      <c r="F1252" s="29" t="s">
        <v>43</v>
      </c>
      <c r="G1252" t="e">
        <v>#N/A</v>
      </c>
    </row>
    <row r="1253" spans="1:7" ht="11.5" hidden="1" customHeight="1" x14ac:dyDescent="0.35">
      <c r="A1253" s="29" t="s">
        <v>1480</v>
      </c>
      <c r="B1253" s="29" t="s">
        <v>3242</v>
      </c>
      <c r="C1253" s="16">
        <v>0</v>
      </c>
      <c r="D1253" s="16">
        <v>0</v>
      </c>
      <c r="E1253" s="29" t="s">
        <v>42</v>
      </c>
      <c r="F1253" s="29" t="s">
        <v>43</v>
      </c>
      <c r="G1253" t="e">
        <v>#N/A</v>
      </c>
    </row>
    <row r="1254" spans="1:7" ht="11.5" hidden="1" customHeight="1" x14ac:dyDescent="0.35">
      <c r="A1254" s="29" t="s">
        <v>1481</v>
      </c>
      <c r="B1254" s="29" t="s">
        <v>3243</v>
      </c>
      <c r="C1254" s="16">
        <v>0</v>
      </c>
      <c r="D1254" s="16">
        <v>0</v>
      </c>
      <c r="E1254" s="29" t="s">
        <v>42</v>
      </c>
      <c r="F1254" s="29" t="s">
        <v>43</v>
      </c>
      <c r="G1254" t="e">
        <v>#N/A</v>
      </c>
    </row>
    <row r="1255" spans="1:7" ht="11.5" hidden="1" customHeight="1" x14ac:dyDescent="0.35">
      <c r="A1255" s="29" t="s">
        <v>1482</v>
      </c>
      <c r="B1255" s="29" t="s">
        <v>3244</v>
      </c>
      <c r="C1255" s="16">
        <v>0</v>
      </c>
      <c r="D1255" s="16">
        <v>0</v>
      </c>
      <c r="E1255" s="29" t="s">
        <v>42</v>
      </c>
      <c r="F1255" s="29" t="s">
        <v>43</v>
      </c>
      <c r="G1255" t="e">
        <v>#N/A</v>
      </c>
    </row>
    <row r="1256" spans="1:7" ht="11.5" hidden="1" customHeight="1" x14ac:dyDescent="0.35">
      <c r="A1256" s="29" t="s">
        <v>1483</v>
      </c>
      <c r="B1256" s="29" t="s">
        <v>3245</v>
      </c>
      <c r="C1256" s="16">
        <v>0</v>
      </c>
      <c r="D1256" s="16">
        <v>0</v>
      </c>
      <c r="E1256" s="29" t="s">
        <v>42</v>
      </c>
      <c r="F1256" s="29" t="s">
        <v>43</v>
      </c>
      <c r="G1256" t="e">
        <v>#N/A</v>
      </c>
    </row>
    <row r="1257" spans="1:7" ht="11.5" hidden="1" customHeight="1" x14ac:dyDescent="0.35">
      <c r="A1257" s="29" t="s">
        <v>1484</v>
      </c>
      <c r="B1257" s="29" t="s">
        <v>3246</v>
      </c>
      <c r="C1257" s="16">
        <v>0</v>
      </c>
      <c r="D1257" s="16">
        <v>0</v>
      </c>
      <c r="E1257" s="29" t="s">
        <v>42</v>
      </c>
      <c r="F1257" s="29" t="s">
        <v>43</v>
      </c>
      <c r="G1257" t="e">
        <v>#N/A</v>
      </c>
    </row>
    <row r="1258" spans="1:7" ht="11.5" hidden="1" customHeight="1" x14ac:dyDescent="0.35">
      <c r="A1258" s="29" t="s">
        <v>1485</v>
      </c>
      <c r="B1258" s="29" t="s">
        <v>3247</v>
      </c>
      <c r="C1258" s="16">
        <v>0</v>
      </c>
      <c r="D1258" s="16">
        <v>0</v>
      </c>
      <c r="E1258" s="29" t="s">
        <v>42</v>
      </c>
      <c r="F1258" s="29" t="s">
        <v>43</v>
      </c>
      <c r="G1258" t="e">
        <v>#N/A</v>
      </c>
    </row>
    <row r="1259" spans="1:7" ht="11.5" hidden="1" customHeight="1" x14ac:dyDescent="0.35">
      <c r="A1259" s="29" t="s">
        <v>1486</v>
      </c>
      <c r="B1259" s="29" t="s">
        <v>3248</v>
      </c>
      <c r="C1259" s="16">
        <v>0</v>
      </c>
      <c r="D1259" s="16">
        <v>0</v>
      </c>
      <c r="E1259" s="29" t="s">
        <v>42</v>
      </c>
      <c r="F1259" s="29" t="s">
        <v>43</v>
      </c>
      <c r="G1259" t="e">
        <v>#N/A</v>
      </c>
    </row>
    <row r="1260" spans="1:7" ht="11.5" hidden="1" customHeight="1" x14ac:dyDescent="0.35">
      <c r="A1260" s="29" t="s">
        <v>1487</v>
      </c>
      <c r="B1260" s="29" t="s">
        <v>3249</v>
      </c>
      <c r="C1260" s="16">
        <v>0</v>
      </c>
      <c r="D1260" s="16">
        <v>0</v>
      </c>
      <c r="E1260" s="29" t="s">
        <v>42</v>
      </c>
      <c r="F1260" s="29" t="s">
        <v>43</v>
      </c>
      <c r="G1260" t="e">
        <v>#N/A</v>
      </c>
    </row>
    <row r="1261" spans="1:7" ht="11.5" hidden="1" customHeight="1" x14ac:dyDescent="0.35">
      <c r="A1261" s="29" t="s">
        <v>1488</v>
      </c>
      <c r="B1261" s="29" t="s">
        <v>3250</v>
      </c>
      <c r="C1261" s="16">
        <v>0</v>
      </c>
      <c r="D1261" s="16">
        <v>0</v>
      </c>
      <c r="E1261" s="29" t="s">
        <v>42</v>
      </c>
      <c r="F1261" s="29" t="s">
        <v>43</v>
      </c>
      <c r="G1261" t="e">
        <v>#N/A</v>
      </c>
    </row>
    <row r="1262" spans="1:7" ht="11.5" hidden="1" customHeight="1" x14ac:dyDescent="0.35">
      <c r="A1262" s="29" t="s">
        <v>1489</v>
      </c>
      <c r="B1262" s="29" t="s">
        <v>3251</v>
      </c>
      <c r="C1262" s="16">
        <v>0</v>
      </c>
      <c r="D1262" s="16">
        <v>0</v>
      </c>
      <c r="E1262" s="29" t="s">
        <v>42</v>
      </c>
      <c r="F1262" s="29" t="s">
        <v>43</v>
      </c>
      <c r="G1262" t="s">
        <v>3911</v>
      </c>
    </row>
    <row r="1263" spans="1:7" ht="11.5" hidden="1" customHeight="1" x14ac:dyDescent="0.35">
      <c r="A1263" s="29" t="s">
        <v>1490</v>
      </c>
      <c r="B1263" s="29" t="s">
        <v>3252</v>
      </c>
      <c r="C1263" s="16">
        <v>0</v>
      </c>
      <c r="D1263" s="16">
        <v>0</v>
      </c>
      <c r="E1263" s="29" t="s">
        <v>42</v>
      </c>
      <c r="F1263" s="29" t="s">
        <v>43</v>
      </c>
      <c r="G1263" t="e">
        <v>#N/A</v>
      </c>
    </row>
    <row r="1264" spans="1:7" ht="11.5" hidden="1" customHeight="1" x14ac:dyDescent="0.35">
      <c r="A1264" s="29" t="s">
        <v>1491</v>
      </c>
      <c r="B1264" s="29" t="s">
        <v>3253</v>
      </c>
      <c r="C1264" s="16">
        <v>0</v>
      </c>
      <c r="D1264" s="16">
        <v>0</v>
      </c>
      <c r="E1264" s="29" t="s">
        <v>42</v>
      </c>
      <c r="F1264" s="29" t="s">
        <v>43</v>
      </c>
      <c r="G1264" t="e">
        <v>#N/A</v>
      </c>
    </row>
    <row r="1265" spans="1:7" ht="11.5" hidden="1" customHeight="1" x14ac:dyDescent="0.35">
      <c r="A1265" s="29" t="s">
        <v>1492</v>
      </c>
      <c r="B1265" s="29" t="s">
        <v>3254</v>
      </c>
      <c r="C1265" s="16">
        <v>0</v>
      </c>
      <c r="D1265" s="16">
        <v>0</v>
      </c>
      <c r="E1265" s="29" t="s">
        <v>42</v>
      </c>
      <c r="F1265" s="29" t="s">
        <v>43</v>
      </c>
      <c r="G1265" t="e">
        <v>#N/A</v>
      </c>
    </row>
    <row r="1266" spans="1:7" ht="11.5" hidden="1" customHeight="1" x14ac:dyDescent="0.35">
      <c r="A1266" s="29" t="s">
        <v>1493</v>
      </c>
      <c r="B1266" s="29" t="s">
        <v>3255</v>
      </c>
      <c r="C1266" s="16">
        <v>0</v>
      </c>
      <c r="D1266" s="16">
        <v>0</v>
      </c>
      <c r="E1266" s="29" t="s">
        <v>42</v>
      </c>
      <c r="F1266" s="29" t="s">
        <v>43</v>
      </c>
      <c r="G1266" t="e">
        <v>#N/A</v>
      </c>
    </row>
    <row r="1267" spans="1:7" ht="11.5" hidden="1" customHeight="1" x14ac:dyDescent="0.35">
      <c r="A1267" s="29" t="s">
        <v>1494</v>
      </c>
      <c r="B1267" s="29" t="s">
        <v>3256</v>
      </c>
      <c r="C1267" s="16">
        <v>0</v>
      </c>
      <c r="D1267" s="16">
        <v>0</v>
      </c>
      <c r="E1267" s="29" t="s">
        <v>42</v>
      </c>
      <c r="F1267" s="29" t="s">
        <v>43</v>
      </c>
      <c r="G1267" t="e">
        <v>#N/A</v>
      </c>
    </row>
    <row r="1268" spans="1:7" ht="11.5" hidden="1" customHeight="1" x14ac:dyDescent="0.35">
      <c r="A1268" s="29" t="s">
        <v>1495</v>
      </c>
      <c r="B1268" s="29" t="s">
        <v>3257</v>
      </c>
      <c r="C1268" s="16">
        <v>0</v>
      </c>
      <c r="D1268" s="16">
        <v>0</v>
      </c>
      <c r="E1268" s="29" t="s">
        <v>42</v>
      </c>
      <c r="F1268" s="29" t="s">
        <v>43</v>
      </c>
      <c r="G1268" t="e">
        <v>#N/A</v>
      </c>
    </row>
    <row r="1269" spans="1:7" ht="11.5" hidden="1" customHeight="1" x14ac:dyDescent="0.35">
      <c r="A1269" s="29" t="s">
        <v>1496</v>
      </c>
      <c r="B1269" s="29" t="s">
        <v>3258</v>
      </c>
      <c r="C1269" s="16">
        <v>0</v>
      </c>
      <c r="D1269" s="16">
        <v>0</v>
      </c>
      <c r="E1269" s="29" t="s">
        <v>42</v>
      </c>
      <c r="F1269" s="29" t="s">
        <v>43</v>
      </c>
      <c r="G1269" t="e">
        <v>#N/A</v>
      </c>
    </row>
    <row r="1270" spans="1:7" ht="11.5" hidden="1" customHeight="1" x14ac:dyDescent="0.35">
      <c r="A1270" s="29" t="s">
        <v>1497</v>
      </c>
      <c r="B1270" s="29" t="s">
        <v>3259</v>
      </c>
      <c r="C1270" s="16">
        <v>0</v>
      </c>
      <c r="D1270" s="16">
        <v>0</v>
      </c>
      <c r="E1270" s="29" t="s">
        <v>42</v>
      </c>
      <c r="F1270" s="29" t="s">
        <v>43</v>
      </c>
      <c r="G1270" t="e">
        <v>#N/A</v>
      </c>
    </row>
    <row r="1271" spans="1:7" ht="11.5" hidden="1" customHeight="1" x14ac:dyDescent="0.35">
      <c r="A1271" s="29" t="s">
        <v>1498</v>
      </c>
      <c r="B1271" s="29" t="s">
        <v>3260</v>
      </c>
      <c r="C1271" s="16">
        <v>0</v>
      </c>
      <c r="D1271" s="16">
        <v>0</v>
      </c>
      <c r="E1271" s="29" t="s">
        <v>42</v>
      </c>
      <c r="F1271" s="29" t="s">
        <v>43</v>
      </c>
      <c r="G1271" t="e">
        <v>#N/A</v>
      </c>
    </row>
    <row r="1272" spans="1:7" ht="11.5" hidden="1" customHeight="1" x14ac:dyDescent="0.35">
      <c r="A1272" s="29" t="s">
        <v>1499</v>
      </c>
      <c r="B1272" s="29" t="s">
        <v>3260</v>
      </c>
      <c r="C1272" s="16">
        <v>0</v>
      </c>
      <c r="D1272" s="16">
        <v>0</v>
      </c>
      <c r="E1272" s="29" t="s">
        <v>42</v>
      </c>
      <c r="F1272" s="29" t="s">
        <v>43</v>
      </c>
      <c r="G1272" t="e">
        <v>#N/A</v>
      </c>
    </row>
    <row r="1273" spans="1:7" ht="11.5" hidden="1" customHeight="1" x14ac:dyDescent="0.35">
      <c r="A1273" s="29" t="s">
        <v>1500</v>
      </c>
      <c r="B1273" s="29" t="s">
        <v>3261</v>
      </c>
      <c r="C1273" s="16">
        <v>0</v>
      </c>
      <c r="D1273" s="16">
        <v>0</v>
      </c>
      <c r="E1273" s="29" t="s">
        <v>42</v>
      </c>
      <c r="F1273" s="29" t="s">
        <v>43</v>
      </c>
      <c r="G1273" t="e">
        <v>#N/A</v>
      </c>
    </row>
    <row r="1274" spans="1:7" ht="11.5" hidden="1" customHeight="1" x14ac:dyDescent="0.35">
      <c r="A1274" s="29" t="s">
        <v>1501</v>
      </c>
      <c r="B1274" s="29" t="s">
        <v>3262</v>
      </c>
      <c r="C1274" s="16">
        <v>0</v>
      </c>
      <c r="D1274" s="16">
        <v>0</v>
      </c>
      <c r="E1274" s="29" t="s">
        <v>42</v>
      </c>
      <c r="F1274" s="29" t="s">
        <v>43</v>
      </c>
      <c r="G1274" t="e">
        <v>#N/A</v>
      </c>
    </row>
    <row r="1275" spans="1:7" ht="11.5" hidden="1" customHeight="1" x14ac:dyDescent="0.35">
      <c r="A1275" s="29" t="s">
        <v>1502</v>
      </c>
      <c r="B1275" s="29" t="s">
        <v>3263</v>
      </c>
      <c r="C1275" s="16">
        <v>0</v>
      </c>
      <c r="D1275" s="16">
        <v>0</v>
      </c>
      <c r="E1275" s="29" t="s">
        <v>42</v>
      </c>
      <c r="F1275" s="29" t="s">
        <v>43</v>
      </c>
      <c r="G1275" t="e">
        <v>#N/A</v>
      </c>
    </row>
    <row r="1276" spans="1:7" ht="11.5" hidden="1" customHeight="1" x14ac:dyDescent="0.35">
      <c r="A1276" s="29" t="s">
        <v>1503</v>
      </c>
      <c r="B1276" s="29" t="s">
        <v>3264</v>
      </c>
      <c r="C1276" s="16">
        <v>0</v>
      </c>
      <c r="D1276" s="16">
        <v>0</v>
      </c>
      <c r="E1276" s="29" t="s">
        <v>42</v>
      </c>
      <c r="F1276" s="29" t="s">
        <v>43</v>
      </c>
      <c r="G1276" t="e">
        <v>#N/A</v>
      </c>
    </row>
    <row r="1277" spans="1:7" ht="11.5" hidden="1" customHeight="1" x14ac:dyDescent="0.35">
      <c r="A1277" s="29" t="s">
        <v>1504</v>
      </c>
      <c r="B1277" s="29" t="s">
        <v>3265</v>
      </c>
      <c r="C1277" s="16">
        <v>0</v>
      </c>
      <c r="D1277" s="16">
        <v>0</v>
      </c>
      <c r="E1277" s="29" t="s">
        <v>42</v>
      </c>
      <c r="F1277" s="29" t="s">
        <v>43</v>
      </c>
      <c r="G1277" t="e">
        <v>#N/A</v>
      </c>
    </row>
    <row r="1278" spans="1:7" ht="11.5" hidden="1" customHeight="1" x14ac:dyDescent="0.35">
      <c r="A1278" s="29" t="s">
        <v>1505</v>
      </c>
      <c r="B1278" s="29" t="s">
        <v>3266</v>
      </c>
      <c r="C1278" s="16">
        <v>0</v>
      </c>
      <c r="D1278" s="16">
        <v>0</v>
      </c>
      <c r="E1278" s="29" t="s">
        <v>42</v>
      </c>
      <c r="F1278" s="29" t="s">
        <v>43</v>
      </c>
      <c r="G1278" t="e">
        <v>#N/A</v>
      </c>
    </row>
    <row r="1279" spans="1:7" ht="11.5" hidden="1" customHeight="1" x14ac:dyDescent="0.35">
      <c r="A1279" s="29" t="s">
        <v>1506</v>
      </c>
      <c r="B1279" s="29" t="s">
        <v>3267</v>
      </c>
      <c r="C1279" s="16">
        <v>0</v>
      </c>
      <c r="D1279" s="16">
        <v>0</v>
      </c>
      <c r="E1279" s="29" t="s">
        <v>42</v>
      </c>
      <c r="F1279" s="29" t="s">
        <v>43</v>
      </c>
      <c r="G1279" t="e">
        <v>#N/A</v>
      </c>
    </row>
    <row r="1280" spans="1:7" ht="11.5" hidden="1" customHeight="1" x14ac:dyDescent="0.35">
      <c r="A1280" s="29" t="s">
        <v>1507</v>
      </c>
      <c r="B1280" s="29" t="s">
        <v>3268</v>
      </c>
      <c r="C1280" s="16">
        <v>0</v>
      </c>
      <c r="D1280" s="16">
        <v>0</v>
      </c>
      <c r="E1280" s="29" t="s">
        <v>42</v>
      </c>
      <c r="F1280" s="29" t="s">
        <v>43</v>
      </c>
      <c r="G1280" t="e">
        <v>#N/A</v>
      </c>
    </row>
    <row r="1281" spans="1:7" ht="11.5" hidden="1" customHeight="1" x14ac:dyDescent="0.35">
      <c r="A1281" s="29" t="s">
        <v>1508</v>
      </c>
      <c r="B1281" s="29" t="s">
        <v>3269</v>
      </c>
      <c r="C1281" s="16">
        <v>0</v>
      </c>
      <c r="D1281" s="16">
        <v>0</v>
      </c>
      <c r="E1281" s="29" t="s">
        <v>42</v>
      </c>
      <c r="F1281" s="29" t="s">
        <v>43</v>
      </c>
      <c r="G1281" t="e">
        <v>#N/A</v>
      </c>
    </row>
    <row r="1282" spans="1:7" ht="11.5" hidden="1" customHeight="1" x14ac:dyDescent="0.35">
      <c r="A1282" s="29" t="s">
        <v>1509</v>
      </c>
      <c r="B1282" s="29" t="s">
        <v>3270</v>
      </c>
      <c r="C1282" s="16">
        <v>0</v>
      </c>
      <c r="D1282" s="16">
        <v>0</v>
      </c>
      <c r="E1282" s="29" t="s">
        <v>42</v>
      </c>
      <c r="F1282" s="29" t="s">
        <v>43</v>
      </c>
      <c r="G1282" t="e">
        <v>#N/A</v>
      </c>
    </row>
    <row r="1283" spans="1:7" ht="11.5" hidden="1" customHeight="1" x14ac:dyDescent="0.35">
      <c r="A1283" s="29" t="s">
        <v>1510</v>
      </c>
      <c r="B1283" s="29" t="s">
        <v>3271</v>
      </c>
      <c r="C1283" s="16">
        <v>0</v>
      </c>
      <c r="D1283" s="16">
        <v>0</v>
      </c>
      <c r="E1283" s="29" t="s">
        <v>42</v>
      </c>
      <c r="F1283" s="29" t="s">
        <v>43</v>
      </c>
      <c r="G1283" t="e">
        <v>#N/A</v>
      </c>
    </row>
    <row r="1284" spans="1:7" ht="11.5" hidden="1" customHeight="1" x14ac:dyDescent="0.35">
      <c r="A1284" s="29" t="s">
        <v>1511</v>
      </c>
      <c r="B1284" s="29" t="s">
        <v>3272</v>
      </c>
      <c r="C1284" s="16">
        <v>0</v>
      </c>
      <c r="D1284" s="16">
        <v>0</v>
      </c>
      <c r="E1284" s="29" t="s">
        <v>42</v>
      </c>
      <c r="F1284" s="29" t="s">
        <v>43</v>
      </c>
      <c r="G1284" t="e">
        <v>#N/A</v>
      </c>
    </row>
    <row r="1285" spans="1:7" ht="11.5" hidden="1" customHeight="1" x14ac:dyDescent="0.35">
      <c r="A1285" s="29" t="s">
        <v>1512</v>
      </c>
      <c r="B1285" s="29" t="s">
        <v>3273</v>
      </c>
      <c r="C1285" s="16">
        <v>0</v>
      </c>
      <c r="D1285" s="16">
        <v>0</v>
      </c>
      <c r="E1285" s="29" t="s">
        <v>42</v>
      </c>
      <c r="F1285" s="29" t="s">
        <v>43</v>
      </c>
      <c r="G1285" t="e">
        <v>#N/A</v>
      </c>
    </row>
    <row r="1286" spans="1:7" ht="11.5" hidden="1" customHeight="1" x14ac:dyDescent="0.35">
      <c r="A1286" s="29" t="s">
        <v>1513</v>
      </c>
      <c r="B1286" s="29" t="s">
        <v>3274</v>
      </c>
      <c r="C1286" s="16">
        <v>0</v>
      </c>
      <c r="D1286" s="16">
        <v>0</v>
      </c>
      <c r="E1286" s="29" t="s">
        <v>42</v>
      </c>
      <c r="F1286" s="29" t="s">
        <v>43</v>
      </c>
      <c r="G1286" t="e">
        <v>#N/A</v>
      </c>
    </row>
    <row r="1287" spans="1:7" ht="11.5" hidden="1" customHeight="1" x14ac:dyDescent="0.35">
      <c r="A1287" s="29" t="s">
        <v>1514</v>
      </c>
      <c r="B1287" s="29" t="s">
        <v>3275</v>
      </c>
      <c r="C1287" s="16">
        <v>0</v>
      </c>
      <c r="D1287" s="16">
        <v>0</v>
      </c>
      <c r="E1287" s="29" t="s">
        <v>42</v>
      </c>
      <c r="F1287" s="29" t="s">
        <v>43</v>
      </c>
      <c r="G1287" t="e">
        <v>#N/A</v>
      </c>
    </row>
    <row r="1288" spans="1:7" ht="11.5" hidden="1" customHeight="1" x14ac:dyDescent="0.35">
      <c r="A1288" s="29" t="s">
        <v>1515</v>
      </c>
      <c r="B1288" s="29" t="s">
        <v>3276</v>
      </c>
      <c r="C1288" s="16">
        <v>0</v>
      </c>
      <c r="D1288" s="16">
        <v>0</v>
      </c>
      <c r="E1288" s="29" t="s">
        <v>42</v>
      </c>
      <c r="F1288" s="29" t="s">
        <v>43</v>
      </c>
      <c r="G1288" t="e">
        <v>#N/A</v>
      </c>
    </row>
    <row r="1289" spans="1:7" ht="11.5" hidden="1" customHeight="1" x14ac:dyDescent="0.35">
      <c r="A1289" s="29" t="s">
        <v>1516</v>
      </c>
      <c r="B1289" s="29" t="s">
        <v>3277</v>
      </c>
      <c r="C1289" s="16">
        <v>0</v>
      </c>
      <c r="D1289" s="16">
        <v>0</v>
      </c>
      <c r="E1289" s="29" t="s">
        <v>42</v>
      </c>
      <c r="F1289" s="29" t="s">
        <v>43</v>
      </c>
      <c r="G1289" t="s">
        <v>3888</v>
      </c>
    </row>
    <row r="1290" spans="1:7" ht="11.5" hidden="1" customHeight="1" x14ac:dyDescent="0.35">
      <c r="A1290" s="29" t="s">
        <v>1517</v>
      </c>
      <c r="B1290" s="29" t="s">
        <v>3278</v>
      </c>
      <c r="C1290" s="16">
        <v>0</v>
      </c>
      <c r="D1290" s="16">
        <v>0</v>
      </c>
      <c r="E1290" s="29" t="s">
        <v>42</v>
      </c>
      <c r="F1290" s="29" t="s">
        <v>43</v>
      </c>
      <c r="G1290" t="e">
        <v>#N/A</v>
      </c>
    </row>
    <row r="1291" spans="1:7" ht="11.5" hidden="1" customHeight="1" x14ac:dyDescent="0.35">
      <c r="A1291" s="29" t="s">
        <v>1518</v>
      </c>
      <c r="B1291" s="29" t="s">
        <v>3279</v>
      </c>
      <c r="C1291" s="16">
        <v>0</v>
      </c>
      <c r="D1291" s="16">
        <v>0</v>
      </c>
      <c r="E1291" s="29" t="s">
        <v>42</v>
      </c>
      <c r="F1291" s="29" t="s">
        <v>43</v>
      </c>
      <c r="G1291" t="e">
        <v>#N/A</v>
      </c>
    </row>
    <row r="1292" spans="1:7" ht="11.5" hidden="1" customHeight="1" x14ac:dyDescent="0.35">
      <c r="A1292" s="29" t="s">
        <v>1519</v>
      </c>
      <c r="B1292" s="29" t="s">
        <v>3280</v>
      </c>
      <c r="C1292" s="16">
        <v>0</v>
      </c>
      <c r="D1292" s="16">
        <v>0</v>
      </c>
      <c r="E1292" s="29" t="s">
        <v>42</v>
      </c>
      <c r="F1292" s="29" t="s">
        <v>43</v>
      </c>
      <c r="G1292" t="e">
        <v>#N/A</v>
      </c>
    </row>
    <row r="1293" spans="1:7" ht="11.5" hidden="1" customHeight="1" x14ac:dyDescent="0.35">
      <c r="A1293" s="29" t="s">
        <v>1520</v>
      </c>
      <c r="B1293" s="29" t="s">
        <v>3281</v>
      </c>
      <c r="C1293" s="16">
        <v>0</v>
      </c>
      <c r="D1293" s="16">
        <v>0</v>
      </c>
      <c r="E1293" s="29" t="s">
        <v>42</v>
      </c>
      <c r="F1293" s="29" t="s">
        <v>43</v>
      </c>
      <c r="G1293" t="e">
        <v>#N/A</v>
      </c>
    </row>
    <row r="1294" spans="1:7" ht="11.5" hidden="1" customHeight="1" x14ac:dyDescent="0.35">
      <c r="A1294" s="29" t="s">
        <v>1521</v>
      </c>
      <c r="B1294" s="29" t="s">
        <v>3282</v>
      </c>
      <c r="C1294" s="16">
        <v>0</v>
      </c>
      <c r="D1294" s="16">
        <v>0</v>
      </c>
      <c r="E1294" s="29" t="s">
        <v>42</v>
      </c>
      <c r="F1294" s="29" t="s">
        <v>43</v>
      </c>
      <c r="G1294" t="e">
        <v>#N/A</v>
      </c>
    </row>
    <row r="1295" spans="1:7" ht="11.5" hidden="1" customHeight="1" x14ac:dyDescent="0.35">
      <c r="A1295" s="29" t="s">
        <v>1522</v>
      </c>
      <c r="B1295" s="29" t="s">
        <v>3283</v>
      </c>
      <c r="C1295" s="16">
        <v>0</v>
      </c>
      <c r="D1295" s="16">
        <v>0</v>
      </c>
      <c r="E1295" s="29" t="s">
        <v>42</v>
      </c>
      <c r="F1295" s="29" t="s">
        <v>43</v>
      </c>
      <c r="G1295" t="e">
        <v>#N/A</v>
      </c>
    </row>
    <row r="1296" spans="1:7" ht="11.5" hidden="1" customHeight="1" x14ac:dyDescent="0.35">
      <c r="A1296" s="29" t="s">
        <v>1523</v>
      </c>
      <c r="B1296" s="29" t="s">
        <v>3284</v>
      </c>
      <c r="C1296" s="16">
        <v>0</v>
      </c>
      <c r="D1296" s="16">
        <v>0</v>
      </c>
      <c r="E1296" s="29" t="s">
        <v>42</v>
      </c>
      <c r="F1296" s="29" t="s">
        <v>43</v>
      </c>
      <c r="G1296" t="e">
        <v>#N/A</v>
      </c>
    </row>
    <row r="1297" spans="1:7" ht="11.5" hidden="1" customHeight="1" x14ac:dyDescent="0.35">
      <c r="A1297" s="29" t="s">
        <v>1524</v>
      </c>
      <c r="B1297" s="29" t="s">
        <v>3285</v>
      </c>
      <c r="C1297" s="16">
        <v>0</v>
      </c>
      <c r="D1297" s="16">
        <v>0</v>
      </c>
      <c r="E1297" s="29" t="s">
        <v>42</v>
      </c>
      <c r="F1297" s="29" t="s">
        <v>43</v>
      </c>
      <c r="G1297" t="e">
        <v>#N/A</v>
      </c>
    </row>
    <row r="1298" spans="1:7" ht="11.5" hidden="1" customHeight="1" x14ac:dyDescent="0.35">
      <c r="A1298" s="29" t="s">
        <v>1525</v>
      </c>
      <c r="B1298" s="29" t="s">
        <v>3286</v>
      </c>
      <c r="C1298" s="16">
        <v>0</v>
      </c>
      <c r="D1298" s="16">
        <v>0</v>
      </c>
      <c r="E1298" s="29" t="s">
        <v>42</v>
      </c>
      <c r="F1298" s="29" t="s">
        <v>43</v>
      </c>
      <c r="G1298" t="e">
        <v>#N/A</v>
      </c>
    </row>
    <row r="1299" spans="1:7" ht="11.5" hidden="1" customHeight="1" x14ac:dyDescent="0.35">
      <c r="A1299" s="29" t="s">
        <v>1526</v>
      </c>
      <c r="B1299" s="29" t="s">
        <v>3287</v>
      </c>
      <c r="C1299" s="16">
        <v>0</v>
      </c>
      <c r="D1299" s="16">
        <v>0</v>
      </c>
      <c r="E1299" s="29" t="s">
        <v>42</v>
      </c>
      <c r="F1299" s="29" t="s">
        <v>43</v>
      </c>
      <c r="G1299" t="e">
        <v>#N/A</v>
      </c>
    </row>
    <row r="1300" spans="1:7" ht="11.5" hidden="1" customHeight="1" x14ac:dyDescent="0.35">
      <c r="A1300" s="29" t="s">
        <v>1527</v>
      </c>
      <c r="B1300" s="29" t="s">
        <v>3288</v>
      </c>
      <c r="C1300" s="16">
        <v>0</v>
      </c>
      <c r="D1300" s="16">
        <v>0</v>
      </c>
      <c r="E1300" s="29" t="s">
        <v>42</v>
      </c>
      <c r="F1300" s="29" t="s">
        <v>43</v>
      </c>
      <c r="G1300" t="e">
        <v>#N/A</v>
      </c>
    </row>
    <row r="1301" spans="1:7" ht="11.5" hidden="1" customHeight="1" x14ac:dyDescent="0.35">
      <c r="A1301" s="29" t="s">
        <v>1528</v>
      </c>
      <c r="B1301" s="29" t="s">
        <v>3289</v>
      </c>
      <c r="C1301" s="16">
        <v>0</v>
      </c>
      <c r="D1301" s="16">
        <v>0</v>
      </c>
      <c r="E1301" s="29" t="s">
        <v>42</v>
      </c>
      <c r="F1301" s="29" t="s">
        <v>43</v>
      </c>
      <c r="G1301" t="e">
        <v>#N/A</v>
      </c>
    </row>
    <row r="1302" spans="1:7" ht="11.5" hidden="1" customHeight="1" x14ac:dyDescent="0.35">
      <c r="A1302" s="29" t="s">
        <v>1529</v>
      </c>
      <c r="B1302" s="29" t="s">
        <v>3290</v>
      </c>
      <c r="C1302" s="16">
        <v>0</v>
      </c>
      <c r="D1302" s="16">
        <v>0</v>
      </c>
      <c r="E1302" s="29" t="s">
        <v>42</v>
      </c>
      <c r="F1302" s="29" t="s">
        <v>43</v>
      </c>
      <c r="G1302" t="e">
        <v>#N/A</v>
      </c>
    </row>
    <row r="1303" spans="1:7" ht="11.5" hidden="1" customHeight="1" x14ac:dyDescent="0.35">
      <c r="A1303" s="29" t="s">
        <v>1530</v>
      </c>
      <c r="B1303" s="29" t="s">
        <v>3291</v>
      </c>
      <c r="C1303" s="16">
        <v>0</v>
      </c>
      <c r="D1303" s="16">
        <v>0</v>
      </c>
      <c r="E1303" s="29" t="s">
        <v>42</v>
      </c>
      <c r="F1303" s="29" t="s">
        <v>43</v>
      </c>
      <c r="G1303" t="e">
        <v>#N/A</v>
      </c>
    </row>
    <row r="1304" spans="1:7" ht="11.5" hidden="1" customHeight="1" x14ac:dyDescent="0.35">
      <c r="A1304" s="29" t="s">
        <v>1531</v>
      </c>
      <c r="B1304" s="29" t="s">
        <v>3292</v>
      </c>
      <c r="C1304" s="16">
        <v>0</v>
      </c>
      <c r="D1304" s="16">
        <v>0</v>
      </c>
      <c r="E1304" s="29" t="s">
        <v>42</v>
      </c>
      <c r="F1304" s="29" t="s">
        <v>43</v>
      </c>
      <c r="G1304" t="e">
        <v>#N/A</v>
      </c>
    </row>
    <row r="1305" spans="1:7" ht="11.5" hidden="1" customHeight="1" x14ac:dyDescent="0.35">
      <c r="A1305" s="29" t="s">
        <v>1532</v>
      </c>
      <c r="B1305" s="29" t="s">
        <v>3293</v>
      </c>
      <c r="C1305" s="16">
        <v>0</v>
      </c>
      <c r="D1305" s="16">
        <v>0</v>
      </c>
      <c r="E1305" s="29" t="s">
        <v>42</v>
      </c>
      <c r="F1305" s="29" t="s">
        <v>43</v>
      </c>
      <c r="G1305" t="e">
        <v>#N/A</v>
      </c>
    </row>
    <row r="1306" spans="1:7" ht="11.5" hidden="1" customHeight="1" x14ac:dyDescent="0.35">
      <c r="A1306" s="29" t="s">
        <v>1533</v>
      </c>
      <c r="B1306" s="29" t="s">
        <v>3294</v>
      </c>
      <c r="C1306" s="16">
        <v>0</v>
      </c>
      <c r="D1306" s="16">
        <v>0</v>
      </c>
      <c r="E1306" s="29" t="s">
        <v>42</v>
      </c>
      <c r="F1306" s="29" t="s">
        <v>43</v>
      </c>
      <c r="G1306" t="e">
        <v>#N/A</v>
      </c>
    </row>
    <row r="1307" spans="1:7" ht="11.5" hidden="1" customHeight="1" x14ac:dyDescent="0.35">
      <c r="A1307" s="29" t="s">
        <v>1534</v>
      </c>
      <c r="B1307" s="29" t="s">
        <v>3295</v>
      </c>
      <c r="C1307" s="16">
        <v>0</v>
      </c>
      <c r="D1307" s="16">
        <v>0</v>
      </c>
      <c r="E1307" s="29" t="s">
        <v>42</v>
      </c>
      <c r="F1307" s="29" t="s">
        <v>43</v>
      </c>
      <c r="G1307" t="e">
        <v>#N/A</v>
      </c>
    </row>
    <row r="1308" spans="1:7" ht="11.5" hidden="1" customHeight="1" x14ac:dyDescent="0.35">
      <c r="A1308" s="29" t="s">
        <v>1535</v>
      </c>
      <c r="B1308" s="29" t="s">
        <v>3296</v>
      </c>
      <c r="C1308" s="16">
        <v>0</v>
      </c>
      <c r="D1308" s="16">
        <v>0</v>
      </c>
      <c r="E1308" s="29" t="s">
        <v>42</v>
      </c>
      <c r="F1308" s="29" t="s">
        <v>43</v>
      </c>
      <c r="G1308" t="e">
        <v>#N/A</v>
      </c>
    </row>
    <row r="1309" spans="1:7" ht="11.5" hidden="1" customHeight="1" x14ac:dyDescent="0.35">
      <c r="A1309" s="29" t="s">
        <v>1536</v>
      </c>
      <c r="B1309" s="29" t="s">
        <v>3297</v>
      </c>
      <c r="C1309" s="16">
        <v>0</v>
      </c>
      <c r="D1309" s="16">
        <v>0</v>
      </c>
      <c r="E1309" s="29" t="s">
        <v>42</v>
      </c>
      <c r="F1309" s="29" t="s">
        <v>43</v>
      </c>
      <c r="G1309" t="e">
        <v>#N/A</v>
      </c>
    </row>
    <row r="1310" spans="1:7" ht="11.5" hidden="1" customHeight="1" x14ac:dyDescent="0.35">
      <c r="A1310" s="29" t="s">
        <v>1537</v>
      </c>
      <c r="B1310" s="29" t="s">
        <v>3298</v>
      </c>
      <c r="C1310" s="16">
        <v>0</v>
      </c>
      <c r="D1310" s="16">
        <v>0</v>
      </c>
      <c r="E1310" s="29" t="s">
        <v>42</v>
      </c>
      <c r="F1310" s="29" t="s">
        <v>43</v>
      </c>
      <c r="G1310" t="e">
        <v>#N/A</v>
      </c>
    </row>
    <row r="1311" spans="1:7" ht="11.5" hidden="1" customHeight="1" x14ac:dyDescent="0.35">
      <c r="A1311" s="29" t="s">
        <v>1538</v>
      </c>
      <c r="B1311" s="29" t="s">
        <v>3299</v>
      </c>
      <c r="C1311" s="16">
        <v>0</v>
      </c>
      <c r="D1311" s="16">
        <v>0</v>
      </c>
      <c r="E1311" s="29" t="s">
        <v>42</v>
      </c>
      <c r="F1311" s="29" t="s">
        <v>43</v>
      </c>
      <c r="G1311" t="e">
        <v>#N/A</v>
      </c>
    </row>
    <row r="1312" spans="1:7" ht="11.5" hidden="1" customHeight="1" x14ac:dyDescent="0.35">
      <c r="A1312" s="29" t="s">
        <v>1539</v>
      </c>
      <c r="B1312" s="29" t="s">
        <v>3300</v>
      </c>
      <c r="C1312" s="16">
        <v>0</v>
      </c>
      <c r="D1312" s="16">
        <v>0</v>
      </c>
      <c r="E1312" s="29" t="s">
        <v>42</v>
      </c>
      <c r="F1312" s="29" t="s">
        <v>43</v>
      </c>
      <c r="G1312" t="e">
        <v>#N/A</v>
      </c>
    </row>
    <row r="1313" spans="1:7" ht="11.5" hidden="1" customHeight="1" x14ac:dyDescent="0.35">
      <c r="A1313" s="29" t="s">
        <v>1540</v>
      </c>
      <c r="B1313" s="29" t="s">
        <v>3301</v>
      </c>
      <c r="C1313" s="16">
        <v>0</v>
      </c>
      <c r="D1313" s="16">
        <v>0</v>
      </c>
      <c r="E1313" s="29" t="s">
        <v>42</v>
      </c>
      <c r="F1313" s="29" t="s">
        <v>43</v>
      </c>
      <c r="G1313" t="e">
        <v>#N/A</v>
      </c>
    </row>
    <row r="1314" spans="1:7" ht="11.5" hidden="1" customHeight="1" x14ac:dyDescent="0.35">
      <c r="A1314" s="29" t="s">
        <v>1541</v>
      </c>
      <c r="B1314" s="29" t="s">
        <v>3302</v>
      </c>
      <c r="C1314" s="16">
        <v>0</v>
      </c>
      <c r="D1314" s="16">
        <v>0</v>
      </c>
      <c r="E1314" s="29" t="s">
        <v>42</v>
      </c>
      <c r="F1314" s="29" t="s">
        <v>43</v>
      </c>
      <c r="G1314" t="e">
        <v>#N/A</v>
      </c>
    </row>
    <row r="1315" spans="1:7" ht="11.5" hidden="1" customHeight="1" x14ac:dyDescent="0.35">
      <c r="A1315" s="29" t="s">
        <v>1542</v>
      </c>
      <c r="B1315" s="29" t="s">
        <v>3303</v>
      </c>
      <c r="C1315" s="16">
        <v>0</v>
      </c>
      <c r="D1315" s="16">
        <v>0</v>
      </c>
      <c r="E1315" s="29" t="s">
        <v>42</v>
      </c>
      <c r="F1315" s="29" t="s">
        <v>43</v>
      </c>
      <c r="G1315" t="e">
        <v>#N/A</v>
      </c>
    </row>
    <row r="1316" spans="1:7" ht="11.5" hidden="1" customHeight="1" x14ac:dyDescent="0.35">
      <c r="A1316" s="29" t="s">
        <v>1543</v>
      </c>
      <c r="B1316" s="29" t="s">
        <v>3304</v>
      </c>
      <c r="C1316" s="16">
        <v>0</v>
      </c>
      <c r="D1316" s="16">
        <v>0</v>
      </c>
      <c r="E1316" s="29" t="s">
        <v>42</v>
      </c>
      <c r="F1316" s="29" t="s">
        <v>43</v>
      </c>
      <c r="G1316" t="e">
        <v>#N/A</v>
      </c>
    </row>
    <row r="1317" spans="1:7" ht="11.5" hidden="1" customHeight="1" x14ac:dyDescent="0.35">
      <c r="A1317" s="29" t="s">
        <v>1544</v>
      </c>
      <c r="B1317" s="29" t="s">
        <v>3305</v>
      </c>
      <c r="C1317" s="16">
        <v>0</v>
      </c>
      <c r="D1317" s="16">
        <v>0</v>
      </c>
      <c r="E1317" s="29" t="s">
        <v>42</v>
      </c>
      <c r="F1317" s="29" t="s">
        <v>43</v>
      </c>
      <c r="G1317" t="e">
        <v>#N/A</v>
      </c>
    </row>
    <row r="1318" spans="1:7" ht="11.5" hidden="1" customHeight="1" x14ac:dyDescent="0.35">
      <c r="A1318" s="29" t="s">
        <v>1545</v>
      </c>
      <c r="B1318" s="29" t="s">
        <v>3306</v>
      </c>
      <c r="C1318" s="16">
        <v>0</v>
      </c>
      <c r="D1318" s="16">
        <v>0</v>
      </c>
      <c r="E1318" s="29" t="s">
        <v>42</v>
      </c>
      <c r="F1318" s="29" t="s">
        <v>43</v>
      </c>
      <c r="G1318" t="e">
        <v>#N/A</v>
      </c>
    </row>
    <row r="1319" spans="1:7" ht="11.5" hidden="1" customHeight="1" x14ac:dyDescent="0.35">
      <c r="A1319" s="29" t="s">
        <v>1546</v>
      </c>
      <c r="B1319" s="29" t="s">
        <v>3307</v>
      </c>
      <c r="C1319" s="16">
        <v>0</v>
      </c>
      <c r="D1319" s="16">
        <v>0</v>
      </c>
      <c r="E1319" s="29" t="s">
        <v>42</v>
      </c>
      <c r="F1319" s="29" t="s">
        <v>43</v>
      </c>
      <c r="G1319" t="e">
        <v>#N/A</v>
      </c>
    </row>
    <row r="1320" spans="1:7" ht="11.5" hidden="1" customHeight="1" x14ac:dyDescent="0.35">
      <c r="A1320" s="29" t="s">
        <v>1547</v>
      </c>
      <c r="B1320" s="29" t="s">
        <v>3308</v>
      </c>
      <c r="C1320" s="16">
        <v>0</v>
      </c>
      <c r="D1320" s="16">
        <v>0</v>
      </c>
      <c r="E1320" s="29" t="s">
        <v>42</v>
      </c>
      <c r="F1320" s="29" t="s">
        <v>43</v>
      </c>
      <c r="G1320" t="e">
        <v>#N/A</v>
      </c>
    </row>
    <row r="1321" spans="1:7" ht="11.5" hidden="1" customHeight="1" x14ac:dyDescent="0.35">
      <c r="A1321" s="29" t="s">
        <v>1548</v>
      </c>
      <c r="B1321" s="29" t="s">
        <v>3309</v>
      </c>
      <c r="C1321" s="16">
        <v>0</v>
      </c>
      <c r="D1321" s="16">
        <v>0</v>
      </c>
      <c r="E1321" s="29" t="s">
        <v>42</v>
      </c>
      <c r="F1321" s="29" t="s">
        <v>43</v>
      </c>
      <c r="G1321" t="e">
        <v>#N/A</v>
      </c>
    </row>
    <row r="1322" spans="1:7" ht="11.5" hidden="1" customHeight="1" x14ac:dyDescent="0.35">
      <c r="A1322" s="29" t="s">
        <v>1549</v>
      </c>
      <c r="B1322" s="29" t="s">
        <v>3310</v>
      </c>
      <c r="C1322" s="16">
        <v>0</v>
      </c>
      <c r="D1322" s="16">
        <v>0</v>
      </c>
      <c r="E1322" s="29" t="s">
        <v>42</v>
      </c>
      <c r="F1322" s="29" t="s">
        <v>43</v>
      </c>
      <c r="G1322" t="e">
        <v>#N/A</v>
      </c>
    </row>
    <row r="1323" spans="1:7" ht="11.5" hidden="1" customHeight="1" x14ac:dyDescent="0.35">
      <c r="A1323" s="29" t="s">
        <v>1550</v>
      </c>
      <c r="B1323" s="29" t="s">
        <v>3311</v>
      </c>
      <c r="C1323" s="16">
        <v>0</v>
      </c>
      <c r="D1323" s="16">
        <v>0</v>
      </c>
      <c r="E1323" s="29" t="s">
        <v>42</v>
      </c>
      <c r="F1323" s="29" t="s">
        <v>43</v>
      </c>
      <c r="G1323" t="e">
        <v>#N/A</v>
      </c>
    </row>
    <row r="1324" spans="1:7" ht="11.5" hidden="1" customHeight="1" x14ac:dyDescent="0.35">
      <c r="A1324" s="29" t="s">
        <v>1551</v>
      </c>
      <c r="B1324" s="29" t="s">
        <v>3312</v>
      </c>
      <c r="C1324" s="16">
        <v>0</v>
      </c>
      <c r="D1324" s="16">
        <v>0</v>
      </c>
      <c r="E1324" s="29" t="s">
        <v>42</v>
      </c>
      <c r="F1324" s="29" t="s">
        <v>43</v>
      </c>
      <c r="G1324" t="e">
        <v>#N/A</v>
      </c>
    </row>
    <row r="1325" spans="1:7" ht="11.5" hidden="1" customHeight="1" x14ac:dyDescent="0.35">
      <c r="A1325" s="29" t="s">
        <v>1552</v>
      </c>
      <c r="B1325" s="29" t="s">
        <v>3313</v>
      </c>
      <c r="C1325" s="16">
        <v>0</v>
      </c>
      <c r="D1325" s="16">
        <v>0</v>
      </c>
      <c r="E1325" s="29" t="s">
        <v>42</v>
      </c>
      <c r="F1325" s="29" t="s">
        <v>43</v>
      </c>
      <c r="G1325" t="e">
        <v>#N/A</v>
      </c>
    </row>
    <row r="1326" spans="1:7" ht="11.5" hidden="1" customHeight="1" x14ac:dyDescent="0.35">
      <c r="A1326" s="29" t="s">
        <v>1553</v>
      </c>
      <c r="B1326" s="29" t="s">
        <v>3314</v>
      </c>
      <c r="C1326" s="16">
        <v>0</v>
      </c>
      <c r="D1326" s="16">
        <v>0</v>
      </c>
      <c r="E1326" s="29" t="s">
        <v>42</v>
      </c>
      <c r="F1326" s="29" t="s">
        <v>43</v>
      </c>
      <c r="G1326" t="e">
        <v>#N/A</v>
      </c>
    </row>
    <row r="1327" spans="1:7" ht="11.5" hidden="1" customHeight="1" x14ac:dyDescent="0.35">
      <c r="A1327" s="29" t="s">
        <v>1554</v>
      </c>
      <c r="B1327" s="29" t="s">
        <v>3315</v>
      </c>
      <c r="C1327" s="16">
        <v>0</v>
      </c>
      <c r="D1327" s="16">
        <v>0</v>
      </c>
      <c r="E1327" s="29" t="s">
        <v>42</v>
      </c>
      <c r="F1327" s="29" t="s">
        <v>43</v>
      </c>
      <c r="G1327" t="e">
        <v>#N/A</v>
      </c>
    </row>
    <row r="1328" spans="1:7" ht="11.5" hidden="1" customHeight="1" x14ac:dyDescent="0.35">
      <c r="A1328" s="29" t="s">
        <v>1555</v>
      </c>
      <c r="B1328" s="29" t="s">
        <v>3316</v>
      </c>
      <c r="C1328" s="16">
        <v>0</v>
      </c>
      <c r="D1328" s="16">
        <v>0</v>
      </c>
      <c r="E1328" s="29" t="s">
        <v>42</v>
      </c>
      <c r="F1328" s="29" t="s">
        <v>43</v>
      </c>
      <c r="G1328" t="s">
        <v>3912</v>
      </c>
    </row>
    <row r="1329" spans="1:7" ht="11.5" hidden="1" customHeight="1" x14ac:dyDescent="0.35">
      <c r="A1329" s="29" t="s">
        <v>1556</v>
      </c>
      <c r="B1329" s="29" t="s">
        <v>3317</v>
      </c>
      <c r="C1329" s="16">
        <v>0</v>
      </c>
      <c r="D1329" s="16">
        <v>0</v>
      </c>
      <c r="E1329" s="29" t="s">
        <v>42</v>
      </c>
      <c r="F1329" s="29" t="s">
        <v>43</v>
      </c>
      <c r="G1329" t="e">
        <v>#N/A</v>
      </c>
    </row>
    <row r="1330" spans="1:7" ht="11.5" hidden="1" customHeight="1" x14ac:dyDescent="0.35">
      <c r="A1330" s="29" t="s">
        <v>1557</v>
      </c>
      <c r="B1330" s="29" t="s">
        <v>3318</v>
      </c>
      <c r="C1330" s="16">
        <v>0</v>
      </c>
      <c r="D1330" s="16">
        <v>0</v>
      </c>
      <c r="E1330" s="29" t="s">
        <v>42</v>
      </c>
      <c r="F1330" s="29" t="s">
        <v>43</v>
      </c>
      <c r="G1330" t="e">
        <v>#N/A</v>
      </c>
    </row>
    <row r="1331" spans="1:7" ht="11.5" hidden="1" customHeight="1" x14ac:dyDescent="0.35">
      <c r="A1331" s="29" t="s">
        <v>1558</v>
      </c>
      <c r="B1331" s="29" t="s">
        <v>3319</v>
      </c>
      <c r="C1331" s="16">
        <v>0</v>
      </c>
      <c r="D1331" s="16">
        <v>0</v>
      </c>
      <c r="E1331" s="29" t="s">
        <v>42</v>
      </c>
      <c r="F1331" s="29" t="s">
        <v>43</v>
      </c>
      <c r="G1331" t="e">
        <v>#N/A</v>
      </c>
    </row>
    <row r="1332" spans="1:7" ht="11.5" hidden="1" customHeight="1" x14ac:dyDescent="0.35">
      <c r="A1332" s="29" t="s">
        <v>1559</v>
      </c>
      <c r="B1332" s="29" t="s">
        <v>3320</v>
      </c>
      <c r="C1332" s="16">
        <v>0</v>
      </c>
      <c r="D1332" s="16">
        <v>0</v>
      </c>
      <c r="E1332" s="29" t="s">
        <v>42</v>
      </c>
      <c r="F1332" s="29" t="s">
        <v>43</v>
      </c>
      <c r="G1332" t="e">
        <v>#N/A</v>
      </c>
    </row>
    <row r="1333" spans="1:7" ht="11.5" hidden="1" customHeight="1" x14ac:dyDescent="0.35">
      <c r="A1333" s="29" t="s">
        <v>1560</v>
      </c>
      <c r="B1333" s="29" t="s">
        <v>3321</v>
      </c>
      <c r="C1333" s="16">
        <v>0</v>
      </c>
      <c r="D1333" s="16">
        <v>0</v>
      </c>
      <c r="E1333" s="29" t="s">
        <v>42</v>
      </c>
      <c r="F1333" s="29" t="s">
        <v>43</v>
      </c>
      <c r="G1333" t="e">
        <v>#N/A</v>
      </c>
    </row>
    <row r="1334" spans="1:7" ht="11.5" hidden="1" customHeight="1" x14ac:dyDescent="0.35">
      <c r="A1334" s="29" t="s">
        <v>1561</v>
      </c>
      <c r="B1334" s="29" t="s">
        <v>3322</v>
      </c>
      <c r="C1334" s="16">
        <v>0</v>
      </c>
      <c r="D1334" s="16">
        <v>0</v>
      </c>
      <c r="E1334" s="29" t="s">
        <v>42</v>
      </c>
      <c r="F1334" s="29" t="s">
        <v>43</v>
      </c>
      <c r="G1334" t="e">
        <v>#N/A</v>
      </c>
    </row>
    <row r="1335" spans="1:7" ht="11.5" hidden="1" customHeight="1" x14ac:dyDescent="0.35">
      <c r="A1335" s="29" t="s">
        <v>1562</v>
      </c>
      <c r="B1335" s="29" t="s">
        <v>3323</v>
      </c>
      <c r="C1335" s="16">
        <v>0</v>
      </c>
      <c r="D1335" s="16">
        <v>0</v>
      </c>
      <c r="E1335" s="29" t="s">
        <v>42</v>
      </c>
      <c r="F1335" s="29" t="s">
        <v>43</v>
      </c>
      <c r="G1335" t="e">
        <v>#N/A</v>
      </c>
    </row>
    <row r="1336" spans="1:7" ht="11.5" hidden="1" customHeight="1" x14ac:dyDescent="0.35">
      <c r="A1336" s="29" t="s">
        <v>1563</v>
      </c>
      <c r="B1336" s="29" t="s">
        <v>3324</v>
      </c>
      <c r="C1336" s="16">
        <v>0</v>
      </c>
      <c r="D1336" s="16">
        <v>0</v>
      </c>
      <c r="E1336" s="29" t="s">
        <v>42</v>
      </c>
      <c r="F1336" s="29" t="s">
        <v>43</v>
      </c>
      <c r="G1336" t="e">
        <v>#N/A</v>
      </c>
    </row>
    <row r="1337" spans="1:7" ht="11.5" hidden="1" customHeight="1" x14ac:dyDescent="0.35">
      <c r="A1337" s="29" t="s">
        <v>1564</v>
      </c>
      <c r="B1337" s="29" t="s">
        <v>3325</v>
      </c>
      <c r="C1337" s="16">
        <v>0</v>
      </c>
      <c r="D1337" s="16">
        <v>0</v>
      </c>
      <c r="E1337" s="29" t="s">
        <v>42</v>
      </c>
      <c r="F1337" s="29" t="s">
        <v>43</v>
      </c>
      <c r="G1337" t="e">
        <v>#N/A</v>
      </c>
    </row>
    <row r="1338" spans="1:7" ht="11.5" hidden="1" customHeight="1" x14ac:dyDescent="0.35">
      <c r="A1338" s="29" t="s">
        <v>1565</v>
      </c>
      <c r="B1338" s="29" t="s">
        <v>3325</v>
      </c>
      <c r="C1338" s="16">
        <v>0</v>
      </c>
      <c r="D1338" s="16">
        <v>0</v>
      </c>
      <c r="E1338" s="29" t="s">
        <v>42</v>
      </c>
      <c r="F1338" s="29" t="s">
        <v>43</v>
      </c>
      <c r="G1338" t="e">
        <v>#N/A</v>
      </c>
    </row>
    <row r="1339" spans="1:7" ht="11.5" hidden="1" customHeight="1" x14ac:dyDescent="0.35">
      <c r="A1339" s="29" t="s">
        <v>1566</v>
      </c>
      <c r="B1339" s="29" t="s">
        <v>3326</v>
      </c>
      <c r="C1339" s="16">
        <v>0</v>
      </c>
      <c r="D1339" s="16">
        <v>0</v>
      </c>
      <c r="E1339" s="29" t="s">
        <v>42</v>
      </c>
      <c r="F1339" s="29" t="s">
        <v>43</v>
      </c>
      <c r="G1339" t="e">
        <v>#N/A</v>
      </c>
    </row>
    <row r="1340" spans="1:7" ht="11.5" hidden="1" customHeight="1" x14ac:dyDescent="0.35">
      <c r="A1340" s="29" t="s">
        <v>1567</v>
      </c>
      <c r="B1340" s="29" t="s">
        <v>3327</v>
      </c>
      <c r="C1340" s="16">
        <v>0</v>
      </c>
      <c r="D1340" s="16">
        <v>0</v>
      </c>
      <c r="E1340" s="29" t="s">
        <v>42</v>
      </c>
      <c r="F1340" s="29" t="s">
        <v>43</v>
      </c>
      <c r="G1340" t="e">
        <v>#N/A</v>
      </c>
    </row>
    <row r="1341" spans="1:7" ht="11.5" hidden="1" customHeight="1" x14ac:dyDescent="0.35">
      <c r="A1341" s="29" t="s">
        <v>1568</v>
      </c>
      <c r="B1341" s="29" t="s">
        <v>3328</v>
      </c>
      <c r="C1341" s="16">
        <v>0</v>
      </c>
      <c r="D1341" s="16">
        <v>0</v>
      </c>
      <c r="E1341" s="29" t="s">
        <v>42</v>
      </c>
      <c r="F1341" s="29" t="s">
        <v>43</v>
      </c>
      <c r="G1341" t="e">
        <v>#N/A</v>
      </c>
    </row>
    <row r="1342" spans="1:7" ht="11.5" hidden="1" customHeight="1" x14ac:dyDescent="0.35">
      <c r="A1342" s="29" t="s">
        <v>1569</v>
      </c>
      <c r="B1342" s="29" t="s">
        <v>3329</v>
      </c>
      <c r="C1342" s="16">
        <v>0</v>
      </c>
      <c r="D1342" s="16">
        <v>0</v>
      </c>
      <c r="E1342" s="29" t="s">
        <v>42</v>
      </c>
      <c r="F1342" s="29" t="s">
        <v>43</v>
      </c>
      <c r="G1342" t="e">
        <v>#N/A</v>
      </c>
    </row>
    <row r="1343" spans="1:7" ht="11.5" hidden="1" customHeight="1" x14ac:dyDescent="0.35">
      <c r="A1343" s="29" t="s">
        <v>1570</v>
      </c>
      <c r="B1343" s="29" t="s">
        <v>3330</v>
      </c>
      <c r="C1343" s="16">
        <v>0</v>
      </c>
      <c r="D1343" s="16">
        <v>0</v>
      </c>
      <c r="E1343" s="29" t="s">
        <v>42</v>
      </c>
      <c r="F1343" s="29" t="s">
        <v>43</v>
      </c>
      <c r="G1343" t="e">
        <v>#N/A</v>
      </c>
    </row>
    <row r="1344" spans="1:7" ht="11.5" hidden="1" customHeight="1" x14ac:dyDescent="0.35">
      <c r="A1344" s="29" t="s">
        <v>1571</v>
      </c>
      <c r="B1344" s="29" t="s">
        <v>3331</v>
      </c>
      <c r="C1344" s="16">
        <v>0</v>
      </c>
      <c r="D1344" s="16">
        <v>0</v>
      </c>
      <c r="E1344" s="29" t="s">
        <v>42</v>
      </c>
      <c r="F1344" s="29" t="s">
        <v>43</v>
      </c>
      <c r="G1344" t="e">
        <v>#N/A</v>
      </c>
    </row>
    <row r="1345" spans="1:7" ht="11.5" hidden="1" customHeight="1" x14ac:dyDescent="0.35">
      <c r="A1345" s="29" t="s">
        <v>1572</v>
      </c>
      <c r="B1345" s="29" t="s">
        <v>3332</v>
      </c>
      <c r="C1345" s="16">
        <v>0</v>
      </c>
      <c r="D1345" s="16">
        <v>0</v>
      </c>
      <c r="E1345" s="29" t="s">
        <v>42</v>
      </c>
      <c r="F1345" s="29" t="s">
        <v>43</v>
      </c>
      <c r="G1345" t="e">
        <v>#N/A</v>
      </c>
    </row>
    <row r="1346" spans="1:7" ht="11.5" hidden="1" customHeight="1" x14ac:dyDescent="0.35">
      <c r="A1346" s="29" t="s">
        <v>1573</v>
      </c>
      <c r="B1346" s="29" t="s">
        <v>3333</v>
      </c>
      <c r="C1346" s="16">
        <v>0</v>
      </c>
      <c r="D1346" s="16">
        <v>0</v>
      </c>
      <c r="E1346" s="29" t="s">
        <v>42</v>
      </c>
      <c r="F1346" s="29" t="s">
        <v>43</v>
      </c>
      <c r="G1346" t="e">
        <v>#N/A</v>
      </c>
    </row>
    <row r="1347" spans="1:7" ht="11.5" hidden="1" customHeight="1" x14ac:dyDescent="0.35">
      <c r="A1347" s="29" t="s">
        <v>1574</v>
      </c>
      <c r="B1347" s="29" t="s">
        <v>3334</v>
      </c>
      <c r="C1347" s="16">
        <v>0</v>
      </c>
      <c r="D1347" s="16">
        <v>0</v>
      </c>
      <c r="E1347" s="29" t="s">
        <v>42</v>
      </c>
      <c r="F1347" s="29" t="s">
        <v>43</v>
      </c>
      <c r="G1347" t="e">
        <v>#N/A</v>
      </c>
    </row>
    <row r="1348" spans="1:7" ht="11.5" hidden="1" customHeight="1" x14ac:dyDescent="0.35">
      <c r="A1348" s="29" t="s">
        <v>1575</v>
      </c>
      <c r="B1348" s="29" t="s">
        <v>3335</v>
      </c>
      <c r="C1348" s="16">
        <v>0</v>
      </c>
      <c r="D1348" s="16">
        <v>0</v>
      </c>
      <c r="E1348" s="29" t="s">
        <v>42</v>
      </c>
      <c r="F1348" s="29" t="s">
        <v>43</v>
      </c>
      <c r="G1348" t="e">
        <v>#N/A</v>
      </c>
    </row>
    <row r="1349" spans="1:7" ht="11.5" hidden="1" customHeight="1" x14ac:dyDescent="0.35">
      <c r="A1349" s="29" t="s">
        <v>1576</v>
      </c>
      <c r="B1349" s="29" t="s">
        <v>3336</v>
      </c>
      <c r="C1349" s="16">
        <v>0</v>
      </c>
      <c r="D1349" s="16">
        <v>0</v>
      </c>
      <c r="E1349" s="29" t="s">
        <v>42</v>
      </c>
      <c r="F1349" s="29" t="s">
        <v>43</v>
      </c>
      <c r="G1349" t="e">
        <v>#N/A</v>
      </c>
    </row>
    <row r="1350" spans="1:7" ht="11.5" hidden="1" customHeight="1" x14ac:dyDescent="0.35">
      <c r="A1350" s="29" t="s">
        <v>1577</v>
      </c>
      <c r="B1350" s="29" t="s">
        <v>3337</v>
      </c>
      <c r="C1350" s="16">
        <v>0</v>
      </c>
      <c r="D1350" s="16">
        <v>0</v>
      </c>
      <c r="E1350" s="29" t="s">
        <v>42</v>
      </c>
      <c r="F1350" s="29" t="s">
        <v>43</v>
      </c>
      <c r="G1350" t="e">
        <v>#N/A</v>
      </c>
    </row>
    <row r="1351" spans="1:7" ht="11.5" hidden="1" customHeight="1" x14ac:dyDescent="0.35">
      <c r="A1351" s="29" t="s">
        <v>1578</v>
      </c>
      <c r="B1351" s="29" t="s">
        <v>3338</v>
      </c>
      <c r="C1351" s="16">
        <v>0</v>
      </c>
      <c r="D1351" s="16">
        <v>0</v>
      </c>
      <c r="E1351" s="29" t="s">
        <v>42</v>
      </c>
      <c r="F1351" s="29" t="s">
        <v>43</v>
      </c>
      <c r="G1351" t="e">
        <v>#N/A</v>
      </c>
    </row>
    <row r="1352" spans="1:7" ht="11.5" hidden="1" customHeight="1" x14ac:dyDescent="0.35">
      <c r="A1352" s="29" t="s">
        <v>1579</v>
      </c>
      <c r="B1352" s="29" t="s">
        <v>3339</v>
      </c>
      <c r="C1352" s="16">
        <v>0</v>
      </c>
      <c r="D1352" s="16">
        <v>0</v>
      </c>
      <c r="E1352" s="29" t="s">
        <v>42</v>
      </c>
      <c r="F1352" s="29" t="s">
        <v>43</v>
      </c>
      <c r="G1352" t="e">
        <v>#N/A</v>
      </c>
    </row>
    <row r="1353" spans="1:7" ht="11.5" hidden="1" customHeight="1" x14ac:dyDescent="0.35">
      <c r="A1353" s="29" t="s">
        <v>1580</v>
      </c>
      <c r="B1353" s="29" t="s">
        <v>3340</v>
      </c>
      <c r="C1353" s="16">
        <v>0</v>
      </c>
      <c r="D1353" s="16">
        <v>0</v>
      </c>
      <c r="E1353" s="29" t="s">
        <v>42</v>
      </c>
      <c r="F1353" s="29" t="s">
        <v>43</v>
      </c>
      <c r="G1353" t="e">
        <v>#N/A</v>
      </c>
    </row>
    <row r="1354" spans="1:7" ht="11.5" hidden="1" customHeight="1" x14ac:dyDescent="0.35">
      <c r="A1354" s="29" t="s">
        <v>1581</v>
      </c>
      <c r="B1354" s="29" t="s">
        <v>3341</v>
      </c>
      <c r="C1354" s="16">
        <v>0</v>
      </c>
      <c r="D1354" s="16">
        <v>0</v>
      </c>
      <c r="E1354" s="29" t="s">
        <v>42</v>
      </c>
      <c r="F1354" s="29" t="s">
        <v>43</v>
      </c>
      <c r="G1354" t="e">
        <v>#N/A</v>
      </c>
    </row>
    <row r="1355" spans="1:7" ht="11.5" hidden="1" customHeight="1" x14ac:dyDescent="0.35">
      <c r="A1355" s="29" t="s">
        <v>1582</v>
      </c>
      <c r="B1355" s="29" t="s">
        <v>3342</v>
      </c>
      <c r="C1355" s="16">
        <v>0</v>
      </c>
      <c r="D1355" s="16">
        <v>0</v>
      </c>
      <c r="E1355" s="29" t="s">
        <v>42</v>
      </c>
      <c r="F1355" s="29" t="s">
        <v>43</v>
      </c>
      <c r="G1355" t="s">
        <v>3889</v>
      </c>
    </row>
    <row r="1356" spans="1:7" ht="11.5" hidden="1" customHeight="1" x14ac:dyDescent="0.35">
      <c r="A1356" s="29" t="s">
        <v>1583</v>
      </c>
      <c r="B1356" s="29" t="s">
        <v>3343</v>
      </c>
      <c r="C1356" s="16">
        <v>0</v>
      </c>
      <c r="D1356" s="16">
        <v>0</v>
      </c>
      <c r="E1356" s="29" t="s">
        <v>42</v>
      </c>
      <c r="F1356" s="29" t="s">
        <v>43</v>
      </c>
      <c r="G1356" t="e">
        <v>#N/A</v>
      </c>
    </row>
    <row r="1357" spans="1:7" ht="11.5" hidden="1" customHeight="1" x14ac:dyDescent="0.35">
      <c r="A1357" s="29" t="s">
        <v>1584</v>
      </c>
      <c r="B1357" s="29" t="s">
        <v>3344</v>
      </c>
      <c r="C1357" s="16">
        <v>0</v>
      </c>
      <c r="D1357" s="16">
        <v>0</v>
      </c>
      <c r="E1357" s="29" t="s">
        <v>42</v>
      </c>
      <c r="F1357" s="29" t="s">
        <v>43</v>
      </c>
      <c r="G1357" t="e">
        <v>#N/A</v>
      </c>
    </row>
    <row r="1358" spans="1:7" ht="11.5" hidden="1" customHeight="1" x14ac:dyDescent="0.35">
      <c r="A1358" s="29" t="s">
        <v>1585</v>
      </c>
      <c r="B1358" s="29" t="s">
        <v>3345</v>
      </c>
      <c r="C1358" s="16">
        <v>0</v>
      </c>
      <c r="D1358" s="16">
        <v>0</v>
      </c>
      <c r="E1358" s="29" t="s">
        <v>42</v>
      </c>
      <c r="F1358" s="29" t="s">
        <v>43</v>
      </c>
      <c r="G1358" t="e">
        <v>#N/A</v>
      </c>
    </row>
    <row r="1359" spans="1:7" ht="11.5" hidden="1" customHeight="1" x14ac:dyDescent="0.35">
      <c r="A1359" s="29" t="s">
        <v>1586</v>
      </c>
      <c r="B1359" s="29" t="s">
        <v>3346</v>
      </c>
      <c r="C1359" s="16">
        <v>0</v>
      </c>
      <c r="D1359" s="16">
        <v>0</v>
      </c>
      <c r="E1359" s="29" t="s">
        <v>42</v>
      </c>
      <c r="F1359" s="29" t="s">
        <v>43</v>
      </c>
      <c r="G1359" t="e">
        <v>#N/A</v>
      </c>
    </row>
    <row r="1360" spans="1:7" ht="11.5" hidden="1" customHeight="1" x14ac:dyDescent="0.35">
      <c r="A1360" s="29" t="s">
        <v>1587</v>
      </c>
      <c r="B1360" s="29" t="s">
        <v>3347</v>
      </c>
      <c r="C1360" s="16">
        <v>0</v>
      </c>
      <c r="D1360" s="16">
        <v>0</v>
      </c>
      <c r="E1360" s="29" t="s">
        <v>42</v>
      </c>
      <c r="F1360" s="29" t="s">
        <v>43</v>
      </c>
      <c r="G1360" t="e">
        <v>#N/A</v>
      </c>
    </row>
    <row r="1361" spans="1:7" ht="11.5" hidden="1" customHeight="1" x14ac:dyDescent="0.35">
      <c r="A1361" s="29" t="s">
        <v>1588</v>
      </c>
      <c r="B1361" s="29" t="s">
        <v>3348</v>
      </c>
      <c r="C1361" s="16">
        <v>0</v>
      </c>
      <c r="D1361" s="16">
        <v>0</v>
      </c>
      <c r="E1361" s="29" t="s">
        <v>42</v>
      </c>
      <c r="F1361" s="29" t="s">
        <v>43</v>
      </c>
      <c r="G1361" t="e">
        <v>#N/A</v>
      </c>
    </row>
    <row r="1362" spans="1:7" ht="11.5" hidden="1" customHeight="1" x14ac:dyDescent="0.35">
      <c r="A1362" s="29" t="s">
        <v>1589</v>
      </c>
      <c r="B1362" s="29" t="s">
        <v>3349</v>
      </c>
      <c r="C1362" s="16">
        <v>0</v>
      </c>
      <c r="D1362" s="16">
        <v>0</v>
      </c>
      <c r="E1362" s="29" t="s">
        <v>42</v>
      </c>
      <c r="F1362" s="29" t="s">
        <v>43</v>
      </c>
      <c r="G1362" t="e">
        <v>#N/A</v>
      </c>
    </row>
    <row r="1363" spans="1:7" ht="11.5" hidden="1" customHeight="1" x14ac:dyDescent="0.35">
      <c r="A1363" s="29" t="s">
        <v>1590</v>
      </c>
      <c r="B1363" s="29" t="s">
        <v>3350</v>
      </c>
      <c r="C1363" s="16">
        <v>0</v>
      </c>
      <c r="D1363" s="16">
        <v>0</v>
      </c>
      <c r="E1363" s="29" t="s">
        <v>42</v>
      </c>
      <c r="F1363" s="29" t="s">
        <v>43</v>
      </c>
      <c r="G1363" t="e">
        <v>#N/A</v>
      </c>
    </row>
    <row r="1364" spans="1:7" ht="11.5" hidden="1" customHeight="1" x14ac:dyDescent="0.35">
      <c r="A1364" s="29" t="s">
        <v>1591</v>
      </c>
      <c r="B1364" s="29" t="s">
        <v>3351</v>
      </c>
      <c r="C1364" s="16">
        <v>0</v>
      </c>
      <c r="D1364" s="16">
        <v>0</v>
      </c>
      <c r="E1364" s="29" t="s">
        <v>42</v>
      </c>
      <c r="F1364" s="29" t="s">
        <v>43</v>
      </c>
      <c r="G1364" t="e">
        <v>#N/A</v>
      </c>
    </row>
    <row r="1365" spans="1:7" ht="11.5" hidden="1" customHeight="1" x14ac:dyDescent="0.35">
      <c r="A1365" s="29" t="s">
        <v>1592</v>
      </c>
      <c r="B1365" s="29" t="s">
        <v>3352</v>
      </c>
      <c r="C1365" s="16">
        <v>0</v>
      </c>
      <c r="D1365" s="16">
        <v>0</v>
      </c>
      <c r="E1365" s="29" t="s">
        <v>42</v>
      </c>
      <c r="F1365" s="29" t="s">
        <v>43</v>
      </c>
      <c r="G1365" t="e">
        <v>#N/A</v>
      </c>
    </row>
    <row r="1366" spans="1:7" ht="11.5" hidden="1" customHeight="1" x14ac:dyDescent="0.35">
      <c r="A1366" s="29" t="s">
        <v>1593</v>
      </c>
      <c r="B1366" s="29" t="s">
        <v>3353</v>
      </c>
      <c r="C1366" s="16">
        <v>0</v>
      </c>
      <c r="D1366" s="16">
        <v>0</v>
      </c>
      <c r="E1366" s="29" t="s">
        <v>42</v>
      </c>
      <c r="F1366" s="29" t="s">
        <v>43</v>
      </c>
      <c r="G1366" t="e">
        <v>#N/A</v>
      </c>
    </row>
    <row r="1367" spans="1:7" ht="11.5" hidden="1" customHeight="1" x14ac:dyDescent="0.35">
      <c r="A1367" s="29" t="s">
        <v>1594</v>
      </c>
      <c r="B1367" s="29" t="s">
        <v>3354</v>
      </c>
      <c r="C1367" s="16">
        <v>0</v>
      </c>
      <c r="D1367" s="16">
        <v>0</v>
      </c>
      <c r="E1367" s="29" t="s">
        <v>42</v>
      </c>
      <c r="F1367" s="29" t="s">
        <v>43</v>
      </c>
      <c r="G1367" t="e">
        <v>#N/A</v>
      </c>
    </row>
    <row r="1368" spans="1:7" ht="11.5" hidden="1" customHeight="1" x14ac:dyDescent="0.35">
      <c r="A1368" s="29" t="s">
        <v>1595</v>
      </c>
      <c r="B1368" s="29" t="s">
        <v>3355</v>
      </c>
      <c r="C1368" s="16">
        <v>0</v>
      </c>
      <c r="D1368" s="16">
        <v>0</v>
      </c>
      <c r="E1368" s="29" t="s">
        <v>42</v>
      </c>
      <c r="F1368" s="29" t="s">
        <v>43</v>
      </c>
      <c r="G1368" t="e">
        <v>#N/A</v>
      </c>
    </row>
    <row r="1369" spans="1:7" ht="11.5" hidden="1" customHeight="1" x14ac:dyDescent="0.35">
      <c r="A1369" s="29" t="s">
        <v>1596</v>
      </c>
      <c r="B1369" s="29" t="s">
        <v>3356</v>
      </c>
      <c r="C1369" s="16">
        <v>0</v>
      </c>
      <c r="D1369" s="16">
        <v>0</v>
      </c>
      <c r="E1369" s="29" t="s">
        <v>42</v>
      </c>
      <c r="F1369" s="29" t="s">
        <v>43</v>
      </c>
      <c r="G1369" t="e">
        <v>#N/A</v>
      </c>
    </row>
    <row r="1370" spans="1:7" ht="11.5" hidden="1" customHeight="1" x14ac:dyDescent="0.35">
      <c r="A1370" s="29" t="s">
        <v>1597</v>
      </c>
      <c r="B1370" s="29" t="s">
        <v>3357</v>
      </c>
      <c r="C1370" s="16">
        <v>0</v>
      </c>
      <c r="D1370" s="16">
        <v>0</v>
      </c>
      <c r="E1370" s="29" t="s">
        <v>42</v>
      </c>
      <c r="F1370" s="29" t="s">
        <v>43</v>
      </c>
      <c r="G1370" t="e">
        <v>#N/A</v>
      </c>
    </row>
    <row r="1371" spans="1:7" ht="11.5" hidden="1" customHeight="1" x14ac:dyDescent="0.35">
      <c r="A1371" s="29" t="s">
        <v>1598</v>
      </c>
      <c r="B1371" s="29" t="s">
        <v>3358</v>
      </c>
      <c r="C1371" s="16">
        <v>0</v>
      </c>
      <c r="D1371" s="16">
        <v>0</v>
      </c>
      <c r="E1371" s="29" t="s">
        <v>42</v>
      </c>
      <c r="F1371" s="29" t="s">
        <v>43</v>
      </c>
      <c r="G1371" t="e">
        <v>#N/A</v>
      </c>
    </row>
    <row r="1372" spans="1:7" ht="11.5" hidden="1" customHeight="1" x14ac:dyDescent="0.35">
      <c r="A1372" s="29" t="s">
        <v>1599</v>
      </c>
      <c r="B1372" s="29" t="s">
        <v>3359</v>
      </c>
      <c r="C1372" s="16">
        <v>0</v>
      </c>
      <c r="D1372" s="16">
        <v>0</v>
      </c>
      <c r="E1372" s="29" t="s">
        <v>42</v>
      </c>
      <c r="F1372" s="29" t="s">
        <v>43</v>
      </c>
      <c r="G1372" t="e">
        <v>#N/A</v>
      </c>
    </row>
    <row r="1373" spans="1:7" ht="11.5" hidden="1" customHeight="1" x14ac:dyDescent="0.35">
      <c r="A1373" s="29" t="s">
        <v>1600</v>
      </c>
      <c r="B1373" s="29" t="s">
        <v>3360</v>
      </c>
      <c r="C1373" s="16">
        <v>0</v>
      </c>
      <c r="D1373" s="16">
        <v>0</v>
      </c>
      <c r="E1373" s="29" t="s">
        <v>42</v>
      </c>
      <c r="F1373" s="29" t="s">
        <v>43</v>
      </c>
      <c r="G1373" t="e">
        <v>#N/A</v>
      </c>
    </row>
    <row r="1374" spans="1:7" ht="11.5" hidden="1" customHeight="1" x14ac:dyDescent="0.35">
      <c r="A1374" s="29" t="s">
        <v>1601</v>
      </c>
      <c r="B1374" s="29" t="s">
        <v>3361</v>
      </c>
      <c r="C1374" s="16">
        <v>0</v>
      </c>
      <c r="D1374" s="16">
        <v>0</v>
      </c>
      <c r="E1374" s="29" t="s">
        <v>42</v>
      </c>
      <c r="F1374" s="29" t="s">
        <v>43</v>
      </c>
      <c r="G1374" t="e">
        <v>#N/A</v>
      </c>
    </row>
    <row r="1375" spans="1:7" ht="11.5" hidden="1" customHeight="1" x14ac:dyDescent="0.35">
      <c r="A1375" s="29" t="s">
        <v>1602</v>
      </c>
      <c r="B1375" s="29" t="s">
        <v>3362</v>
      </c>
      <c r="C1375" s="16">
        <v>0</v>
      </c>
      <c r="D1375" s="16">
        <v>0</v>
      </c>
      <c r="E1375" s="29" t="s">
        <v>42</v>
      </c>
      <c r="F1375" s="29" t="s">
        <v>43</v>
      </c>
      <c r="G1375" t="e">
        <v>#N/A</v>
      </c>
    </row>
    <row r="1376" spans="1:7" ht="11.5" hidden="1" customHeight="1" x14ac:dyDescent="0.35">
      <c r="A1376" s="29" t="s">
        <v>1603</v>
      </c>
      <c r="B1376" s="29" t="s">
        <v>3363</v>
      </c>
      <c r="C1376" s="16">
        <v>0</v>
      </c>
      <c r="D1376" s="16">
        <v>0</v>
      </c>
      <c r="E1376" s="29" t="s">
        <v>42</v>
      </c>
      <c r="F1376" s="29" t="s">
        <v>43</v>
      </c>
      <c r="G1376" t="e">
        <v>#N/A</v>
      </c>
    </row>
    <row r="1377" spans="1:7" ht="11.5" hidden="1" customHeight="1" x14ac:dyDescent="0.35">
      <c r="A1377" s="29" t="s">
        <v>1604</v>
      </c>
      <c r="B1377" s="29" t="s">
        <v>3364</v>
      </c>
      <c r="C1377" s="16">
        <v>0</v>
      </c>
      <c r="D1377" s="16">
        <v>0</v>
      </c>
      <c r="E1377" s="29" t="s">
        <v>42</v>
      </c>
      <c r="F1377" s="29" t="s">
        <v>43</v>
      </c>
      <c r="G1377" t="e">
        <v>#N/A</v>
      </c>
    </row>
    <row r="1378" spans="1:7" ht="11.5" hidden="1" customHeight="1" x14ac:dyDescent="0.35">
      <c r="A1378" s="29" t="s">
        <v>1605</v>
      </c>
      <c r="B1378" s="29" t="s">
        <v>3365</v>
      </c>
      <c r="C1378" s="16">
        <v>0</v>
      </c>
      <c r="D1378" s="16">
        <v>0</v>
      </c>
      <c r="E1378" s="29" t="s">
        <v>42</v>
      </c>
      <c r="F1378" s="29" t="s">
        <v>43</v>
      </c>
      <c r="G1378" t="e">
        <v>#N/A</v>
      </c>
    </row>
    <row r="1379" spans="1:7" ht="11.5" hidden="1" customHeight="1" x14ac:dyDescent="0.35">
      <c r="A1379" s="29" t="s">
        <v>1606</v>
      </c>
      <c r="B1379" s="29" t="s">
        <v>3366</v>
      </c>
      <c r="C1379" s="16">
        <v>0</v>
      </c>
      <c r="D1379" s="16">
        <v>0</v>
      </c>
      <c r="E1379" s="29" t="s">
        <v>42</v>
      </c>
      <c r="F1379" s="29" t="s">
        <v>43</v>
      </c>
      <c r="G1379" t="e">
        <v>#N/A</v>
      </c>
    </row>
    <row r="1380" spans="1:7" ht="11.5" hidden="1" customHeight="1" x14ac:dyDescent="0.35">
      <c r="A1380" s="29" t="s">
        <v>1607</v>
      </c>
      <c r="B1380" s="29" t="s">
        <v>3367</v>
      </c>
      <c r="C1380" s="16">
        <v>0</v>
      </c>
      <c r="D1380" s="16">
        <v>0</v>
      </c>
      <c r="E1380" s="29" t="s">
        <v>42</v>
      </c>
      <c r="F1380" s="29" t="s">
        <v>43</v>
      </c>
      <c r="G1380" t="e">
        <v>#N/A</v>
      </c>
    </row>
    <row r="1381" spans="1:7" ht="11.5" hidden="1" customHeight="1" x14ac:dyDescent="0.35">
      <c r="A1381" s="29" t="s">
        <v>1608</v>
      </c>
      <c r="B1381" s="29" t="s">
        <v>3368</v>
      </c>
      <c r="C1381" s="16">
        <v>0</v>
      </c>
      <c r="D1381" s="16">
        <v>0</v>
      </c>
      <c r="E1381" s="29" t="s">
        <v>42</v>
      </c>
      <c r="F1381" s="29" t="s">
        <v>43</v>
      </c>
      <c r="G1381" t="e">
        <v>#N/A</v>
      </c>
    </row>
    <row r="1382" spans="1:7" ht="11.5" hidden="1" customHeight="1" x14ac:dyDescent="0.35">
      <c r="A1382" s="29" t="s">
        <v>1609</v>
      </c>
      <c r="B1382" s="29" t="s">
        <v>3369</v>
      </c>
      <c r="C1382" s="16">
        <v>0</v>
      </c>
      <c r="D1382" s="16">
        <v>0</v>
      </c>
      <c r="E1382" s="29" t="s">
        <v>42</v>
      </c>
      <c r="F1382" s="29" t="s">
        <v>43</v>
      </c>
      <c r="G1382" t="e">
        <v>#N/A</v>
      </c>
    </row>
    <row r="1383" spans="1:7" ht="11.5" hidden="1" customHeight="1" x14ac:dyDescent="0.35">
      <c r="A1383" s="29" t="s">
        <v>1610</v>
      </c>
      <c r="B1383" s="29" t="s">
        <v>3370</v>
      </c>
      <c r="C1383" s="16">
        <v>0</v>
      </c>
      <c r="D1383" s="16">
        <v>0</v>
      </c>
      <c r="E1383" s="29" t="s">
        <v>42</v>
      </c>
      <c r="F1383" s="29" t="s">
        <v>43</v>
      </c>
      <c r="G1383" t="e">
        <v>#N/A</v>
      </c>
    </row>
    <row r="1384" spans="1:7" ht="11.5" hidden="1" customHeight="1" x14ac:dyDescent="0.35">
      <c r="A1384" s="29" t="s">
        <v>1611</v>
      </c>
      <c r="B1384" s="29" t="s">
        <v>3371</v>
      </c>
      <c r="C1384" s="16">
        <v>0</v>
      </c>
      <c r="D1384" s="16">
        <v>0</v>
      </c>
      <c r="E1384" s="29" t="s">
        <v>42</v>
      </c>
      <c r="F1384" s="29" t="s">
        <v>43</v>
      </c>
      <c r="G1384" t="e">
        <v>#N/A</v>
      </c>
    </row>
    <row r="1385" spans="1:7" ht="11.5" hidden="1" customHeight="1" x14ac:dyDescent="0.35">
      <c r="A1385" s="29" t="s">
        <v>1612</v>
      </c>
      <c r="B1385" s="29" t="s">
        <v>3372</v>
      </c>
      <c r="C1385" s="16">
        <v>0</v>
      </c>
      <c r="D1385" s="16">
        <v>0</v>
      </c>
      <c r="E1385" s="29" t="s">
        <v>42</v>
      </c>
      <c r="F1385" s="29" t="s">
        <v>43</v>
      </c>
      <c r="G1385" t="e">
        <v>#N/A</v>
      </c>
    </row>
    <row r="1386" spans="1:7" ht="11.5" hidden="1" customHeight="1" x14ac:dyDescent="0.35">
      <c r="A1386" s="29" t="s">
        <v>1613</v>
      </c>
      <c r="B1386" s="29" t="s">
        <v>3373</v>
      </c>
      <c r="C1386" s="16">
        <v>0</v>
      </c>
      <c r="D1386" s="16">
        <v>0</v>
      </c>
      <c r="E1386" s="29" t="s">
        <v>42</v>
      </c>
      <c r="F1386" s="29" t="s">
        <v>43</v>
      </c>
      <c r="G1386" t="e">
        <v>#N/A</v>
      </c>
    </row>
    <row r="1387" spans="1:7" ht="11.5" hidden="1" customHeight="1" x14ac:dyDescent="0.35">
      <c r="A1387" s="29" t="s">
        <v>1614</v>
      </c>
      <c r="B1387" s="29" t="s">
        <v>3374</v>
      </c>
      <c r="C1387" s="16">
        <v>0</v>
      </c>
      <c r="D1387" s="16">
        <v>0</v>
      </c>
      <c r="E1387" s="29" t="s">
        <v>42</v>
      </c>
      <c r="F1387" s="29" t="s">
        <v>43</v>
      </c>
      <c r="G1387" t="e">
        <v>#N/A</v>
      </c>
    </row>
    <row r="1388" spans="1:7" ht="11.5" hidden="1" customHeight="1" x14ac:dyDescent="0.35">
      <c r="A1388" s="29" t="s">
        <v>1615</v>
      </c>
      <c r="B1388" s="29" t="s">
        <v>3375</v>
      </c>
      <c r="C1388" s="16">
        <v>0</v>
      </c>
      <c r="D1388" s="16">
        <v>0</v>
      </c>
      <c r="E1388" s="29" t="s">
        <v>42</v>
      </c>
      <c r="F1388" s="29" t="s">
        <v>43</v>
      </c>
      <c r="G1388" t="e">
        <v>#N/A</v>
      </c>
    </row>
    <row r="1389" spans="1:7" ht="11.5" hidden="1" customHeight="1" x14ac:dyDescent="0.35">
      <c r="A1389" s="29" t="s">
        <v>1616</v>
      </c>
      <c r="B1389" s="29" t="s">
        <v>3376</v>
      </c>
      <c r="C1389" s="16">
        <v>0</v>
      </c>
      <c r="D1389" s="16">
        <v>0</v>
      </c>
      <c r="E1389" s="29" t="s">
        <v>42</v>
      </c>
      <c r="F1389" s="29" t="s">
        <v>43</v>
      </c>
      <c r="G1389" t="e">
        <v>#N/A</v>
      </c>
    </row>
    <row r="1390" spans="1:7" ht="11.5" hidden="1" customHeight="1" x14ac:dyDescent="0.35">
      <c r="A1390" s="29" t="s">
        <v>1617</v>
      </c>
      <c r="B1390" s="29" t="s">
        <v>3377</v>
      </c>
      <c r="C1390" s="16">
        <v>0</v>
      </c>
      <c r="D1390" s="16">
        <v>0</v>
      </c>
      <c r="E1390" s="29" t="s">
        <v>42</v>
      </c>
      <c r="F1390" s="29" t="s">
        <v>43</v>
      </c>
      <c r="G1390" t="e">
        <v>#N/A</v>
      </c>
    </row>
    <row r="1391" spans="1:7" ht="11.5" hidden="1" customHeight="1" x14ac:dyDescent="0.35">
      <c r="A1391" s="29" t="s">
        <v>1618</v>
      </c>
      <c r="B1391" s="29" t="s">
        <v>3378</v>
      </c>
      <c r="C1391" s="16">
        <v>0</v>
      </c>
      <c r="D1391" s="16">
        <v>0</v>
      </c>
      <c r="E1391" s="29" t="s">
        <v>42</v>
      </c>
      <c r="F1391" s="29" t="s">
        <v>43</v>
      </c>
      <c r="G1391" t="e">
        <v>#N/A</v>
      </c>
    </row>
    <row r="1392" spans="1:7" ht="11.5" hidden="1" customHeight="1" x14ac:dyDescent="0.35">
      <c r="A1392" s="29" t="s">
        <v>1619</v>
      </c>
      <c r="B1392" s="29" t="s">
        <v>3379</v>
      </c>
      <c r="C1392" s="16">
        <v>0</v>
      </c>
      <c r="D1392" s="16">
        <v>0</v>
      </c>
      <c r="E1392" s="29" t="s">
        <v>42</v>
      </c>
      <c r="F1392" s="29" t="s">
        <v>43</v>
      </c>
      <c r="G1392" t="e">
        <v>#N/A</v>
      </c>
    </row>
    <row r="1393" spans="1:7" ht="11.5" hidden="1" customHeight="1" x14ac:dyDescent="0.35">
      <c r="A1393" s="29" t="s">
        <v>1620</v>
      </c>
      <c r="B1393" s="29" t="s">
        <v>3380</v>
      </c>
      <c r="C1393" s="16">
        <v>0</v>
      </c>
      <c r="D1393" s="16">
        <v>0</v>
      </c>
      <c r="E1393" s="29" t="s">
        <v>42</v>
      </c>
      <c r="F1393" s="29" t="s">
        <v>43</v>
      </c>
      <c r="G1393" t="e">
        <v>#N/A</v>
      </c>
    </row>
    <row r="1394" spans="1:7" ht="11.5" hidden="1" customHeight="1" x14ac:dyDescent="0.35">
      <c r="A1394" s="29" t="s">
        <v>1621</v>
      </c>
      <c r="B1394" s="29" t="s">
        <v>3381</v>
      </c>
      <c r="C1394" s="16">
        <v>0</v>
      </c>
      <c r="D1394" s="16">
        <v>0</v>
      </c>
      <c r="E1394" s="29" t="s">
        <v>42</v>
      </c>
      <c r="F1394" s="29" t="s">
        <v>43</v>
      </c>
      <c r="G1394" t="e">
        <v>#N/A</v>
      </c>
    </row>
    <row r="1395" spans="1:7" ht="11.5" hidden="1" customHeight="1" x14ac:dyDescent="0.35">
      <c r="A1395" s="29" t="s">
        <v>1622</v>
      </c>
      <c r="B1395" s="29" t="s">
        <v>3382</v>
      </c>
      <c r="C1395" s="16">
        <v>0</v>
      </c>
      <c r="D1395" s="16">
        <v>0</v>
      </c>
      <c r="E1395" s="29" t="s">
        <v>42</v>
      </c>
      <c r="F1395" s="29" t="s">
        <v>43</v>
      </c>
      <c r="G1395" t="e">
        <v>#N/A</v>
      </c>
    </row>
    <row r="1396" spans="1:7" ht="11.5" hidden="1" customHeight="1" x14ac:dyDescent="0.35">
      <c r="A1396" s="29" t="s">
        <v>1623</v>
      </c>
      <c r="B1396" s="29" t="s">
        <v>3383</v>
      </c>
      <c r="C1396" s="16">
        <v>0</v>
      </c>
      <c r="D1396" s="16">
        <v>0</v>
      </c>
      <c r="E1396" s="29" t="s">
        <v>42</v>
      </c>
      <c r="F1396" s="29" t="s">
        <v>43</v>
      </c>
      <c r="G1396" t="e">
        <v>#N/A</v>
      </c>
    </row>
    <row r="1397" spans="1:7" ht="11.5" hidden="1" customHeight="1" x14ac:dyDescent="0.35">
      <c r="A1397" s="29" t="s">
        <v>1624</v>
      </c>
      <c r="B1397" s="29" t="s">
        <v>3384</v>
      </c>
      <c r="C1397" s="16">
        <v>0</v>
      </c>
      <c r="D1397" s="16">
        <v>0</v>
      </c>
      <c r="E1397" s="29" t="s">
        <v>42</v>
      </c>
      <c r="F1397" s="29" t="s">
        <v>43</v>
      </c>
      <c r="G1397" t="e">
        <v>#N/A</v>
      </c>
    </row>
    <row r="1398" spans="1:7" ht="11.5" hidden="1" customHeight="1" x14ac:dyDescent="0.35">
      <c r="A1398" s="29" t="s">
        <v>1625</v>
      </c>
      <c r="B1398" s="29" t="s">
        <v>3385</v>
      </c>
      <c r="C1398" s="16">
        <v>0</v>
      </c>
      <c r="D1398" s="16">
        <v>0</v>
      </c>
      <c r="E1398" s="29" t="s">
        <v>42</v>
      </c>
      <c r="F1398" s="29" t="s">
        <v>43</v>
      </c>
      <c r="G1398" t="e">
        <v>#N/A</v>
      </c>
    </row>
    <row r="1399" spans="1:7" ht="11.5" hidden="1" customHeight="1" x14ac:dyDescent="0.35">
      <c r="A1399" s="29" t="s">
        <v>1626</v>
      </c>
      <c r="B1399" s="29" t="s">
        <v>3386</v>
      </c>
      <c r="C1399" s="16">
        <v>0</v>
      </c>
      <c r="D1399" s="16">
        <v>0</v>
      </c>
      <c r="E1399" s="29" t="s">
        <v>42</v>
      </c>
      <c r="F1399" s="29" t="s">
        <v>43</v>
      </c>
      <c r="G1399" t="e">
        <v>#N/A</v>
      </c>
    </row>
    <row r="1400" spans="1:7" ht="11.5" hidden="1" customHeight="1" x14ac:dyDescent="0.35">
      <c r="A1400" s="29" t="s">
        <v>1627</v>
      </c>
      <c r="B1400" s="29" t="s">
        <v>3387</v>
      </c>
      <c r="C1400" s="16">
        <v>0</v>
      </c>
      <c r="D1400" s="16">
        <v>0</v>
      </c>
      <c r="E1400" s="29" t="s">
        <v>42</v>
      </c>
      <c r="F1400" s="29" t="s">
        <v>43</v>
      </c>
      <c r="G1400" t="e">
        <v>#N/A</v>
      </c>
    </row>
    <row r="1401" spans="1:7" ht="11.5" hidden="1" customHeight="1" x14ac:dyDescent="0.35">
      <c r="A1401" s="29" t="s">
        <v>1628</v>
      </c>
      <c r="B1401" s="29" t="s">
        <v>3388</v>
      </c>
      <c r="C1401" s="16">
        <v>0</v>
      </c>
      <c r="D1401" s="16">
        <v>0</v>
      </c>
      <c r="E1401" s="29" t="s">
        <v>42</v>
      </c>
      <c r="F1401" s="29" t="s">
        <v>43</v>
      </c>
      <c r="G1401" t="e">
        <v>#N/A</v>
      </c>
    </row>
    <row r="1402" spans="1:7" ht="11.5" hidden="1" customHeight="1" x14ac:dyDescent="0.35">
      <c r="A1402" s="29" t="s">
        <v>1629</v>
      </c>
      <c r="B1402" s="29" t="s">
        <v>3389</v>
      </c>
      <c r="C1402" s="16">
        <v>0</v>
      </c>
      <c r="D1402" s="16">
        <v>0</v>
      </c>
      <c r="E1402" s="29" t="s">
        <v>42</v>
      </c>
      <c r="F1402" s="29" t="s">
        <v>43</v>
      </c>
      <c r="G1402" t="e">
        <v>#N/A</v>
      </c>
    </row>
    <row r="1403" spans="1:7" ht="11.5" hidden="1" customHeight="1" x14ac:dyDescent="0.35">
      <c r="A1403" s="29" t="s">
        <v>1630</v>
      </c>
      <c r="B1403" s="29" t="s">
        <v>3390</v>
      </c>
      <c r="C1403" s="16">
        <v>0</v>
      </c>
      <c r="D1403" s="16">
        <v>0</v>
      </c>
      <c r="E1403" s="29" t="s">
        <v>42</v>
      </c>
      <c r="F1403" s="29" t="s">
        <v>43</v>
      </c>
      <c r="G1403" t="e">
        <v>#N/A</v>
      </c>
    </row>
    <row r="1404" spans="1:7" ht="11.5" hidden="1" customHeight="1" x14ac:dyDescent="0.35">
      <c r="A1404" s="29" t="s">
        <v>1631</v>
      </c>
      <c r="B1404" s="29" t="s">
        <v>3390</v>
      </c>
      <c r="C1404" s="16">
        <v>0</v>
      </c>
      <c r="D1404" s="16">
        <v>0</v>
      </c>
      <c r="E1404" s="29" t="s">
        <v>42</v>
      </c>
      <c r="F1404" s="29" t="s">
        <v>43</v>
      </c>
      <c r="G1404" t="e">
        <v>#N/A</v>
      </c>
    </row>
    <row r="1405" spans="1:7" ht="11.5" hidden="1" customHeight="1" x14ac:dyDescent="0.35">
      <c r="A1405" s="29" t="s">
        <v>1632</v>
      </c>
      <c r="B1405" s="29" t="s">
        <v>3391</v>
      </c>
      <c r="C1405" s="16">
        <v>0</v>
      </c>
      <c r="D1405" s="16">
        <v>0</v>
      </c>
      <c r="E1405" s="29" t="s">
        <v>42</v>
      </c>
      <c r="F1405" s="29" t="s">
        <v>43</v>
      </c>
      <c r="G1405" t="e">
        <v>#N/A</v>
      </c>
    </row>
    <row r="1406" spans="1:7" ht="11.5" hidden="1" customHeight="1" x14ac:dyDescent="0.35">
      <c r="A1406" s="29" t="s">
        <v>1633</v>
      </c>
      <c r="B1406" s="29" t="s">
        <v>3392</v>
      </c>
      <c r="C1406" s="16">
        <v>0</v>
      </c>
      <c r="D1406" s="16">
        <v>0</v>
      </c>
      <c r="E1406" s="29" t="s">
        <v>42</v>
      </c>
      <c r="F1406" s="29" t="s">
        <v>43</v>
      </c>
      <c r="G1406" t="e">
        <v>#N/A</v>
      </c>
    </row>
    <row r="1407" spans="1:7" ht="11.5" hidden="1" customHeight="1" x14ac:dyDescent="0.35">
      <c r="A1407" s="29" t="s">
        <v>1634</v>
      </c>
      <c r="B1407" s="29" t="s">
        <v>3393</v>
      </c>
      <c r="C1407" s="16">
        <v>0</v>
      </c>
      <c r="D1407" s="16">
        <v>0</v>
      </c>
      <c r="E1407" s="29" t="s">
        <v>42</v>
      </c>
      <c r="F1407" s="29" t="s">
        <v>43</v>
      </c>
      <c r="G1407" t="e">
        <v>#N/A</v>
      </c>
    </row>
    <row r="1408" spans="1:7" ht="11.5" hidden="1" customHeight="1" x14ac:dyDescent="0.35">
      <c r="A1408" s="29" t="s">
        <v>1635</v>
      </c>
      <c r="B1408" s="29" t="s">
        <v>3394</v>
      </c>
      <c r="C1408" s="16">
        <v>0</v>
      </c>
      <c r="D1408" s="16">
        <v>0</v>
      </c>
      <c r="E1408" s="29" t="s">
        <v>42</v>
      </c>
      <c r="F1408" s="29" t="s">
        <v>43</v>
      </c>
      <c r="G1408" t="e">
        <v>#N/A</v>
      </c>
    </row>
    <row r="1409" spans="1:7" ht="11.5" hidden="1" customHeight="1" x14ac:dyDescent="0.35">
      <c r="A1409" s="29" t="s">
        <v>1636</v>
      </c>
      <c r="B1409" s="29" t="s">
        <v>3395</v>
      </c>
      <c r="C1409" s="16">
        <v>0</v>
      </c>
      <c r="D1409" s="16">
        <v>0</v>
      </c>
      <c r="E1409" s="29" t="s">
        <v>42</v>
      </c>
      <c r="F1409" s="29" t="s">
        <v>43</v>
      </c>
      <c r="G1409" t="e">
        <v>#N/A</v>
      </c>
    </row>
    <row r="1410" spans="1:7" ht="11.5" hidden="1" customHeight="1" x14ac:dyDescent="0.35">
      <c r="A1410" s="29" t="s">
        <v>1637</v>
      </c>
      <c r="B1410" s="29" t="s">
        <v>3396</v>
      </c>
      <c r="C1410" s="16">
        <v>0</v>
      </c>
      <c r="D1410" s="16">
        <v>0</v>
      </c>
      <c r="E1410" s="29" t="s">
        <v>42</v>
      </c>
      <c r="F1410" s="29" t="s">
        <v>43</v>
      </c>
      <c r="G1410" t="e">
        <v>#N/A</v>
      </c>
    </row>
    <row r="1411" spans="1:7" ht="11.5" hidden="1" customHeight="1" x14ac:dyDescent="0.35">
      <c r="A1411" s="29" t="s">
        <v>1638</v>
      </c>
      <c r="B1411" s="29" t="s">
        <v>3397</v>
      </c>
      <c r="C1411" s="16">
        <v>0</v>
      </c>
      <c r="D1411" s="16">
        <v>0</v>
      </c>
      <c r="E1411" s="29" t="s">
        <v>42</v>
      </c>
      <c r="F1411" s="29" t="s">
        <v>43</v>
      </c>
      <c r="G1411" t="e">
        <v>#N/A</v>
      </c>
    </row>
    <row r="1412" spans="1:7" ht="11.5" hidden="1" customHeight="1" x14ac:dyDescent="0.35">
      <c r="A1412" s="29" t="s">
        <v>1639</v>
      </c>
      <c r="B1412" s="29" t="s">
        <v>3398</v>
      </c>
      <c r="C1412" s="16">
        <v>0</v>
      </c>
      <c r="D1412" s="16">
        <v>0</v>
      </c>
      <c r="E1412" s="29" t="s">
        <v>42</v>
      </c>
      <c r="F1412" s="29" t="s">
        <v>43</v>
      </c>
      <c r="G1412" t="e">
        <v>#N/A</v>
      </c>
    </row>
    <row r="1413" spans="1:7" ht="11.5" hidden="1" customHeight="1" x14ac:dyDescent="0.35">
      <c r="A1413" s="29" t="s">
        <v>1640</v>
      </c>
      <c r="B1413" s="29" t="s">
        <v>3399</v>
      </c>
      <c r="C1413" s="16">
        <v>0</v>
      </c>
      <c r="D1413" s="16">
        <v>0</v>
      </c>
      <c r="E1413" s="29" t="s">
        <v>42</v>
      </c>
      <c r="F1413" s="29" t="s">
        <v>43</v>
      </c>
      <c r="G1413" t="e">
        <v>#N/A</v>
      </c>
    </row>
    <row r="1414" spans="1:7" ht="11.5" hidden="1" customHeight="1" x14ac:dyDescent="0.35">
      <c r="A1414" s="29" t="s">
        <v>1641</v>
      </c>
      <c r="B1414" s="29" t="s">
        <v>3400</v>
      </c>
      <c r="C1414" s="16">
        <v>0</v>
      </c>
      <c r="D1414" s="16">
        <v>0</v>
      </c>
      <c r="E1414" s="29" t="s">
        <v>42</v>
      </c>
      <c r="F1414" s="29" t="s">
        <v>43</v>
      </c>
      <c r="G1414" t="e">
        <v>#N/A</v>
      </c>
    </row>
    <row r="1415" spans="1:7" ht="11.5" hidden="1" customHeight="1" x14ac:dyDescent="0.35">
      <c r="A1415" s="29" t="s">
        <v>1642</v>
      </c>
      <c r="B1415" s="29" t="s">
        <v>3401</v>
      </c>
      <c r="C1415" s="16">
        <v>0</v>
      </c>
      <c r="D1415" s="16">
        <v>0</v>
      </c>
      <c r="E1415" s="29" t="s">
        <v>42</v>
      </c>
      <c r="F1415" s="29" t="s">
        <v>43</v>
      </c>
      <c r="G1415" t="e">
        <v>#N/A</v>
      </c>
    </row>
    <row r="1416" spans="1:7" ht="11.5" hidden="1" customHeight="1" x14ac:dyDescent="0.35">
      <c r="A1416" s="29" t="s">
        <v>1643</v>
      </c>
      <c r="B1416" s="29" t="s">
        <v>3402</v>
      </c>
      <c r="C1416" s="16">
        <v>0</v>
      </c>
      <c r="D1416" s="16">
        <v>0</v>
      </c>
      <c r="E1416" s="29" t="s">
        <v>42</v>
      </c>
      <c r="F1416" s="29" t="s">
        <v>43</v>
      </c>
      <c r="G1416" t="e">
        <v>#N/A</v>
      </c>
    </row>
    <row r="1417" spans="1:7" ht="11.5" hidden="1" customHeight="1" x14ac:dyDescent="0.35">
      <c r="A1417" s="29" t="s">
        <v>1644</v>
      </c>
      <c r="B1417" s="29" t="s">
        <v>3403</v>
      </c>
      <c r="C1417" s="16">
        <v>0</v>
      </c>
      <c r="D1417" s="16">
        <v>0</v>
      </c>
      <c r="E1417" s="29" t="s">
        <v>42</v>
      </c>
      <c r="F1417" s="29" t="s">
        <v>43</v>
      </c>
      <c r="G1417" t="e">
        <v>#N/A</v>
      </c>
    </row>
    <row r="1418" spans="1:7" ht="11.5" hidden="1" customHeight="1" x14ac:dyDescent="0.35">
      <c r="A1418" s="29" t="s">
        <v>1645</v>
      </c>
      <c r="B1418" s="29" t="s">
        <v>3404</v>
      </c>
      <c r="C1418" s="16">
        <v>0</v>
      </c>
      <c r="D1418" s="16">
        <v>0</v>
      </c>
      <c r="E1418" s="29" t="s">
        <v>42</v>
      </c>
      <c r="F1418" s="29" t="s">
        <v>43</v>
      </c>
      <c r="G1418" t="e">
        <v>#N/A</v>
      </c>
    </row>
    <row r="1419" spans="1:7" ht="11.5" hidden="1" customHeight="1" x14ac:dyDescent="0.35">
      <c r="A1419" s="29" t="s">
        <v>1646</v>
      </c>
      <c r="B1419" s="29" t="s">
        <v>3405</v>
      </c>
      <c r="C1419" s="16">
        <v>0</v>
      </c>
      <c r="D1419" s="16">
        <v>0</v>
      </c>
      <c r="E1419" s="29" t="s">
        <v>42</v>
      </c>
      <c r="F1419" s="29" t="s">
        <v>43</v>
      </c>
      <c r="G1419" t="e">
        <v>#N/A</v>
      </c>
    </row>
    <row r="1420" spans="1:7" ht="11.5" hidden="1" customHeight="1" x14ac:dyDescent="0.35">
      <c r="A1420" s="29" t="s">
        <v>1647</v>
      </c>
      <c r="B1420" s="29" t="s">
        <v>3406</v>
      </c>
      <c r="C1420" s="16">
        <v>0</v>
      </c>
      <c r="D1420" s="16">
        <v>0</v>
      </c>
      <c r="E1420" s="29" t="s">
        <v>42</v>
      </c>
      <c r="F1420" s="29" t="s">
        <v>43</v>
      </c>
      <c r="G1420" t="e">
        <v>#N/A</v>
      </c>
    </row>
    <row r="1421" spans="1:7" ht="11.5" hidden="1" customHeight="1" x14ac:dyDescent="0.35">
      <c r="A1421" s="29" t="s">
        <v>1648</v>
      </c>
      <c r="B1421" s="29" t="s">
        <v>3407</v>
      </c>
      <c r="C1421" s="16">
        <v>0</v>
      </c>
      <c r="D1421" s="16">
        <v>0</v>
      </c>
      <c r="E1421" s="29" t="s">
        <v>42</v>
      </c>
      <c r="F1421" s="29" t="s">
        <v>43</v>
      </c>
      <c r="G1421" t="e">
        <v>#N/A</v>
      </c>
    </row>
    <row r="1422" spans="1:7" ht="11.5" hidden="1" customHeight="1" x14ac:dyDescent="0.35">
      <c r="A1422" s="29" t="s">
        <v>1649</v>
      </c>
      <c r="B1422" s="29" t="s">
        <v>3408</v>
      </c>
      <c r="C1422" s="16">
        <v>0</v>
      </c>
      <c r="D1422" s="16">
        <v>0</v>
      </c>
      <c r="E1422" s="29" t="s">
        <v>42</v>
      </c>
      <c r="F1422" s="29" t="s">
        <v>43</v>
      </c>
      <c r="G1422" t="e">
        <v>#N/A</v>
      </c>
    </row>
    <row r="1423" spans="1:7" ht="11.5" hidden="1" customHeight="1" x14ac:dyDescent="0.35">
      <c r="A1423" s="29" t="s">
        <v>1650</v>
      </c>
      <c r="B1423" s="29" t="s">
        <v>3409</v>
      </c>
      <c r="C1423" s="16">
        <v>0</v>
      </c>
      <c r="D1423" s="16">
        <v>0</v>
      </c>
      <c r="E1423" s="29" t="s">
        <v>42</v>
      </c>
      <c r="F1423" s="29" t="s">
        <v>43</v>
      </c>
      <c r="G1423" t="e">
        <v>#N/A</v>
      </c>
    </row>
    <row r="1424" spans="1:7" ht="11.5" hidden="1" customHeight="1" x14ac:dyDescent="0.35">
      <c r="A1424" s="29" t="s">
        <v>1651</v>
      </c>
      <c r="B1424" s="29" t="s">
        <v>3410</v>
      </c>
      <c r="C1424" s="16">
        <v>0</v>
      </c>
      <c r="D1424" s="16">
        <v>0</v>
      </c>
      <c r="E1424" s="29" t="s">
        <v>42</v>
      </c>
      <c r="F1424" s="29" t="s">
        <v>43</v>
      </c>
      <c r="G1424" t="e">
        <v>#N/A</v>
      </c>
    </row>
    <row r="1425" spans="1:7" ht="11.5" hidden="1" customHeight="1" x14ac:dyDescent="0.35">
      <c r="A1425" s="29" t="s">
        <v>1652</v>
      </c>
      <c r="B1425" s="29" t="s">
        <v>3411</v>
      </c>
      <c r="C1425" s="16">
        <v>0</v>
      </c>
      <c r="D1425" s="16">
        <v>0</v>
      </c>
      <c r="E1425" s="29" t="s">
        <v>42</v>
      </c>
      <c r="F1425" s="29" t="s">
        <v>43</v>
      </c>
      <c r="G1425" t="e">
        <v>#N/A</v>
      </c>
    </row>
    <row r="1426" spans="1:7" ht="11.5" hidden="1" customHeight="1" x14ac:dyDescent="0.35">
      <c r="A1426" s="29" t="s">
        <v>1653</v>
      </c>
      <c r="B1426" s="29" t="s">
        <v>3412</v>
      </c>
      <c r="C1426" s="16">
        <v>0</v>
      </c>
      <c r="D1426" s="16">
        <v>0</v>
      </c>
      <c r="E1426" s="29" t="s">
        <v>42</v>
      </c>
      <c r="F1426" s="29" t="s">
        <v>43</v>
      </c>
      <c r="G1426" t="e">
        <v>#N/A</v>
      </c>
    </row>
    <row r="1427" spans="1:7" ht="11.5" hidden="1" customHeight="1" x14ac:dyDescent="0.35">
      <c r="A1427" s="29" t="s">
        <v>1654</v>
      </c>
      <c r="B1427" s="29" t="s">
        <v>3413</v>
      </c>
      <c r="C1427" s="16">
        <v>0</v>
      </c>
      <c r="D1427" s="16">
        <v>0</v>
      </c>
      <c r="E1427" s="29" t="s">
        <v>42</v>
      </c>
      <c r="F1427" s="29" t="s">
        <v>43</v>
      </c>
      <c r="G1427" t="e">
        <v>#N/A</v>
      </c>
    </row>
    <row r="1428" spans="1:7" ht="11.5" hidden="1" customHeight="1" x14ac:dyDescent="0.35">
      <c r="A1428" s="29" t="s">
        <v>1655</v>
      </c>
      <c r="B1428" s="29" t="s">
        <v>3414</v>
      </c>
      <c r="C1428" s="16">
        <v>0</v>
      </c>
      <c r="D1428" s="16">
        <v>0</v>
      </c>
      <c r="E1428" s="29" t="s">
        <v>42</v>
      </c>
      <c r="F1428" s="29" t="s">
        <v>43</v>
      </c>
      <c r="G1428" t="e">
        <v>#N/A</v>
      </c>
    </row>
    <row r="1429" spans="1:7" ht="11.5" hidden="1" customHeight="1" x14ac:dyDescent="0.35">
      <c r="A1429" s="29" t="s">
        <v>1656</v>
      </c>
      <c r="B1429" s="29" t="s">
        <v>3415</v>
      </c>
      <c r="C1429" s="16">
        <v>0</v>
      </c>
      <c r="D1429" s="16">
        <v>0</v>
      </c>
      <c r="E1429" s="29" t="s">
        <v>42</v>
      </c>
      <c r="F1429" s="29" t="s">
        <v>43</v>
      </c>
      <c r="G1429" t="e">
        <v>#N/A</v>
      </c>
    </row>
    <row r="1430" spans="1:7" ht="11.5" hidden="1" customHeight="1" x14ac:dyDescent="0.35">
      <c r="A1430" s="29" t="s">
        <v>1657</v>
      </c>
      <c r="B1430" s="29" t="s">
        <v>3416</v>
      </c>
      <c r="C1430" s="16">
        <v>0</v>
      </c>
      <c r="D1430" s="16">
        <v>0</v>
      </c>
      <c r="E1430" s="29" t="s">
        <v>42</v>
      </c>
      <c r="F1430" s="29" t="s">
        <v>43</v>
      </c>
      <c r="G1430" t="e">
        <v>#N/A</v>
      </c>
    </row>
    <row r="1431" spans="1:7" ht="11.5" hidden="1" customHeight="1" x14ac:dyDescent="0.35">
      <c r="A1431" s="29" t="s">
        <v>1658</v>
      </c>
      <c r="B1431" s="29" t="s">
        <v>3417</v>
      </c>
      <c r="C1431" s="16">
        <v>0</v>
      </c>
      <c r="D1431" s="16">
        <v>0</v>
      </c>
      <c r="E1431" s="29" t="s">
        <v>42</v>
      </c>
      <c r="F1431" s="29" t="s">
        <v>43</v>
      </c>
      <c r="G1431" t="e">
        <v>#N/A</v>
      </c>
    </row>
    <row r="1432" spans="1:7" ht="11.5" hidden="1" customHeight="1" x14ac:dyDescent="0.35">
      <c r="A1432" s="29" t="s">
        <v>1659</v>
      </c>
      <c r="B1432" s="29" t="s">
        <v>3418</v>
      </c>
      <c r="C1432" s="16">
        <v>0</v>
      </c>
      <c r="D1432" s="16">
        <v>0</v>
      </c>
      <c r="E1432" s="29" t="s">
        <v>42</v>
      </c>
      <c r="F1432" s="29" t="s">
        <v>43</v>
      </c>
      <c r="G1432" t="e">
        <v>#N/A</v>
      </c>
    </row>
    <row r="1433" spans="1:7" ht="11.5" hidden="1" customHeight="1" x14ac:dyDescent="0.35">
      <c r="A1433" s="29" t="s">
        <v>1660</v>
      </c>
      <c r="B1433" s="29" t="s">
        <v>3419</v>
      </c>
      <c r="C1433" s="16">
        <v>0</v>
      </c>
      <c r="D1433" s="16">
        <v>0</v>
      </c>
      <c r="E1433" s="29" t="s">
        <v>42</v>
      </c>
      <c r="F1433" s="29" t="s">
        <v>43</v>
      </c>
      <c r="G1433" t="e">
        <v>#N/A</v>
      </c>
    </row>
    <row r="1434" spans="1:7" ht="11.5" hidden="1" customHeight="1" x14ac:dyDescent="0.35">
      <c r="A1434" s="29" t="s">
        <v>1661</v>
      </c>
      <c r="B1434" s="29" t="s">
        <v>3420</v>
      </c>
      <c r="C1434" s="16">
        <v>0</v>
      </c>
      <c r="D1434" s="16">
        <v>0</v>
      </c>
      <c r="E1434" s="29" t="s">
        <v>42</v>
      </c>
      <c r="F1434" s="29" t="s">
        <v>43</v>
      </c>
      <c r="G1434" t="e">
        <v>#N/A</v>
      </c>
    </row>
    <row r="1435" spans="1:7" ht="11.5" hidden="1" customHeight="1" x14ac:dyDescent="0.35">
      <c r="A1435" s="29" t="s">
        <v>1662</v>
      </c>
      <c r="B1435" s="29" t="s">
        <v>3421</v>
      </c>
      <c r="C1435" s="16">
        <v>0</v>
      </c>
      <c r="D1435" s="16">
        <v>0</v>
      </c>
      <c r="E1435" s="29" t="s">
        <v>42</v>
      </c>
      <c r="F1435" s="29" t="s">
        <v>43</v>
      </c>
      <c r="G1435" t="e">
        <v>#N/A</v>
      </c>
    </row>
    <row r="1436" spans="1:7" ht="11.5" hidden="1" customHeight="1" x14ac:dyDescent="0.35">
      <c r="A1436" s="29" t="s">
        <v>1663</v>
      </c>
      <c r="B1436" s="29" t="s">
        <v>3422</v>
      </c>
      <c r="C1436" s="16">
        <v>0</v>
      </c>
      <c r="D1436" s="16">
        <v>0</v>
      </c>
      <c r="E1436" s="29" t="s">
        <v>42</v>
      </c>
      <c r="F1436" s="29" t="s">
        <v>43</v>
      </c>
      <c r="G1436" t="e">
        <v>#N/A</v>
      </c>
    </row>
    <row r="1437" spans="1:7" ht="11.5" hidden="1" customHeight="1" x14ac:dyDescent="0.35">
      <c r="A1437" s="29" t="s">
        <v>1664</v>
      </c>
      <c r="B1437" s="29" t="s">
        <v>3423</v>
      </c>
      <c r="C1437" s="16">
        <v>0</v>
      </c>
      <c r="D1437" s="16">
        <v>0</v>
      </c>
      <c r="E1437" s="29" t="s">
        <v>42</v>
      </c>
      <c r="F1437" s="29" t="s">
        <v>43</v>
      </c>
      <c r="G1437" t="e">
        <v>#N/A</v>
      </c>
    </row>
    <row r="1438" spans="1:7" ht="11.5" hidden="1" customHeight="1" x14ac:dyDescent="0.35">
      <c r="A1438" s="29" t="s">
        <v>1665</v>
      </c>
      <c r="B1438" s="29" t="s">
        <v>3424</v>
      </c>
      <c r="C1438" s="16">
        <v>0</v>
      </c>
      <c r="D1438" s="16">
        <v>0</v>
      </c>
      <c r="E1438" s="29" t="s">
        <v>42</v>
      </c>
      <c r="F1438" s="29" t="s">
        <v>43</v>
      </c>
      <c r="G1438" t="e">
        <v>#N/A</v>
      </c>
    </row>
    <row r="1439" spans="1:7" ht="11.5" hidden="1" customHeight="1" x14ac:dyDescent="0.35">
      <c r="A1439" s="29" t="s">
        <v>1666</v>
      </c>
      <c r="B1439" s="29" t="s">
        <v>3425</v>
      </c>
      <c r="C1439" s="16">
        <v>0</v>
      </c>
      <c r="D1439" s="16">
        <v>0</v>
      </c>
      <c r="E1439" s="29" t="s">
        <v>42</v>
      </c>
      <c r="F1439" s="29" t="s">
        <v>43</v>
      </c>
      <c r="G1439" t="e">
        <v>#N/A</v>
      </c>
    </row>
    <row r="1440" spans="1:7" ht="11.5" hidden="1" customHeight="1" x14ac:dyDescent="0.35">
      <c r="A1440" s="29" t="s">
        <v>1667</v>
      </c>
      <c r="B1440" s="29" t="s">
        <v>3426</v>
      </c>
      <c r="C1440" s="16">
        <v>0</v>
      </c>
      <c r="D1440" s="16">
        <v>0</v>
      </c>
      <c r="E1440" s="29" t="s">
        <v>42</v>
      </c>
      <c r="F1440" s="29" t="s">
        <v>43</v>
      </c>
      <c r="G1440" t="e">
        <v>#N/A</v>
      </c>
    </row>
    <row r="1441" spans="1:7" ht="11.5" hidden="1" customHeight="1" x14ac:dyDescent="0.35">
      <c r="A1441" s="29" t="s">
        <v>1668</v>
      </c>
      <c r="B1441" s="29" t="s">
        <v>3427</v>
      </c>
      <c r="C1441" s="16">
        <v>0</v>
      </c>
      <c r="D1441" s="16">
        <v>0</v>
      </c>
      <c r="E1441" s="29" t="s">
        <v>42</v>
      </c>
      <c r="F1441" s="29" t="s">
        <v>43</v>
      </c>
      <c r="G1441" t="e">
        <v>#N/A</v>
      </c>
    </row>
    <row r="1442" spans="1:7" ht="11.5" hidden="1" customHeight="1" x14ac:dyDescent="0.35">
      <c r="A1442" s="29" t="s">
        <v>1669</v>
      </c>
      <c r="B1442" s="29" t="s">
        <v>3428</v>
      </c>
      <c r="C1442" s="16">
        <v>0</v>
      </c>
      <c r="D1442" s="16">
        <v>0</v>
      </c>
      <c r="E1442" s="29" t="s">
        <v>42</v>
      </c>
      <c r="F1442" s="29" t="s">
        <v>43</v>
      </c>
      <c r="G1442" t="e">
        <v>#N/A</v>
      </c>
    </row>
    <row r="1443" spans="1:7" ht="11.5" hidden="1" customHeight="1" x14ac:dyDescent="0.35">
      <c r="A1443" s="29" t="s">
        <v>1670</v>
      </c>
      <c r="B1443" s="29" t="s">
        <v>3429</v>
      </c>
      <c r="C1443" s="16">
        <v>0</v>
      </c>
      <c r="D1443" s="16">
        <v>0</v>
      </c>
      <c r="E1443" s="29" t="s">
        <v>42</v>
      </c>
      <c r="F1443" s="29" t="s">
        <v>43</v>
      </c>
      <c r="G1443" t="e">
        <v>#N/A</v>
      </c>
    </row>
    <row r="1444" spans="1:7" ht="11.5" hidden="1" customHeight="1" x14ac:dyDescent="0.35">
      <c r="A1444" s="29" t="s">
        <v>1671</v>
      </c>
      <c r="B1444" s="29" t="s">
        <v>3430</v>
      </c>
      <c r="C1444" s="16">
        <v>0</v>
      </c>
      <c r="D1444" s="16">
        <v>0</v>
      </c>
      <c r="E1444" s="29" t="s">
        <v>42</v>
      </c>
      <c r="F1444" s="29" t="s">
        <v>43</v>
      </c>
      <c r="G1444" t="e">
        <v>#N/A</v>
      </c>
    </row>
    <row r="1445" spans="1:7" ht="11.5" hidden="1" customHeight="1" x14ac:dyDescent="0.35">
      <c r="A1445" s="29" t="s">
        <v>1672</v>
      </c>
      <c r="B1445" s="29" t="s">
        <v>3431</v>
      </c>
      <c r="C1445" s="16">
        <v>0</v>
      </c>
      <c r="D1445" s="16">
        <v>0</v>
      </c>
      <c r="E1445" s="29" t="s">
        <v>42</v>
      </c>
      <c r="F1445" s="29" t="s">
        <v>43</v>
      </c>
      <c r="G1445" t="e">
        <v>#N/A</v>
      </c>
    </row>
    <row r="1446" spans="1:7" ht="11.5" hidden="1" customHeight="1" x14ac:dyDescent="0.35">
      <c r="A1446" s="29" t="s">
        <v>1673</v>
      </c>
      <c r="B1446" s="29" t="s">
        <v>3432</v>
      </c>
      <c r="C1446" s="16">
        <v>0</v>
      </c>
      <c r="D1446" s="16">
        <v>0</v>
      </c>
      <c r="E1446" s="29" t="s">
        <v>42</v>
      </c>
      <c r="F1446" s="29" t="s">
        <v>43</v>
      </c>
      <c r="G1446" t="e">
        <v>#N/A</v>
      </c>
    </row>
    <row r="1447" spans="1:7" ht="11.5" hidden="1" customHeight="1" x14ac:dyDescent="0.35">
      <c r="A1447" s="29" t="s">
        <v>1674</v>
      </c>
      <c r="B1447" s="29" t="s">
        <v>3433</v>
      </c>
      <c r="C1447" s="16">
        <v>0</v>
      </c>
      <c r="D1447" s="16">
        <v>0</v>
      </c>
      <c r="E1447" s="29" t="s">
        <v>42</v>
      </c>
      <c r="F1447" s="29" t="s">
        <v>43</v>
      </c>
      <c r="G1447" t="e">
        <v>#N/A</v>
      </c>
    </row>
    <row r="1448" spans="1:7" ht="11.5" hidden="1" customHeight="1" x14ac:dyDescent="0.35">
      <c r="A1448" s="29" t="s">
        <v>1675</v>
      </c>
      <c r="B1448" s="29" t="s">
        <v>3434</v>
      </c>
      <c r="C1448" s="16">
        <v>0</v>
      </c>
      <c r="D1448" s="16">
        <v>0</v>
      </c>
      <c r="E1448" s="29" t="s">
        <v>42</v>
      </c>
      <c r="F1448" s="29" t="s">
        <v>43</v>
      </c>
      <c r="G1448" t="e">
        <v>#N/A</v>
      </c>
    </row>
    <row r="1449" spans="1:7" ht="11.5" hidden="1" customHeight="1" x14ac:dyDescent="0.35">
      <c r="A1449" s="29" t="s">
        <v>1676</v>
      </c>
      <c r="B1449" s="29" t="s">
        <v>3435</v>
      </c>
      <c r="C1449" s="16">
        <v>0</v>
      </c>
      <c r="D1449" s="16">
        <v>0</v>
      </c>
      <c r="E1449" s="29" t="s">
        <v>42</v>
      </c>
      <c r="F1449" s="29" t="s">
        <v>43</v>
      </c>
      <c r="G1449" t="e">
        <v>#N/A</v>
      </c>
    </row>
    <row r="1450" spans="1:7" ht="11.5" hidden="1" customHeight="1" x14ac:dyDescent="0.35">
      <c r="A1450" s="29" t="s">
        <v>1677</v>
      </c>
      <c r="B1450" s="29" t="s">
        <v>3436</v>
      </c>
      <c r="C1450" s="16">
        <v>0</v>
      </c>
      <c r="D1450" s="16">
        <v>0</v>
      </c>
      <c r="E1450" s="29" t="s">
        <v>42</v>
      </c>
      <c r="F1450" s="29" t="s">
        <v>43</v>
      </c>
      <c r="G1450" t="e">
        <v>#N/A</v>
      </c>
    </row>
    <row r="1451" spans="1:7" ht="11.5" hidden="1" customHeight="1" x14ac:dyDescent="0.35">
      <c r="A1451" s="29" t="s">
        <v>1678</v>
      </c>
      <c r="B1451" s="29" t="s">
        <v>3437</v>
      </c>
      <c r="C1451" s="16">
        <v>0</v>
      </c>
      <c r="D1451" s="16">
        <v>0</v>
      </c>
      <c r="E1451" s="29" t="s">
        <v>42</v>
      </c>
      <c r="F1451" s="29" t="s">
        <v>43</v>
      </c>
      <c r="G1451" t="e">
        <v>#N/A</v>
      </c>
    </row>
    <row r="1452" spans="1:7" ht="11.5" hidden="1" customHeight="1" x14ac:dyDescent="0.35">
      <c r="A1452" s="29" t="s">
        <v>1679</v>
      </c>
      <c r="B1452" s="29" t="s">
        <v>3438</v>
      </c>
      <c r="C1452" s="16">
        <v>0</v>
      </c>
      <c r="D1452" s="16">
        <v>0</v>
      </c>
      <c r="E1452" s="29" t="s">
        <v>42</v>
      </c>
      <c r="F1452" s="29" t="s">
        <v>43</v>
      </c>
      <c r="G1452" t="e">
        <v>#N/A</v>
      </c>
    </row>
    <row r="1453" spans="1:7" ht="11.5" hidden="1" customHeight="1" x14ac:dyDescent="0.35">
      <c r="A1453" s="29" t="s">
        <v>1680</v>
      </c>
      <c r="B1453" s="29" t="s">
        <v>3439</v>
      </c>
      <c r="C1453" s="16">
        <v>0</v>
      </c>
      <c r="D1453" s="16">
        <v>0</v>
      </c>
      <c r="E1453" s="29" t="s">
        <v>42</v>
      </c>
      <c r="F1453" s="29" t="s">
        <v>43</v>
      </c>
      <c r="G1453" t="e">
        <v>#N/A</v>
      </c>
    </row>
    <row r="1454" spans="1:7" ht="11.5" hidden="1" customHeight="1" x14ac:dyDescent="0.35">
      <c r="A1454" s="29" t="s">
        <v>1681</v>
      </c>
      <c r="B1454" s="29" t="s">
        <v>3440</v>
      </c>
      <c r="C1454" s="16">
        <v>0</v>
      </c>
      <c r="D1454" s="16">
        <v>0</v>
      </c>
      <c r="E1454" s="29" t="s">
        <v>42</v>
      </c>
      <c r="F1454" s="29" t="s">
        <v>43</v>
      </c>
      <c r="G1454" t="e">
        <v>#N/A</v>
      </c>
    </row>
    <row r="1455" spans="1:7" ht="11.5" hidden="1" customHeight="1" x14ac:dyDescent="0.35">
      <c r="A1455" s="29" t="s">
        <v>1682</v>
      </c>
      <c r="B1455" s="29" t="s">
        <v>3441</v>
      </c>
      <c r="C1455" s="16">
        <v>0</v>
      </c>
      <c r="D1455" s="16">
        <v>0</v>
      </c>
      <c r="E1455" s="29" t="s">
        <v>42</v>
      </c>
      <c r="F1455" s="29" t="s">
        <v>43</v>
      </c>
      <c r="G1455" t="e">
        <v>#N/A</v>
      </c>
    </row>
    <row r="1456" spans="1:7" ht="11.5" hidden="1" customHeight="1" x14ac:dyDescent="0.35">
      <c r="A1456" s="29" t="s">
        <v>1683</v>
      </c>
      <c r="B1456" s="29" t="s">
        <v>3442</v>
      </c>
      <c r="C1456" s="16">
        <v>0</v>
      </c>
      <c r="D1456" s="16">
        <v>0</v>
      </c>
      <c r="E1456" s="29" t="s">
        <v>42</v>
      </c>
      <c r="F1456" s="29" t="s">
        <v>43</v>
      </c>
      <c r="G1456" t="e">
        <v>#N/A</v>
      </c>
    </row>
    <row r="1457" spans="1:7" ht="11.5" hidden="1" customHeight="1" x14ac:dyDescent="0.35">
      <c r="A1457" s="29" t="s">
        <v>1684</v>
      </c>
      <c r="B1457" s="29" t="s">
        <v>3443</v>
      </c>
      <c r="C1457" s="16">
        <v>0</v>
      </c>
      <c r="D1457" s="16">
        <v>0</v>
      </c>
      <c r="E1457" s="29" t="s">
        <v>42</v>
      </c>
      <c r="F1457" s="29" t="s">
        <v>43</v>
      </c>
      <c r="G1457" t="e">
        <v>#N/A</v>
      </c>
    </row>
    <row r="1458" spans="1:7" ht="11.5" hidden="1" customHeight="1" x14ac:dyDescent="0.35">
      <c r="A1458" s="29" t="s">
        <v>1685</v>
      </c>
      <c r="B1458" s="29" t="s">
        <v>3444</v>
      </c>
      <c r="C1458" s="16">
        <v>0</v>
      </c>
      <c r="D1458" s="16">
        <v>0</v>
      </c>
      <c r="E1458" s="29" t="s">
        <v>42</v>
      </c>
      <c r="F1458" s="29" t="s">
        <v>43</v>
      </c>
      <c r="G1458" t="e">
        <v>#N/A</v>
      </c>
    </row>
    <row r="1459" spans="1:7" ht="11.5" hidden="1" customHeight="1" x14ac:dyDescent="0.35">
      <c r="A1459" s="29" t="s">
        <v>1686</v>
      </c>
      <c r="B1459" s="29" t="s">
        <v>3445</v>
      </c>
      <c r="C1459" s="16">
        <v>0</v>
      </c>
      <c r="D1459" s="16">
        <v>0</v>
      </c>
      <c r="E1459" s="29" t="s">
        <v>42</v>
      </c>
      <c r="F1459" s="29" t="s">
        <v>43</v>
      </c>
      <c r="G1459" t="e">
        <v>#N/A</v>
      </c>
    </row>
    <row r="1460" spans="1:7" ht="11.5" hidden="1" customHeight="1" x14ac:dyDescent="0.35">
      <c r="A1460" s="29" t="s">
        <v>1687</v>
      </c>
      <c r="B1460" s="29" t="s">
        <v>3446</v>
      </c>
      <c r="C1460" s="16">
        <v>0</v>
      </c>
      <c r="D1460" s="16">
        <v>0</v>
      </c>
      <c r="E1460" s="29" t="s">
        <v>42</v>
      </c>
      <c r="F1460" s="29" t="s">
        <v>43</v>
      </c>
      <c r="G1460" t="e">
        <v>#N/A</v>
      </c>
    </row>
    <row r="1461" spans="1:7" ht="11.5" hidden="1" customHeight="1" x14ac:dyDescent="0.35">
      <c r="A1461" s="29" t="s">
        <v>1688</v>
      </c>
      <c r="B1461" s="29" t="s">
        <v>3447</v>
      </c>
      <c r="C1461" s="16">
        <v>0</v>
      </c>
      <c r="D1461" s="16">
        <v>0</v>
      </c>
      <c r="E1461" s="29" t="s">
        <v>42</v>
      </c>
      <c r="F1461" s="29" t="s">
        <v>43</v>
      </c>
      <c r="G1461" t="e">
        <v>#N/A</v>
      </c>
    </row>
    <row r="1462" spans="1:7" ht="11.5" hidden="1" customHeight="1" x14ac:dyDescent="0.35">
      <c r="A1462" s="29" t="s">
        <v>1689</v>
      </c>
      <c r="B1462" s="29" t="s">
        <v>3448</v>
      </c>
      <c r="C1462" s="16">
        <v>0</v>
      </c>
      <c r="D1462" s="16">
        <v>0</v>
      </c>
      <c r="E1462" s="29" t="s">
        <v>42</v>
      </c>
      <c r="F1462" s="29" t="s">
        <v>43</v>
      </c>
      <c r="G1462" t="e">
        <v>#N/A</v>
      </c>
    </row>
    <row r="1463" spans="1:7" ht="11.5" hidden="1" customHeight="1" x14ac:dyDescent="0.35">
      <c r="A1463" s="29" t="s">
        <v>1690</v>
      </c>
      <c r="B1463" s="29" t="s">
        <v>3449</v>
      </c>
      <c r="C1463" s="16">
        <v>0</v>
      </c>
      <c r="D1463" s="16">
        <v>0</v>
      </c>
      <c r="E1463" s="29" t="s">
        <v>42</v>
      </c>
      <c r="F1463" s="29" t="s">
        <v>43</v>
      </c>
      <c r="G1463" t="e">
        <v>#N/A</v>
      </c>
    </row>
    <row r="1464" spans="1:7" ht="11.5" hidden="1" customHeight="1" x14ac:dyDescent="0.35">
      <c r="A1464" s="29" t="s">
        <v>1691</v>
      </c>
      <c r="B1464" s="29" t="s">
        <v>3450</v>
      </c>
      <c r="C1464" s="16">
        <v>0</v>
      </c>
      <c r="D1464" s="16">
        <v>0</v>
      </c>
      <c r="E1464" s="29" t="s">
        <v>42</v>
      </c>
      <c r="F1464" s="29" t="s">
        <v>43</v>
      </c>
      <c r="G1464" t="e">
        <v>#N/A</v>
      </c>
    </row>
    <row r="1465" spans="1:7" ht="11.5" hidden="1" customHeight="1" x14ac:dyDescent="0.35">
      <c r="A1465" s="29" t="s">
        <v>1692</v>
      </c>
      <c r="B1465" s="29" t="s">
        <v>3451</v>
      </c>
      <c r="C1465" s="16">
        <v>0</v>
      </c>
      <c r="D1465" s="16">
        <v>0</v>
      </c>
      <c r="E1465" s="29" t="s">
        <v>42</v>
      </c>
      <c r="F1465" s="29" t="s">
        <v>43</v>
      </c>
      <c r="G1465" t="e">
        <v>#N/A</v>
      </c>
    </row>
    <row r="1466" spans="1:7" ht="11.5" hidden="1" customHeight="1" x14ac:dyDescent="0.35">
      <c r="A1466" s="29" t="s">
        <v>1693</v>
      </c>
      <c r="B1466" s="29" t="s">
        <v>3452</v>
      </c>
      <c r="C1466" s="16">
        <v>0</v>
      </c>
      <c r="D1466" s="16">
        <v>0</v>
      </c>
      <c r="E1466" s="29" t="s">
        <v>42</v>
      </c>
      <c r="F1466" s="29" t="s">
        <v>43</v>
      </c>
      <c r="G1466" t="e">
        <v>#N/A</v>
      </c>
    </row>
    <row r="1467" spans="1:7" ht="11.5" hidden="1" customHeight="1" x14ac:dyDescent="0.35">
      <c r="A1467" s="29" t="s">
        <v>1694</v>
      </c>
      <c r="B1467" s="29" t="s">
        <v>3453</v>
      </c>
      <c r="C1467" s="16">
        <v>0</v>
      </c>
      <c r="D1467" s="16">
        <v>0</v>
      </c>
      <c r="E1467" s="29" t="s">
        <v>42</v>
      </c>
      <c r="F1467" s="29" t="s">
        <v>43</v>
      </c>
      <c r="G1467" t="e">
        <v>#N/A</v>
      </c>
    </row>
    <row r="1468" spans="1:7" ht="11.5" hidden="1" customHeight="1" x14ac:dyDescent="0.35">
      <c r="A1468" s="29" t="s">
        <v>1695</v>
      </c>
      <c r="B1468" s="29" t="s">
        <v>3454</v>
      </c>
      <c r="C1468" s="16">
        <v>0</v>
      </c>
      <c r="D1468" s="16">
        <v>0</v>
      </c>
      <c r="E1468" s="29" t="s">
        <v>42</v>
      </c>
      <c r="F1468" s="29" t="s">
        <v>43</v>
      </c>
      <c r="G1468" t="e">
        <v>#N/A</v>
      </c>
    </row>
    <row r="1469" spans="1:7" ht="11.5" hidden="1" customHeight="1" x14ac:dyDescent="0.35">
      <c r="A1469" s="29" t="s">
        <v>1696</v>
      </c>
      <c r="B1469" s="29" t="s">
        <v>3455</v>
      </c>
      <c r="C1469" s="16">
        <v>0</v>
      </c>
      <c r="D1469" s="16">
        <v>0</v>
      </c>
      <c r="E1469" s="29" t="s">
        <v>42</v>
      </c>
      <c r="F1469" s="29" t="s">
        <v>43</v>
      </c>
      <c r="G1469" t="e">
        <v>#N/A</v>
      </c>
    </row>
    <row r="1470" spans="1:7" ht="11.5" hidden="1" customHeight="1" x14ac:dyDescent="0.35">
      <c r="A1470" s="29" t="s">
        <v>1697</v>
      </c>
      <c r="B1470" s="29" t="s">
        <v>3455</v>
      </c>
      <c r="C1470" s="16">
        <v>0</v>
      </c>
      <c r="D1470" s="16">
        <v>0</v>
      </c>
      <c r="E1470" s="29" t="s">
        <v>42</v>
      </c>
      <c r="F1470" s="29" t="s">
        <v>43</v>
      </c>
      <c r="G1470" t="e">
        <v>#N/A</v>
      </c>
    </row>
    <row r="1471" spans="1:7" ht="11.5" hidden="1" customHeight="1" x14ac:dyDescent="0.35">
      <c r="A1471" s="29" t="s">
        <v>1698</v>
      </c>
      <c r="B1471" s="29" t="s">
        <v>3456</v>
      </c>
      <c r="C1471" s="16">
        <v>0</v>
      </c>
      <c r="D1471" s="16">
        <v>0</v>
      </c>
      <c r="E1471" s="29" t="s">
        <v>42</v>
      </c>
      <c r="F1471" s="29" t="s">
        <v>43</v>
      </c>
      <c r="G1471" t="e">
        <v>#N/A</v>
      </c>
    </row>
    <row r="1472" spans="1:7" ht="11.5" hidden="1" customHeight="1" x14ac:dyDescent="0.35">
      <c r="A1472" s="29" t="s">
        <v>1699</v>
      </c>
      <c r="B1472" s="29" t="s">
        <v>3457</v>
      </c>
      <c r="C1472" s="16">
        <v>0</v>
      </c>
      <c r="D1472" s="16">
        <v>0</v>
      </c>
      <c r="E1472" s="29" t="s">
        <v>42</v>
      </c>
      <c r="F1472" s="29" t="s">
        <v>43</v>
      </c>
      <c r="G1472" t="e">
        <v>#N/A</v>
      </c>
    </row>
    <row r="1473" spans="1:7" ht="11.5" hidden="1" customHeight="1" x14ac:dyDescent="0.35">
      <c r="A1473" s="29" t="s">
        <v>1700</v>
      </c>
      <c r="B1473" s="29" t="s">
        <v>3458</v>
      </c>
      <c r="C1473" s="16">
        <v>0</v>
      </c>
      <c r="D1473" s="16">
        <v>0</v>
      </c>
      <c r="E1473" s="29" t="s">
        <v>42</v>
      </c>
      <c r="F1473" s="29" t="s">
        <v>43</v>
      </c>
      <c r="G1473" t="e">
        <v>#N/A</v>
      </c>
    </row>
    <row r="1474" spans="1:7" ht="11.5" hidden="1" customHeight="1" x14ac:dyDescent="0.35">
      <c r="A1474" s="29" t="s">
        <v>1701</v>
      </c>
      <c r="B1474" s="29" t="s">
        <v>3459</v>
      </c>
      <c r="C1474" s="16">
        <v>0</v>
      </c>
      <c r="D1474" s="16">
        <v>0</v>
      </c>
      <c r="E1474" s="29" t="s">
        <v>42</v>
      </c>
      <c r="F1474" s="29" t="s">
        <v>43</v>
      </c>
      <c r="G1474" t="e">
        <v>#N/A</v>
      </c>
    </row>
    <row r="1475" spans="1:7" ht="11.5" hidden="1" customHeight="1" x14ac:dyDescent="0.35">
      <c r="A1475" s="29" t="s">
        <v>1702</v>
      </c>
      <c r="B1475" s="29" t="s">
        <v>3460</v>
      </c>
      <c r="C1475" s="16">
        <v>0</v>
      </c>
      <c r="D1475" s="16">
        <v>0</v>
      </c>
      <c r="E1475" s="29" t="s">
        <v>42</v>
      </c>
      <c r="F1475" s="29" t="s">
        <v>43</v>
      </c>
      <c r="G1475" t="e">
        <v>#N/A</v>
      </c>
    </row>
    <row r="1476" spans="1:7" ht="11.5" hidden="1" customHeight="1" x14ac:dyDescent="0.35">
      <c r="A1476" s="29" t="s">
        <v>1703</v>
      </c>
      <c r="B1476" s="29" t="s">
        <v>3461</v>
      </c>
      <c r="C1476" s="16">
        <v>0</v>
      </c>
      <c r="D1476" s="16">
        <v>0</v>
      </c>
      <c r="E1476" s="29" t="s">
        <v>42</v>
      </c>
      <c r="F1476" s="29" t="s">
        <v>43</v>
      </c>
      <c r="G1476" t="e">
        <v>#N/A</v>
      </c>
    </row>
    <row r="1477" spans="1:7" ht="11.5" hidden="1" customHeight="1" x14ac:dyDescent="0.35">
      <c r="A1477" s="29" t="s">
        <v>1704</v>
      </c>
      <c r="B1477" s="29" t="s">
        <v>3462</v>
      </c>
      <c r="C1477" s="16">
        <v>0</v>
      </c>
      <c r="D1477" s="16">
        <v>0</v>
      </c>
      <c r="E1477" s="29" t="s">
        <v>42</v>
      </c>
      <c r="F1477" s="29" t="s">
        <v>43</v>
      </c>
      <c r="G1477" t="e">
        <v>#N/A</v>
      </c>
    </row>
    <row r="1478" spans="1:7" ht="11.5" hidden="1" customHeight="1" x14ac:dyDescent="0.35">
      <c r="A1478" s="29" t="s">
        <v>1705</v>
      </c>
      <c r="B1478" s="29" t="s">
        <v>3463</v>
      </c>
      <c r="C1478" s="16">
        <v>0</v>
      </c>
      <c r="D1478" s="16">
        <v>0</v>
      </c>
      <c r="E1478" s="29" t="s">
        <v>42</v>
      </c>
      <c r="F1478" s="29" t="s">
        <v>43</v>
      </c>
      <c r="G1478" t="e">
        <v>#N/A</v>
      </c>
    </row>
    <row r="1479" spans="1:7" ht="11.5" hidden="1" customHeight="1" x14ac:dyDescent="0.35">
      <c r="A1479" s="29" t="s">
        <v>1706</v>
      </c>
      <c r="B1479" s="29" t="s">
        <v>3464</v>
      </c>
      <c r="C1479" s="16">
        <v>0</v>
      </c>
      <c r="D1479" s="16">
        <v>0</v>
      </c>
      <c r="E1479" s="29" t="s">
        <v>42</v>
      </c>
      <c r="F1479" s="29" t="s">
        <v>43</v>
      </c>
      <c r="G1479" t="e">
        <v>#N/A</v>
      </c>
    </row>
    <row r="1480" spans="1:7" ht="11.5" hidden="1" customHeight="1" x14ac:dyDescent="0.35">
      <c r="A1480" s="29" t="s">
        <v>1707</v>
      </c>
      <c r="B1480" s="29" t="s">
        <v>3465</v>
      </c>
      <c r="C1480" s="16">
        <v>0</v>
      </c>
      <c r="D1480" s="16">
        <v>0</v>
      </c>
      <c r="E1480" s="29" t="s">
        <v>42</v>
      </c>
      <c r="F1480" s="29" t="s">
        <v>43</v>
      </c>
      <c r="G1480" t="e">
        <v>#N/A</v>
      </c>
    </row>
    <row r="1481" spans="1:7" ht="11.5" hidden="1" customHeight="1" x14ac:dyDescent="0.35">
      <c r="A1481" s="29" t="s">
        <v>1708</v>
      </c>
      <c r="B1481" s="29" t="s">
        <v>3466</v>
      </c>
      <c r="C1481" s="16">
        <v>0</v>
      </c>
      <c r="D1481" s="16">
        <v>0</v>
      </c>
      <c r="E1481" s="29" t="s">
        <v>42</v>
      </c>
      <c r="F1481" s="29" t="s">
        <v>43</v>
      </c>
      <c r="G1481" t="e">
        <v>#N/A</v>
      </c>
    </row>
    <row r="1482" spans="1:7" ht="11.5" hidden="1" customHeight="1" x14ac:dyDescent="0.35">
      <c r="A1482" s="29" t="s">
        <v>1709</v>
      </c>
      <c r="B1482" s="29" t="s">
        <v>3467</v>
      </c>
      <c r="C1482" s="16">
        <v>0</v>
      </c>
      <c r="D1482" s="16">
        <v>0</v>
      </c>
      <c r="E1482" s="29" t="s">
        <v>42</v>
      </c>
      <c r="F1482" s="29" t="s">
        <v>43</v>
      </c>
      <c r="G1482" t="e">
        <v>#N/A</v>
      </c>
    </row>
    <row r="1483" spans="1:7" ht="11.5" hidden="1" customHeight="1" x14ac:dyDescent="0.35">
      <c r="A1483" s="29" t="s">
        <v>1710</v>
      </c>
      <c r="B1483" s="29" t="s">
        <v>3468</v>
      </c>
      <c r="C1483" s="16">
        <v>0</v>
      </c>
      <c r="D1483" s="16">
        <v>0</v>
      </c>
      <c r="E1483" s="29" t="s">
        <v>42</v>
      </c>
      <c r="F1483" s="29" t="s">
        <v>43</v>
      </c>
      <c r="G1483" t="e">
        <v>#N/A</v>
      </c>
    </row>
    <row r="1484" spans="1:7" ht="11.5" hidden="1" customHeight="1" x14ac:dyDescent="0.35">
      <c r="A1484" s="29" t="s">
        <v>1711</v>
      </c>
      <c r="B1484" s="29" t="s">
        <v>3469</v>
      </c>
      <c r="C1484" s="16">
        <v>0</v>
      </c>
      <c r="D1484" s="16">
        <v>0</v>
      </c>
      <c r="E1484" s="29" t="s">
        <v>42</v>
      </c>
      <c r="F1484" s="29" t="s">
        <v>43</v>
      </c>
      <c r="G1484" t="e">
        <v>#N/A</v>
      </c>
    </row>
    <row r="1485" spans="1:7" ht="11.5" hidden="1" customHeight="1" x14ac:dyDescent="0.35">
      <c r="A1485" s="29" t="s">
        <v>1712</v>
      </c>
      <c r="B1485" s="29" t="s">
        <v>3470</v>
      </c>
      <c r="C1485" s="16">
        <v>0</v>
      </c>
      <c r="D1485" s="16">
        <v>0</v>
      </c>
      <c r="E1485" s="29" t="s">
        <v>42</v>
      </c>
      <c r="F1485" s="29" t="s">
        <v>43</v>
      </c>
      <c r="G1485" t="e">
        <v>#N/A</v>
      </c>
    </row>
    <row r="1486" spans="1:7" ht="11.5" hidden="1" customHeight="1" x14ac:dyDescent="0.35">
      <c r="A1486" s="29" t="s">
        <v>1713</v>
      </c>
      <c r="B1486" s="29" t="s">
        <v>3471</v>
      </c>
      <c r="C1486" s="16">
        <v>0</v>
      </c>
      <c r="D1486" s="16">
        <v>0</v>
      </c>
      <c r="E1486" s="29" t="s">
        <v>42</v>
      </c>
      <c r="F1486" s="29" t="s">
        <v>43</v>
      </c>
      <c r="G1486" t="e">
        <v>#N/A</v>
      </c>
    </row>
    <row r="1487" spans="1:7" ht="11.5" hidden="1" customHeight="1" x14ac:dyDescent="0.35">
      <c r="A1487" s="29" t="s">
        <v>1714</v>
      </c>
      <c r="B1487" s="29" t="s">
        <v>3472</v>
      </c>
      <c r="C1487" s="16">
        <v>0</v>
      </c>
      <c r="D1487" s="16">
        <v>0</v>
      </c>
      <c r="E1487" s="29" t="s">
        <v>42</v>
      </c>
      <c r="F1487" s="29" t="s">
        <v>43</v>
      </c>
      <c r="G1487" t="e">
        <v>#N/A</v>
      </c>
    </row>
    <row r="1488" spans="1:7" ht="11.5" hidden="1" customHeight="1" x14ac:dyDescent="0.35">
      <c r="A1488" s="29" t="s">
        <v>1715</v>
      </c>
      <c r="B1488" s="29" t="s">
        <v>3473</v>
      </c>
      <c r="C1488" s="16">
        <v>0</v>
      </c>
      <c r="D1488" s="16">
        <v>0</v>
      </c>
      <c r="E1488" s="29" t="s">
        <v>42</v>
      </c>
      <c r="F1488" s="29" t="s">
        <v>43</v>
      </c>
      <c r="G1488" t="e">
        <v>#N/A</v>
      </c>
    </row>
    <row r="1489" spans="1:7" ht="11.5" hidden="1" customHeight="1" x14ac:dyDescent="0.35">
      <c r="A1489" s="29" t="s">
        <v>1716</v>
      </c>
      <c r="B1489" s="29" t="s">
        <v>3474</v>
      </c>
      <c r="C1489" s="16">
        <v>0</v>
      </c>
      <c r="D1489" s="16">
        <v>0</v>
      </c>
      <c r="E1489" s="29" t="s">
        <v>42</v>
      </c>
      <c r="F1489" s="29" t="s">
        <v>43</v>
      </c>
      <c r="G1489" t="e">
        <v>#N/A</v>
      </c>
    </row>
    <row r="1490" spans="1:7" ht="11.5" hidden="1" customHeight="1" x14ac:dyDescent="0.35">
      <c r="A1490" s="29" t="s">
        <v>1717</v>
      </c>
      <c r="B1490" s="29" t="s">
        <v>3475</v>
      </c>
      <c r="C1490" s="16">
        <v>0</v>
      </c>
      <c r="D1490" s="16">
        <v>0</v>
      </c>
      <c r="E1490" s="29" t="s">
        <v>42</v>
      </c>
      <c r="F1490" s="29" t="s">
        <v>43</v>
      </c>
      <c r="G1490" t="e">
        <v>#N/A</v>
      </c>
    </row>
    <row r="1491" spans="1:7" ht="11.5" hidden="1" customHeight="1" x14ac:dyDescent="0.35">
      <c r="A1491" s="29" t="s">
        <v>1718</v>
      </c>
      <c r="B1491" s="29" t="s">
        <v>3476</v>
      </c>
      <c r="C1491" s="16">
        <v>0</v>
      </c>
      <c r="D1491" s="16">
        <v>0</v>
      </c>
      <c r="E1491" s="29" t="s">
        <v>42</v>
      </c>
      <c r="F1491" s="29" t="s">
        <v>43</v>
      </c>
      <c r="G1491" t="e">
        <v>#N/A</v>
      </c>
    </row>
    <row r="1492" spans="1:7" ht="11.5" hidden="1" customHeight="1" x14ac:dyDescent="0.35">
      <c r="A1492" s="29" t="s">
        <v>1719</v>
      </c>
      <c r="B1492" s="29" t="s">
        <v>3477</v>
      </c>
      <c r="C1492" s="16">
        <v>0</v>
      </c>
      <c r="D1492" s="16">
        <v>0</v>
      </c>
      <c r="E1492" s="29" t="s">
        <v>42</v>
      </c>
      <c r="F1492" s="29" t="s">
        <v>43</v>
      </c>
      <c r="G1492" t="e">
        <v>#N/A</v>
      </c>
    </row>
    <row r="1493" spans="1:7" ht="11.5" hidden="1" customHeight="1" x14ac:dyDescent="0.35">
      <c r="A1493" s="29" t="s">
        <v>1720</v>
      </c>
      <c r="B1493" s="29" t="s">
        <v>3478</v>
      </c>
      <c r="C1493" s="16">
        <v>0</v>
      </c>
      <c r="D1493" s="16">
        <v>0</v>
      </c>
      <c r="E1493" s="29" t="s">
        <v>42</v>
      </c>
      <c r="F1493" s="29" t="s">
        <v>43</v>
      </c>
      <c r="G1493" t="e">
        <v>#N/A</v>
      </c>
    </row>
    <row r="1494" spans="1:7" ht="11.5" hidden="1" customHeight="1" x14ac:dyDescent="0.35">
      <c r="A1494" s="29" t="s">
        <v>1721</v>
      </c>
      <c r="B1494" s="29" t="s">
        <v>3479</v>
      </c>
      <c r="C1494" s="16">
        <v>0</v>
      </c>
      <c r="D1494" s="16">
        <v>0</v>
      </c>
      <c r="E1494" s="29" t="s">
        <v>42</v>
      </c>
      <c r="F1494" s="29" t="s">
        <v>43</v>
      </c>
      <c r="G1494" t="e">
        <v>#N/A</v>
      </c>
    </row>
    <row r="1495" spans="1:7" ht="11.5" hidden="1" customHeight="1" x14ac:dyDescent="0.35">
      <c r="A1495" s="29" t="s">
        <v>1722</v>
      </c>
      <c r="B1495" s="29" t="s">
        <v>3480</v>
      </c>
      <c r="C1495" s="16">
        <v>0</v>
      </c>
      <c r="D1495" s="16">
        <v>0</v>
      </c>
      <c r="E1495" s="29" t="s">
        <v>42</v>
      </c>
      <c r="F1495" s="29" t="s">
        <v>43</v>
      </c>
      <c r="G1495" t="e">
        <v>#N/A</v>
      </c>
    </row>
    <row r="1496" spans="1:7" ht="11.5" hidden="1" customHeight="1" x14ac:dyDescent="0.35">
      <c r="A1496" s="29" t="s">
        <v>1723</v>
      </c>
      <c r="B1496" s="29" t="s">
        <v>3481</v>
      </c>
      <c r="C1496" s="16">
        <v>0</v>
      </c>
      <c r="D1496" s="16">
        <v>0</v>
      </c>
      <c r="E1496" s="29" t="s">
        <v>42</v>
      </c>
      <c r="F1496" s="29" t="s">
        <v>43</v>
      </c>
      <c r="G1496" t="e">
        <v>#N/A</v>
      </c>
    </row>
    <row r="1497" spans="1:7" ht="11.5" hidden="1" customHeight="1" x14ac:dyDescent="0.35">
      <c r="A1497" s="29" t="s">
        <v>1724</v>
      </c>
      <c r="B1497" s="29" t="s">
        <v>3482</v>
      </c>
      <c r="C1497" s="16">
        <v>0</v>
      </c>
      <c r="D1497" s="16">
        <v>0</v>
      </c>
      <c r="E1497" s="29" t="s">
        <v>42</v>
      </c>
      <c r="F1497" s="29" t="s">
        <v>43</v>
      </c>
      <c r="G1497" t="e">
        <v>#N/A</v>
      </c>
    </row>
    <row r="1498" spans="1:7" ht="11.5" hidden="1" customHeight="1" x14ac:dyDescent="0.35">
      <c r="A1498" s="29" t="s">
        <v>1725</v>
      </c>
      <c r="B1498" s="29" t="s">
        <v>3483</v>
      </c>
      <c r="C1498" s="16">
        <v>0</v>
      </c>
      <c r="D1498" s="16">
        <v>0</v>
      </c>
      <c r="E1498" s="29" t="s">
        <v>42</v>
      </c>
      <c r="F1498" s="29" t="s">
        <v>43</v>
      </c>
      <c r="G1498" t="e">
        <v>#N/A</v>
      </c>
    </row>
    <row r="1499" spans="1:7" ht="11.5" hidden="1" customHeight="1" x14ac:dyDescent="0.35">
      <c r="A1499" s="29" t="s">
        <v>1726</v>
      </c>
      <c r="B1499" s="29" t="s">
        <v>3484</v>
      </c>
      <c r="C1499" s="16">
        <v>0</v>
      </c>
      <c r="D1499" s="16">
        <v>0</v>
      </c>
      <c r="E1499" s="29" t="s">
        <v>42</v>
      </c>
      <c r="F1499" s="29" t="s">
        <v>43</v>
      </c>
      <c r="G1499" t="e">
        <v>#N/A</v>
      </c>
    </row>
    <row r="1500" spans="1:7" ht="11.5" hidden="1" customHeight="1" x14ac:dyDescent="0.35">
      <c r="A1500" s="29" t="s">
        <v>1727</v>
      </c>
      <c r="B1500" s="29" t="s">
        <v>3485</v>
      </c>
      <c r="C1500" s="16">
        <v>0</v>
      </c>
      <c r="D1500" s="16">
        <v>0</v>
      </c>
      <c r="E1500" s="29" t="s">
        <v>42</v>
      </c>
      <c r="F1500" s="29" t="s">
        <v>43</v>
      </c>
      <c r="G1500" t="e">
        <v>#N/A</v>
      </c>
    </row>
    <row r="1501" spans="1:7" ht="11.5" hidden="1" customHeight="1" x14ac:dyDescent="0.35">
      <c r="A1501" s="29" t="s">
        <v>1728</v>
      </c>
      <c r="B1501" s="29" t="s">
        <v>3486</v>
      </c>
      <c r="C1501" s="16">
        <v>0</v>
      </c>
      <c r="D1501" s="16">
        <v>0</v>
      </c>
      <c r="E1501" s="29" t="s">
        <v>42</v>
      </c>
      <c r="F1501" s="29" t="s">
        <v>43</v>
      </c>
      <c r="G1501" t="e">
        <v>#N/A</v>
      </c>
    </row>
    <row r="1502" spans="1:7" ht="11.5" hidden="1" customHeight="1" x14ac:dyDescent="0.35">
      <c r="A1502" s="29" t="s">
        <v>1729</v>
      </c>
      <c r="B1502" s="29" t="s">
        <v>3487</v>
      </c>
      <c r="C1502" s="16">
        <v>0</v>
      </c>
      <c r="D1502" s="16">
        <v>0</v>
      </c>
      <c r="E1502" s="29" t="s">
        <v>42</v>
      </c>
      <c r="F1502" s="29" t="s">
        <v>43</v>
      </c>
      <c r="G1502" t="e">
        <v>#N/A</v>
      </c>
    </row>
    <row r="1503" spans="1:7" ht="11.5" hidden="1" customHeight="1" x14ac:dyDescent="0.35">
      <c r="A1503" s="29" t="s">
        <v>1730</v>
      </c>
      <c r="B1503" s="29" t="s">
        <v>3488</v>
      </c>
      <c r="C1503" s="16">
        <v>0</v>
      </c>
      <c r="D1503" s="16">
        <v>0</v>
      </c>
      <c r="E1503" s="29" t="s">
        <v>42</v>
      </c>
      <c r="F1503" s="29" t="s">
        <v>43</v>
      </c>
      <c r="G1503" t="e">
        <v>#N/A</v>
      </c>
    </row>
    <row r="1504" spans="1:7" ht="11.5" hidden="1" customHeight="1" x14ac:dyDescent="0.35">
      <c r="A1504" s="29" t="s">
        <v>1731</v>
      </c>
      <c r="B1504" s="29" t="s">
        <v>3489</v>
      </c>
      <c r="C1504" s="16">
        <v>0</v>
      </c>
      <c r="D1504" s="16">
        <v>0</v>
      </c>
      <c r="E1504" s="29" t="s">
        <v>42</v>
      </c>
      <c r="F1504" s="29" t="s">
        <v>43</v>
      </c>
      <c r="G1504" t="e">
        <v>#N/A</v>
      </c>
    </row>
    <row r="1505" spans="1:7" ht="11.5" hidden="1" customHeight="1" x14ac:dyDescent="0.35">
      <c r="A1505" s="29" t="s">
        <v>1732</v>
      </c>
      <c r="B1505" s="29" t="s">
        <v>3490</v>
      </c>
      <c r="C1505" s="16">
        <v>0</v>
      </c>
      <c r="D1505" s="16">
        <v>0</v>
      </c>
      <c r="E1505" s="29" t="s">
        <v>42</v>
      </c>
      <c r="F1505" s="29" t="s">
        <v>43</v>
      </c>
      <c r="G1505" t="e">
        <v>#N/A</v>
      </c>
    </row>
    <row r="1506" spans="1:7" ht="11.5" hidden="1" customHeight="1" x14ac:dyDescent="0.35">
      <c r="A1506" s="29" t="s">
        <v>1733</v>
      </c>
      <c r="B1506" s="29" t="s">
        <v>3491</v>
      </c>
      <c r="C1506" s="16">
        <v>0</v>
      </c>
      <c r="D1506" s="16">
        <v>0</v>
      </c>
      <c r="E1506" s="29" t="s">
        <v>42</v>
      </c>
      <c r="F1506" s="29" t="s">
        <v>43</v>
      </c>
      <c r="G1506" t="e">
        <v>#N/A</v>
      </c>
    </row>
    <row r="1507" spans="1:7" ht="11.5" hidden="1" customHeight="1" x14ac:dyDescent="0.35">
      <c r="A1507" s="29" t="s">
        <v>1734</v>
      </c>
      <c r="B1507" s="29" t="s">
        <v>3492</v>
      </c>
      <c r="C1507" s="16">
        <v>0</v>
      </c>
      <c r="D1507" s="16">
        <v>0</v>
      </c>
      <c r="E1507" s="29" t="s">
        <v>42</v>
      </c>
      <c r="F1507" s="29" t="s">
        <v>43</v>
      </c>
      <c r="G1507" t="e">
        <v>#N/A</v>
      </c>
    </row>
    <row r="1508" spans="1:7" ht="11.5" hidden="1" customHeight="1" x14ac:dyDescent="0.35">
      <c r="A1508" s="29" t="s">
        <v>1735</v>
      </c>
      <c r="B1508" s="29" t="s">
        <v>3493</v>
      </c>
      <c r="C1508" s="16">
        <v>0</v>
      </c>
      <c r="D1508" s="16">
        <v>0</v>
      </c>
      <c r="E1508" s="29" t="s">
        <v>42</v>
      </c>
      <c r="F1508" s="29" t="s">
        <v>43</v>
      </c>
      <c r="G1508" t="e">
        <v>#N/A</v>
      </c>
    </row>
    <row r="1509" spans="1:7" ht="11.5" hidden="1" customHeight="1" x14ac:dyDescent="0.35">
      <c r="A1509" s="29" t="s">
        <v>1736</v>
      </c>
      <c r="B1509" s="29" t="s">
        <v>3494</v>
      </c>
      <c r="C1509" s="16">
        <v>0</v>
      </c>
      <c r="D1509" s="16">
        <v>0</v>
      </c>
      <c r="E1509" s="29" t="s">
        <v>42</v>
      </c>
      <c r="F1509" s="29" t="s">
        <v>43</v>
      </c>
      <c r="G1509" t="e">
        <v>#N/A</v>
      </c>
    </row>
    <row r="1510" spans="1:7" ht="11.5" hidden="1" customHeight="1" x14ac:dyDescent="0.35">
      <c r="A1510" s="29" t="s">
        <v>1737</v>
      </c>
      <c r="B1510" s="29" t="s">
        <v>3495</v>
      </c>
      <c r="C1510" s="16">
        <v>0</v>
      </c>
      <c r="D1510" s="16">
        <v>0</v>
      </c>
      <c r="E1510" s="29" t="s">
        <v>42</v>
      </c>
      <c r="F1510" s="29" t="s">
        <v>43</v>
      </c>
      <c r="G1510" t="e">
        <v>#N/A</v>
      </c>
    </row>
    <row r="1511" spans="1:7" ht="11.5" hidden="1" customHeight="1" x14ac:dyDescent="0.35">
      <c r="A1511" s="29" t="s">
        <v>1738</v>
      </c>
      <c r="B1511" s="29" t="s">
        <v>3496</v>
      </c>
      <c r="C1511" s="16">
        <v>0</v>
      </c>
      <c r="D1511" s="16">
        <v>0</v>
      </c>
      <c r="E1511" s="29" t="s">
        <v>42</v>
      </c>
      <c r="F1511" s="29" t="s">
        <v>43</v>
      </c>
      <c r="G1511" t="e">
        <v>#N/A</v>
      </c>
    </row>
    <row r="1512" spans="1:7" ht="11.5" hidden="1" customHeight="1" x14ac:dyDescent="0.35">
      <c r="A1512" s="29" t="s">
        <v>1739</v>
      </c>
      <c r="B1512" s="29" t="s">
        <v>3497</v>
      </c>
      <c r="C1512" s="16">
        <v>0</v>
      </c>
      <c r="D1512" s="16">
        <v>0</v>
      </c>
      <c r="E1512" s="29" t="s">
        <v>42</v>
      </c>
      <c r="F1512" s="29" t="s">
        <v>43</v>
      </c>
      <c r="G1512" t="e">
        <v>#N/A</v>
      </c>
    </row>
    <row r="1513" spans="1:7" ht="11.5" hidden="1" customHeight="1" x14ac:dyDescent="0.35">
      <c r="A1513" s="29" t="s">
        <v>1740</v>
      </c>
      <c r="B1513" s="29" t="s">
        <v>3498</v>
      </c>
      <c r="C1513" s="16">
        <v>0</v>
      </c>
      <c r="D1513" s="16">
        <v>0</v>
      </c>
      <c r="E1513" s="29" t="s">
        <v>42</v>
      </c>
      <c r="F1513" s="29" t="s">
        <v>43</v>
      </c>
      <c r="G1513" t="e">
        <v>#N/A</v>
      </c>
    </row>
    <row r="1514" spans="1:7" ht="11.5" hidden="1" customHeight="1" x14ac:dyDescent="0.35">
      <c r="A1514" s="29" t="s">
        <v>1741</v>
      </c>
      <c r="B1514" s="29" t="s">
        <v>3499</v>
      </c>
      <c r="C1514" s="16">
        <v>0</v>
      </c>
      <c r="D1514" s="16">
        <v>0</v>
      </c>
      <c r="E1514" s="29" t="s">
        <v>42</v>
      </c>
      <c r="F1514" s="29" t="s">
        <v>43</v>
      </c>
      <c r="G1514" t="e">
        <v>#N/A</v>
      </c>
    </row>
    <row r="1515" spans="1:7" ht="11.5" hidden="1" customHeight="1" x14ac:dyDescent="0.35">
      <c r="A1515" s="29" t="s">
        <v>1742</v>
      </c>
      <c r="B1515" s="29" t="s">
        <v>3500</v>
      </c>
      <c r="C1515" s="16">
        <v>0</v>
      </c>
      <c r="D1515" s="16">
        <v>0</v>
      </c>
      <c r="E1515" s="29" t="s">
        <v>42</v>
      </c>
      <c r="F1515" s="29" t="s">
        <v>43</v>
      </c>
      <c r="G1515" t="e">
        <v>#N/A</v>
      </c>
    </row>
    <row r="1516" spans="1:7" ht="11.5" hidden="1" customHeight="1" x14ac:dyDescent="0.35">
      <c r="A1516" s="29" t="s">
        <v>1743</v>
      </c>
      <c r="B1516" s="29" t="s">
        <v>3501</v>
      </c>
      <c r="C1516" s="16">
        <v>0</v>
      </c>
      <c r="D1516" s="16">
        <v>0</v>
      </c>
      <c r="E1516" s="29" t="s">
        <v>42</v>
      </c>
      <c r="F1516" s="29" t="s">
        <v>43</v>
      </c>
      <c r="G1516" t="e">
        <v>#N/A</v>
      </c>
    </row>
    <row r="1517" spans="1:7" ht="11.5" hidden="1" customHeight="1" x14ac:dyDescent="0.35">
      <c r="A1517" s="29" t="s">
        <v>1744</v>
      </c>
      <c r="B1517" s="29" t="s">
        <v>3502</v>
      </c>
      <c r="C1517" s="16">
        <v>0</v>
      </c>
      <c r="D1517" s="16">
        <v>0</v>
      </c>
      <c r="E1517" s="29" t="s">
        <v>42</v>
      </c>
      <c r="F1517" s="29" t="s">
        <v>43</v>
      </c>
      <c r="G1517" t="e">
        <v>#N/A</v>
      </c>
    </row>
    <row r="1518" spans="1:7" ht="11.5" hidden="1" customHeight="1" x14ac:dyDescent="0.35">
      <c r="A1518" s="29" t="s">
        <v>1745</v>
      </c>
      <c r="B1518" s="29" t="s">
        <v>3503</v>
      </c>
      <c r="C1518" s="16">
        <v>0</v>
      </c>
      <c r="D1518" s="16">
        <v>0</v>
      </c>
      <c r="E1518" s="29" t="s">
        <v>42</v>
      </c>
      <c r="F1518" s="29" t="s">
        <v>43</v>
      </c>
      <c r="G1518" t="e">
        <v>#N/A</v>
      </c>
    </row>
    <row r="1519" spans="1:7" ht="11.5" hidden="1" customHeight="1" x14ac:dyDescent="0.35">
      <c r="A1519" s="29" t="s">
        <v>1746</v>
      </c>
      <c r="B1519" s="29" t="s">
        <v>3504</v>
      </c>
      <c r="C1519" s="16">
        <v>0</v>
      </c>
      <c r="D1519" s="16">
        <v>0</v>
      </c>
      <c r="E1519" s="29" t="s">
        <v>42</v>
      </c>
      <c r="F1519" s="29" t="s">
        <v>43</v>
      </c>
      <c r="G1519" t="e">
        <v>#N/A</v>
      </c>
    </row>
    <row r="1520" spans="1:7" ht="11.5" hidden="1" customHeight="1" x14ac:dyDescent="0.35">
      <c r="A1520" s="29" t="s">
        <v>1747</v>
      </c>
      <c r="B1520" s="29" t="s">
        <v>3505</v>
      </c>
      <c r="C1520" s="16">
        <v>0</v>
      </c>
      <c r="D1520" s="16">
        <v>0</v>
      </c>
      <c r="E1520" s="29" t="s">
        <v>42</v>
      </c>
      <c r="F1520" s="29" t="s">
        <v>43</v>
      </c>
      <c r="G1520" t="e">
        <v>#N/A</v>
      </c>
    </row>
    <row r="1521" spans="1:7" ht="11.5" hidden="1" customHeight="1" x14ac:dyDescent="0.35">
      <c r="A1521" s="29" t="s">
        <v>1748</v>
      </c>
      <c r="B1521" s="29" t="s">
        <v>3506</v>
      </c>
      <c r="C1521" s="16">
        <v>0</v>
      </c>
      <c r="D1521" s="16">
        <v>0</v>
      </c>
      <c r="E1521" s="29" t="s">
        <v>42</v>
      </c>
      <c r="F1521" s="29" t="s">
        <v>43</v>
      </c>
      <c r="G1521" t="e">
        <v>#N/A</v>
      </c>
    </row>
    <row r="1522" spans="1:7" ht="11.5" hidden="1" customHeight="1" x14ac:dyDescent="0.35">
      <c r="A1522" s="29" t="s">
        <v>1749</v>
      </c>
      <c r="B1522" s="29" t="s">
        <v>3507</v>
      </c>
      <c r="C1522" s="16">
        <v>0</v>
      </c>
      <c r="D1522" s="16">
        <v>0</v>
      </c>
      <c r="E1522" s="29" t="s">
        <v>42</v>
      </c>
      <c r="F1522" s="29" t="s">
        <v>43</v>
      </c>
      <c r="G1522" t="e">
        <v>#N/A</v>
      </c>
    </row>
    <row r="1523" spans="1:7" ht="11.5" hidden="1" customHeight="1" x14ac:dyDescent="0.35">
      <c r="A1523" s="29" t="s">
        <v>1750</v>
      </c>
      <c r="B1523" s="29" t="s">
        <v>3508</v>
      </c>
      <c r="C1523" s="16">
        <v>0</v>
      </c>
      <c r="D1523" s="16">
        <v>0</v>
      </c>
      <c r="E1523" s="29" t="s">
        <v>42</v>
      </c>
      <c r="F1523" s="29" t="s">
        <v>43</v>
      </c>
      <c r="G1523" t="e">
        <v>#N/A</v>
      </c>
    </row>
    <row r="1524" spans="1:7" ht="11.5" hidden="1" customHeight="1" x14ac:dyDescent="0.35">
      <c r="A1524" s="29" t="s">
        <v>1751</v>
      </c>
      <c r="B1524" s="29" t="s">
        <v>3509</v>
      </c>
      <c r="C1524" s="16">
        <v>0</v>
      </c>
      <c r="D1524" s="16">
        <v>0</v>
      </c>
      <c r="E1524" s="29" t="s">
        <v>42</v>
      </c>
      <c r="F1524" s="29" t="s">
        <v>43</v>
      </c>
      <c r="G1524" t="e">
        <v>#N/A</v>
      </c>
    </row>
    <row r="1525" spans="1:7" ht="11.5" hidden="1" customHeight="1" x14ac:dyDescent="0.35">
      <c r="A1525" s="29" t="s">
        <v>1752</v>
      </c>
      <c r="B1525" s="29" t="s">
        <v>3510</v>
      </c>
      <c r="C1525" s="16">
        <v>0</v>
      </c>
      <c r="D1525" s="16">
        <v>0</v>
      </c>
      <c r="E1525" s="29" t="s">
        <v>42</v>
      </c>
      <c r="F1525" s="29" t="s">
        <v>43</v>
      </c>
      <c r="G1525" t="e">
        <v>#N/A</v>
      </c>
    </row>
    <row r="1526" spans="1:7" ht="11.5" hidden="1" customHeight="1" x14ac:dyDescent="0.35">
      <c r="A1526" s="29" t="s">
        <v>1753</v>
      </c>
      <c r="B1526" s="29" t="s">
        <v>3511</v>
      </c>
      <c r="C1526" s="16">
        <v>0</v>
      </c>
      <c r="D1526" s="16">
        <v>0</v>
      </c>
      <c r="E1526" s="29" t="s">
        <v>42</v>
      </c>
      <c r="F1526" s="29" t="s">
        <v>43</v>
      </c>
      <c r="G1526" t="e">
        <v>#N/A</v>
      </c>
    </row>
    <row r="1527" spans="1:7" ht="11.5" hidden="1" customHeight="1" x14ac:dyDescent="0.35">
      <c r="A1527" s="29" t="s">
        <v>1754</v>
      </c>
      <c r="B1527" s="29" t="s">
        <v>3512</v>
      </c>
      <c r="C1527" s="16">
        <v>0</v>
      </c>
      <c r="D1527" s="16">
        <v>0</v>
      </c>
      <c r="E1527" s="29" t="s">
        <v>42</v>
      </c>
      <c r="F1527" s="29" t="s">
        <v>43</v>
      </c>
      <c r="G1527" t="e">
        <v>#N/A</v>
      </c>
    </row>
    <row r="1528" spans="1:7" ht="11.5" hidden="1" customHeight="1" x14ac:dyDescent="0.35">
      <c r="A1528" s="29" t="s">
        <v>1755</v>
      </c>
      <c r="B1528" s="29" t="s">
        <v>3513</v>
      </c>
      <c r="C1528" s="16">
        <v>0</v>
      </c>
      <c r="D1528" s="16">
        <v>0</v>
      </c>
      <c r="E1528" s="29" t="s">
        <v>42</v>
      </c>
      <c r="F1528" s="29" t="s">
        <v>43</v>
      </c>
      <c r="G1528" t="e">
        <v>#N/A</v>
      </c>
    </row>
    <row r="1529" spans="1:7" ht="11.5" hidden="1" customHeight="1" x14ac:dyDescent="0.35">
      <c r="A1529" s="29" t="s">
        <v>1756</v>
      </c>
      <c r="B1529" s="29" t="s">
        <v>3514</v>
      </c>
      <c r="C1529" s="16">
        <v>0</v>
      </c>
      <c r="D1529" s="16">
        <v>0</v>
      </c>
      <c r="E1529" s="29" t="s">
        <v>42</v>
      </c>
      <c r="F1529" s="29" t="s">
        <v>43</v>
      </c>
      <c r="G1529" t="e">
        <v>#N/A</v>
      </c>
    </row>
    <row r="1530" spans="1:7" ht="11.5" hidden="1" customHeight="1" x14ac:dyDescent="0.35">
      <c r="A1530" s="29" t="s">
        <v>1757</v>
      </c>
      <c r="B1530" s="29" t="s">
        <v>3515</v>
      </c>
      <c r="C1530" s="16">
        <v>0</v>
      </c>
      <c r="D1530" s="16">
        <v>0</v>
      </c>
      <c r="E1530" s="29" t="s">
        <v>42</v>
      </c>
      <c r="F1530" s="29" t="s">
        <v>43</v>
      </c>
      <c r="G1530" t="e">
        <v>#N/A</v>
      </c>
    </row>
    <row r="1531" spans="1:7" ht="11.5" hidden="1" customHeight="1" x14ac:dyDescent="0.35">
      <c r="A1531" s="29" t="s">
        <v>1758</v>
      </c>
      <c r="B1531" s="29" t="s">
        <v>3516</v>
      </c>
      <c r="C1531" s="16">
        <v>0</v>
      </c>
      <c r="D1531" s="16">
        <v>0</v>
      </c>
      <c r="E1531" s="29" t="s">
        <v>42</v>
      </c>
      <c r="F1531" s="29" t="s">
        <v>43</v>
      </c>
      <c r="G1531" t="e">
        <v>#N/A</v>
      </c>
    </row>
    <row r="1532" spans="1:7" ht="11.5" hidden="1" customHeight="1" x14ac:dyDescent="0.35">
      <c r="A1532" s="29" t="s">
        <v>1759</v>
      </c>
      <c r="B1532" s="29" t="s">
        <v>3517</v>
      </c>
      <c r="C1532" s="16">
        <v>0</v>
      </c>
      <c r="D1532" s="16">
        <v>0</v>
      </c>
      <c r="E1532" s="29" t="s">
        <v>42</v>
      </c>
      <c r="F1532" s="29" t="s">
        <v>43</v>
      </c>
      <c r="G1532" t="e">
        <v>#N/A</v>
      </c>
    </row>
    <row r="1533" spans="1:7" ht="11.5" hidden="1" customHeight="1" x14ac:dyDescent="0.35">
      <c r="A1533" s="29" t="s">
        <v>1760</v>
      </c>
      <c r="B1533" s="29" t="s">
        <v>3518</v>
      </c>
      <c r="C1533" s="16">
        <v>0</v>
      </c>
      <c r="D1533" s="16">
        <v>0</v>
      </c>
      <c r="E1533" s="29" t="s">
        <v>42</v>
      </c>
      <c r="F1533" s="29" t="s">
        <v>43</v>
      </c>
      <c r="G1533" t="e">
        <v>#N/A</v>
      </c>
    </row>
    <row r="1534" spans="1:7" ht="11.5" hidden="1" customHeight="1" x14ac:dyDescent="0.35">
      <c r="A1534" s="29" t="s">
        <v>1761</v>
      </c>
      <c r="B1534" s="29" t="s">
        <v>3519</v>
      </c>
      <c r="C1534" s="16">
        <v>0</v>
      </c>
      <c r="D1534" s="16">
        <v>0</v>
      </c>
      <c r="E1534" s="29" t="s">
        <v>42</v>
      </c>
      <c r="F1534" s="29" t="s">
        <v>43</v>
      </c>
      <c r="G1534" t="e">
        <v>#N/A</v>
      </c>
    </row>
    <row r="1535" spans="1:7" ht="11.5" hidden="1" customHeight="1" x14ac:dyDescent="0.35">
      <c r="A1535" s="29" t="s">
        <v>1762</v>
      </c>
      <c r="B1535" s="29" t="s">
        <v>3520</v>
      </c>
      <c r="C1535" s="16">
        <v>0</v>
      </c>
      <c r="D1535" s="16">
        <v>0</v>
      </c>
      <c r="E1535" s="29" t="s">
        <v>42</v>
      </c>
      <c r="F1535" s="29" t="s">
        <v>43</v>
      </c>
      <c r="G1535" t="e">
        <v>#N/A</v>
      </c>
    </row>
    <row r="1536" spans="1:7" ht="11.5" hidden="1" customHeight="1" x14ac:dyDescent="0.35">
      <c r="A1536" s="29" t="s">
        <v>1763</v>
      </c>
      <c r="B1536" s="29" t="s">
        <v>3520</v>
      </c>
      <c r="C1536" s="16">
        <v>0</v>
      </c>
      <c r="D1536" s="16">
        <v>0</v>
      </c>
      <c r="E1536" s="29" t="s">
        <v>42</v>
      </c>
      <c r="F1536" s="29" t="s">
        <v>43</v>
      </c>
      <c r="G1536" t="e">
        <v>#N/A</v>
      </c>
    </row>
    <row r="1537" spans="1:7" ht="11.5" hidden="1" customHeight="1" x14ac:dyDescent="0.35">
      <c r="A1537" s="29" t="s">
        <v>1764</v>
      </c>
      <c r="B1537" s="29" t="s">
        <v>3521</v>
      </c>
      <c r="C1537" s="16">
        <v>0</v>
      </c>
      <c r="D1537" s="16">
        <v>0</v>
      </c>
      <c r="E1537" s="29" t="s">
        <v>42</v>
      </c>
      <c r="F1537" s="29" t="s">
        <v>43</v>
      </c>
      <c r="G1537" t="e">
        <v>#N/A</v>
      </c>
    </row>
    <row r="1538" spans="1:7" ht="11.5" hidden="1" customHeight="1" x14ac:dyDescent="0.35">
      <c r="A1538" s="29" t="s">
        <v>1765</v>
      </c>
      <c r="B1538" s="29" t="s">
        <v>3522</v>
      </c>
      <c r="C1538" s="16">
        <v>0</v>
      </c>
      <c r="D1538" s="16">
        <v>0</v>
      </c>
      <c r="E1538" s="29" t="s">
        <v>42</v>
      </c>
      <c r="F1538" s="29" t="s">
        <v>43</v>
      </c>
      <c r="G1538" t="e">
        <v>#N/A</v>
      </c>
    </row>
    <row r="1539" spans="1:7" ht="11.5" hidden="1" customHeight="1" x14ac:dyDescent="0.35">
      <c r="A1539" s="29" t="s">
        <v>1766</v>
      </c>
      <c r="B1539" s="29" t="s">
        <v>3523</v>
      </c>
      <c r="C1539" s="16">
        <v>0</v>
      </c>
      <c r="D1539" s="16">
        <v>0</v>
      </c>
      <c r="E1539" s="29" t="s">
        <v>42</v>
      </c>
      <c r="F1539" s="29" t="s">
        <v>43</v>
      </c>
      <c r="G1539" t="e">
        <v>#N/A</v>
      </c>
    </row>
    <row r="1540" spans="1:7" ht="11.5" hidden="1" customHeight="1" x14ac:dyDescent="0.35">
      <c r="A1540" s="29" t="s">
        <v>1767</v>
      </c>
      <c r="B1540" s="29" t="s">
        <v>3524</v>
      </c>
      <c r="C1540" s="16">
        <v>0</v>
      </c>
      <c r="D1540" s="16">
        <v>0</v>
      </c>
      <c r="E1540" s="29" t="s">
        <v>42</v>
      </c>
      <c r="F1540" s="29" t="s">
        <v>43</v>
      </c>
      <c r="G1540" t="e">
        <v>#N/A</v>
      </c>
    </row>
    <row r="1541" spans="1:7" ht="11.5" hidden="1" customHeight="1" x14ac:dyDescent="0.35">
      <c r="A1541" s="29" t="s">
        <v>1768</v>
      </c>
      <c r="B1541" s="29" t="s">
        <v>3525</v>
      </c>
      <c r="C1541" s="16">
        <v>0</v>
      </c>
      <c r="D1541" s="16">
        <v>0</v>
      </c>
      <c r="E1541" s="29" t="s">
        <v>42</v>
      </c>
      <c r="F1541" s="29" t="s">
        <v>43</v>
      </c>
      <c r="G1541" t="e">
        <v>#N/A</v>
      </c>
    </row>
    <row r="1542" spans="1:7" ht="11.5" hidden="1" customHeight="1" x14ac:dyDescent="0.35">
      <c r="A1542" s="29" t="s">
        <v>1769</v>
      </c>
      <c r="B1542" s="29" t="s">
        <v>3526</v>
      </c>
      <c r="C1542" s="16">
        <v>0</v>
      </c>
      <c r="D1542" s="16">
        <v>0</v>
      </c>
      <c r="E1542" s="29" t="s">
        <v>42</v>
      </c>
      <c r="F1542" s="29" t="s">
        <v>43</v>
      </c>
      <c r="G1542" t="e">
        <v>#N/A</v>
      </c>
    </row>
    <row r="1543" spans="1:7" ht="11.5" hidden="1" customHeight="1" x14ac:dyDescent="0.35">
      <c r="A1543" s="29" t="s">
        <v>1770</v>
      </c>
      <c r="B1543" s="29" t="s">
        <v>3527</v>
      </c>
      <c r="C1543" s="16">
        <v>0</v>
      </c>
      <c r="D1543" s="16">
        <v>0</v>
      </c>
      <c r="E1543" s="29" t="s">
        <v>42</v>
      </c>
      <c r="F1543" s="29" t="s">
        <v>43</v>
      </c>
      <c r="G1543" t="e">
        <v>#N/A</v>
      </c>
    </row>
    <row r="1544" spans="1:7" ht="11.5" hidden="1" customHeight="1" x14ac:dyDescent="0.35">
      <c r="A1544" s="29" t="s">
        <v>1771</v>
      </c>
      <c r="B1544" s="29" t="s">
        <v>3528</v>
      </c>
      <c r="C1544" s="16">
        <v>0</v>
      </c>
      <c r="D1544" s="16">
        <v>0</v>
      </c>
      <c r="E1544" s="29" t="s">
        <v>42</v>
      </c>
      <c r="F1544" s="29" t="s">
        <v>43</v>
      </c>
      <c r="G1544" t="e">
        <v>#N/A</v>
      </c>
    </row>
    <row r="1545" spans="1:7" ht="11.5" hidden="1" customHeight="1" x14ac:dyDescent="0.35">
      <c r="A1545" s="29" t="s">
        <v>1772</v>
      </c>
      <c r="B1545" s="29" t="s">
        <v>3529</v>
      </c>
      <c r="C1545" s="16">
        <v>0</v>
      </c>
      <c r="D1545" s="16">
        <v>0</v>
      </c>
      <c r="E1545" s="29" t="s">
        <v>42</v>
      </c>
      <c r="F1545" s="29" t="s">
        <v>43</v>
      </c>
      <c r="G1545" t="e">
        <v>#N/A</v>
      </c>
    </row>
    <row r="1546" spans="1:7" ht="11.5" hidden="1" customHeight="1" x14ac:dyDescent="0.35">
      <c r="A1546" s="29" t="s">
        <v>1773</v>
      </c>
      <c r="B1546" s="29" t="s">
        <v>3530</v>
      </c>
      <c r="C1546" s="16">
        <v>0</v>
      </c>
      <c r="D1546" s="16">
        <v>0</v>
      </c>
      <c r="E1546" s="29" t="s">
        <v>42</v>
      </c>
      <c r="F1546" s="29" t="s">
        <v>43</v>
      </c>
      <c r="G1546" t="e">
        <v>#N/A</v>
      </c>
    </row>
    <row r="1547" spans="1:7" ht="11.5" hidden="1" customHeight="1" x14ac:dyDescent="0.35">
      <c r="A1547" s="29" t="s">
        <v>1774</v>
      </c>
      <c r="B1547" s="29" t="s">
        <v>3531</v>
      </c>
      <c r="C1547" s="16">
        <v>0</v>
      </c>
      <c r="D1547" s="16">
        <v>0</v>
      </c>
      <c r="E1547" s="29" t="s">
        <v>42</v>
      </c>
      <c r="F1547" s="29" t="s">
        <v>43</v>
      </c>
      <c r="G1547" t="e">
        <v>#N/A</v>
      </c>
    </row>
    <row r="1548" spans="1:7" ht="11.5" hidden="1" customHeight="1" x14ac:dyDescent="0.35">
      <c r="A1548" s="29" t="s">
        <v>1775</v>
      </c>
      <c r="B1548" s="29" t="s">
        <v>3532</v>
      </c>
      <c r="C1548" s="16">
        <v>0</v>
      </c>
      <c r="D1548" s="16">
        <v>0</v>
      </c>
      <c r="E1548" s="29" t="s">
        <v>42</v>
      </c>
      <c r="F1548" s="29" t="s">
        <v>43</v>
      </c>
      <c r="G1548" t="e">
        <v>#N/A</v>
      </c>
    </row>
    <row r="1549" spans="1:7" ht="11.5" hidden="1" customHeight="1" x14ac:dyDescent="0.35">
      <c r="A1549" s="29" t="s">
        <v>1776</v>
      </c>
      <c r="B1549" s="29" t="s">
        <v>3533</v>
      </c>
      <c r="C1549" s="16">
        <v>0</v>
      </c>
      <c r="D1549" s="16">
        <v>0</v>
      </c>
      <c r="E1549" s="29" t="s">
        <v>42</v>
      </c>
      <c r="F1549" s="29" t="s">
        <v>43</v>
      </c>
      <c r="G1549" t="e">
        <v>#N/A</v>
      </c>
    </row>
    <row r="1550" spans="1:7" ht="11.5" hidden="1" customHeight="1" x14ac:dyDescent="0.35">
      <c r="A1550" s="29" t="s">
        <v>1777</v>
      </c>
      <c r="B1550" s="29" t="s">
        <v>3534</v>
      </c>
      <c r="C1550" s="16">
        <v>0</v>
      </c>
      <c r="D1550" s="16">
        <v>0</v>
      </c>
      <c r="E1550" s="29" t="s">
        <v>42</v>
      </c>
      <c r="F1550" s="29" t="s">
        <v>43</v>
      </c>
      <c r="G1550" t="e">
        <v>#N/A</v>
      </c>
    </row>
    <row r="1551" spans="1:7" ht="11.5" hidden="1" customHeight="1" x14ac:dyDescent="0.35">
      <c r="A1551" s="29" t="s">
        <v>1778</v>
      </c>
      <c r="B1551" s="29" t="s">
        <v>3535</v>
      </c>
      <c r="C1551" s="16">
        <v>0</v>
      </c>
      <c r="D1551" s="16">
        <v>0</v>
      </c>
      <c r="E1551" s="29" t="s">
        <v>42</v>
      </c>
      <c r="F1551" s="29" t="s">
        <v>43</v>
      </c>
      <c r="G1551" t="e">
        <v>#N/A</v>
      </c>
    </row>
    <row r="1552" spans="1:7" ht="11.5" hidden="1" customHeight="1" x14ac:dyDescent="0.35">
      <c r="A1552" s="29" t="s">
        <v>1779</v>
      </c>
      <c r="B1552" s="29" t="s">
        <v>3536</v>
      </c>
      <c r="C1552" s="16">
        <v>0</v>
      </c>
      <c r="D1552" s="16">
        <v>0</v>
      </c>
      <c r="E1552" s="29" t="s">
        <v>42</v>
      </c>
      <c r="F1552" s="29" t="s">
        <v>43</v>
      </c>
      <c r="G1552" t="e">
        <v>#N/A</v>
      </c>
    </row>
    <row r="1553" spans="1:7" ht="11.5" hidden="1" customHeight="1" x14ac:dyDescent="0.35">
      <c r="A1553" s="29" t="s">
        <v>1780</v>
      </c>
      <c r="B1553" s="29" t="s">
        <v>3537</v>
      </c>
      <c r="C1553" s="16">
        <v>0</v>
      </c>
      <c r="D1553" s="16">
        <v>0</v>
      </c>
      <c r="E1553" s="29" t="s">
        <v>42</v>
      </c>
      <c r="F1553" s="29" t="s">
        <v>43</v>
      </c>
      <c r="G1553" t="e">
        <v>#N/A</v>
      </c>
    </row>
    <row r="1554" spans="1:7" ht="11.5" hidden="1" customHeight="1" x14ac:dyDescent="0.35">
      <c r="A1554" s="29" t="s">
        <v>1781</v>
      </c>
      <c r="B1554" s="29" t="s">
        <v>3538</v>
      </c>
      <c r="C1554" s="16">
        <v>0</v>
      </c>
      <c r="D1554" s="16">
        <v>0</v>
      </c>
      <c r="E1554" s="29" t="s">
        <v>42</v>
      </c>
      <c r="F1554" s="29" t="s">
        <v>43</v>
      </c>
      <c r="G1554" t="e">
        <v>#N/A</v>
      </c>
    </row>
    <row r="1555" spans="1:7" ht="11.5" hidden="1" customHeight="1" x14ac:dyDescent="0.35">
      <c r="A1555" s="29" t="s">
        <v>1782</v>
      </c>
      <c r="B1555" s="29" t="s">
        <v>3539</v>
      </c>
      <c r="C1555" s="16">
        <v>0</v>
      </c>
      <c r="D1555" s="16">
        <v>0</v>
      </c>
      <c r="E1555" s="29" t="s">
        <v>42</v>
      </c>
      <c r="F1555" s="29" t="s">
        <v>43</v>
      </c>
      <c r="G1555" t="e">
        <v>#N/A</v>
      </c>
    </row>
    <row r="1556" spans="1:7" ht="11.5" hidden="1" customHeight="1" x14ac:dyDescent="0.35">
      <c r="A1556" s="29" t="s">
        <v>1783</v>
      </c>
      <c r="B1556" s="29" t="s">
        <v>3540</v>
      </c>
      <c r="C1556" s="16">
        <v>0</v>
      </c>
      <c r="D1556" s="16">
        <v>0</v>
      </c>
      <c r="E1556" s="29" t="s">
        <v>42</v>
      </c>
      <c r="F1556" s="29" t="s">
        <v>43</v>
      </c>
      <c r="G1556" t="e">
        <v>#N/A</v>
      </c>
    </row>
    <row r="1557" spans="1:7" ht="11.5" hidden="1" customHeight="1" x14ac:dyDescent="0.35">
      <c r="A1557" s="29" t="s">
        <v>1784</v>
      </c>
      <c r="B1557" s="29" t="s">
        <v>3541</v>
      </c>
      <c r="C1557" s="16">
        <v>0</v>
      </c>
      <c r="D1557" s="16">
        <v>0</v>
      </c>
      <c r="E1557" s="29" t="s">
        <v>42</v>
      </c>
      <c r="F1557" s="29" t="s">
        <v>43</v>
      </c>
      <c r="G1557" t="e">
        <v>#N/A</v>
      </c>
    </row>
    <row r="1558" spans="1:7" ht="11.5" hidden="1" customHeight="1" x14ac:dyDescent="0.35">
      <c r="A1558" s="29" t="s">
        <v>1785</v>
      </c>
      <c r="B1558" s="29" t="s">
        <v>3542</v>
      </c>
      <c r="C1558" s="16">
        <v>0</v>
      </c>
      <c r="D1558" s="16">
        <v>0</v>
      </c>
      <c r="E1558" s="29" t="s">
        <v>42</v>
      </c>
      <c r="F1558" s="29" t="s">
        <v>43</v>
      </c>
      <c r="G1558" t="e">
        <v>#N/A</v>
      </c>
    </row>
    <row r="1559" spans="1:7" ht="11.5" hidden="1" customHeight="1" x14ac:dyDescent="0.35">
      <c r="A1559" s="29" t="s">
        <v>1786</v>
      </c>
      <c r="B1559" s="29" t="s">
        <v>3543</v>
      </c>
      <c r="C1559" s="16">
        <v>0</v>
      </c>
      <c r="D1559" s="16">
        <v>0</v>
      </c>
      <c r="E1559" s="29" t="s">
        <v>42</v>
      </c>
      <c r="F1559" s="29" t="s">
        <v>43</v>
      </c>
      <c r="G1559" t="e">
        <v>#N/A</v>
      </c>
    </row>
    <row r="1560" spans="1:7" ht="11.5" hidden="1" customHeight="1" x14ac:dyDescent="0.35">
      <c r="A1560" s="29" t="s">
        <v>1787</v>
      </c>
      <c r="B1560" s="29" t="s">
        <v>3544</v>
      </c>
      <c r="C1560" s="16">
        <v>0</v>
      </c>
      <c r="D1560" s="16">
        <v>0</v>
      </c>
      <c r="E1560" s="29" t="s">
        <v>42</v>
      </c>
      <c r="F1560" s="29" t="s">
        <v>43</v>
      </c>
      <c r="G1560" t="e">
        <v>#N/A</v>
      </c>
    </row>
    <row r="1561" spans="1:7" ht="11.5" hidden="1" customHeight="1" x14ac:dyDescent="0.35">
      <c r="A1561" s="29" t="s">
        <v>1788</v>
      </c>
      <c r="B1561" s="29" t="s">
        <v>3545</v>
      </c>
      <c r="C1561" s="16">
        <v>0</v>
      </c>
      <c r="D1561" s="16">
        <v>0</v>
      </c>
      <c r="E1561" s="29" t="s">
        <v>42</v>
      </c>
      <c r="F1561" s="29" t="s">
        <v>43</v>
      </c>
      <c r="G1561" t="e">
        <v>#N/A</v>
      </c>
    </row>
    <row r="1562" spans="1:7" ht="11.5" hidden="1" customHeight="1" x14ac:dyDescent="0.35">
      <c r="A1562" s="29" t="s">
        <v>1789</v>
      </c>
      <c r="B1562" s="29" t="s">
        <v>3546</v>
      </c>
      <c r="C1562" s="16">
        <v>0</v>
      </c>
      <c r="D1562" s="16">
        <v>0</v>
      </c>
      <c r="E1562" s="29" t="s">
        <v>42</v>
      </c>
      <c r="F1562" s="29" t="s">
        <v>43</v>
      </c>
      <c r="G1562" t="e">
        <v>#N/A</v>
      </c>
    </row>
    <row r="1563" spans="1:7" ht="11.5" hidden="1" customHeight="1" x14ac:dyDescent="0.35">
      <c r="A1563" s="29" t="s">
        <v>1790</v>
      </c>
      <c r="B1563" s="29" t="s">
        <v>3547</v>
      </c>
      <c r="C1563" s="16">
        <v>0</v>
      </c>
      <c r="D1563" s="16">
        <v>0</v>
      </c>
      <c r="E1563" s="29" t="s">
        <v>42</v>
      </c>
      <c r="F1563" s="29" t="s">
        <v>43</v>
      </c>
      <c r="G1563" t="e">
        <v>#N/A</v>
      </c>
    </row>
    <row r="1564" spans="1:7" ht="11.5" hidden="1" customHeight="1" x14ac:dyDescent="0.35">
      <c r="A1564" s="29" t="s">
        <v>1791</v>
      </c>
      <c r="B1564" s="29" t="s">
        <v>3548</v>
      </c>
      <c r="C1564" s="16">
        <v>0</v>
      </c>
      <c r="D1564" s="16">
        <v>0</v>
      </c>
      <c r="E1564" s="29" t="s">
        <v>42</v>
      </c>
      <c r="F1564" s="29" t="s">
        <v>43</v>
      </c>
      <c r="G1564" t="e">
        <v>#N/A</v>
      </c>
    </row>
    <row r="1565" spans="1:7" ht="11.5" hidden="1" customHeight="1" x14ac:dyDescent="0.35">
      <c r="A1565" s="29" t="s">
        <v>1792</v>
      </c>
      <c r="B1565" s="29" t="s">
        <v>3549</v>
      </c>
      <c r="C1565" s="16">
        <v>0</v>
      </c>
      <c r="D1565" s="16">
        <v>0</v>
      </c>
      <c r="E1565" s="29" t="s">
        <v>42</v>
      </c>
      <c r="F1565" s="29" t="s">
        <v>43</v>
      </c>
      <c r="G1565" t="e">
        <v>#N/A</v>
      </c>
    </row>
    <row r="1566" spans="1:7" ht="11.5" hidden="1" customHeight="1" x14ac:dyDescent="0.35">
      <c r="A1566" s="29" t="s">
        <v>1793</v>
      </c>
      <c r="B1566" s="29" t="s">
        <v>3550</v>
      </c>
      <c r="C1566" s="16">
        <v>0</v>
      </c>
      <c r="D1566" s="16">
        <v>0</v>
      </c>
      <c r="E1566" s="29" t="s">
        <v>42</v>
      </c>
      <c r="F1566" s="29" t="s">
        <v>43</v>
      </c>
      <c r="G1566" t="e">
        <v>#N/A</v>
      </c>
    </row>
    <row r="1567" spans="1:7" ht="11.5" hidden="1" customHeight="1" x14ac:dyDescent="0.35">
      <c r="A1567" s="29" t="s">
        <v>1794</v>
      </c>
      <c r="B1567" s="29" t="s">
        <v>3551</v>
      </c>
      <c r="C1567" s="16">
        <v>0</v>
      </c>
      <c r="D1567" s="16">
        <v>0</v>
      </c>
      <c r="E1567" s="29" t="s">
        <v>42</v>
      </c>
      <c r="F1567" s="29" t="s">
        <v>43</v>
      </c>
      <c r="G1567" t="e">
        <v>#N/A</v>
      </c>
    </row>
    <row r="1568" spans="1:7" ht="11.5" hidden="1" customHeight="1" x14ac:dyDescent="0.35">
      <c r="A1568" s="29" t="s">
        <v>1795</v>
      </c>
      <c r="B1568" s="29" t="s">
        <v>3552</v>
      </c>
      <c r="C1568" s="16">
        <v>0</v>
      </c>
      <c r="D1568" s="16">
        <v>0</v>
      </c>
      <c r="E1568" s="29" t="s">
        <v>42</v>
      </c>
      <c r="F1568" s="29" t="s">
        <v>43</v>
      </c>
      <c r="G1568" t="e">
        <v>#N/A</v>
      </c>
    </row>
    <row r="1569" spans="1:7" ht="11.5" hidden="1" customHeight="1" x14ac:dyDescent="0.35">
      <c r="A1569" s="29" t="s">
        <v>1796</v>
      </c>
      <c r="B1569" s="29" t="s">
        <v>3553</v>
      </c>
      <c r="C1569" s="16">
        <v>0</v>
      </c>
      <c r="D1569" s="16">
        <v>0</v>
      </c>
      <c r="E1569" s="29" t="s">
        <v>42</v>
      </c>
      <c r="F1569" s="29" t="s">
        <v>43</v>
      </c>
      <c r="G1569" t="e">
        <v>#N/A</v>
      </c>
    </row>
    <row r="1570" spans="1:7" ht="11.5" hidden="1" customHeight="1" x14ac:dyDescent="0.35">
      <c r="A1570" s="29" t="s">
        <v>1797</v>
      </c>
      <c r="B1570" s="29" t="s">
        <v>3554</v>
      </c>
      <c r="C1570" s="16">
        <v>0</v>
      </c>
      <c r="D1570" s="16">
        <v>0</v>
      </c>
      <c r="E1570" s="29" t="s">
        <v>42</v>
      </c>
      <c r="F1570" s="29" t="s">
        <v>43</v>
      </c>
      <c r="G1570" t="e">
        <v>#N/A</v>
      </c>
    </row>
    <row r="1571" spans="1:7" ht="11.5" hidden="1" customHeight="1" x14ac:dyDescent="0.35">
      <c r="A1571" s="29" t="s">
        <v>1798</v>
      </c>
      <c r="B1571" s="29" t="s">
        <v>3555</v>
      </c>
      <c r="C1571" s="16">
        <v>0</v>
      </c>
      <c r="D1571" s="16">
        <v>0</v>
      </c>
      <c r="E1571" s="29" t="s">
        <v>42</v>
      </c>
      <c r="F1571" s="29" t="s">
        <v>43</v>
      </c>
      <c r="G1571" t="e">
        <v>#N/A</v>
      </c>
    </row>
    <row r="1572" spans="1:7" ht="11.5" hidden="1" customHeight="1" x14ac:dyDescent="0.35">
      <c r="A1572" s="29" t="s">
        <v>1799</v>
      </c>
      <c r="B1572" s="29" t="s">
        <v>3556</v>
      </c>
      <c r="C1572" s="16">
        <v>0</v>
      </c>
      <c r="D1572" s="16">
        <v>0</v>
      </c>
      <c r="E1572" s="29" t="s">
        <v>42</v>
      </c>
      <c r="F1572" s="29" t="s">
        <v>43</v>
      </c>
      <c r="G1572" t="e">
        <v>#N/A</v>
      </c>
    </row>
    <row r="1573" spans="1:7" ht="11.5" hidden="1" customHeight="1" x14ac:dyDescent="0.35">
      <c r="A1573" s="29" t="s">
        <v>1800</v>
      </c>
      <c r="B1573" s="29" t="s">
        <v>3557</v>
      </c>
      <c r="C1573" s="16">
        <v>0</v>
      </c>
      <c r="D1573" s="16">
        <v>0</v>
      </c>
      <c r="E1573" s="29" t="s">
        <v>42</v>
      </c>
      <c r="F1573" s="29" t="s">
        <v>43</v>
      </c>
      <c r="G1573" t="e">
        <v>#N/A</v>
      </c>
    </row>
    <row r="1574" spans="1:7" ht="11.5" hidden="1" customHeight="1" x14ac:dyDescent="0.35">
      <c r="A1574" s="29" t="s">
        <v>1801</v>
      </c>
      <c r="B1574" s="29" t="s">
        <v>3558</v>
      </c>
      <c r="C1574" s="16">
        <v>0</v>
      </c>
      <c r="D1574" s="16">
        <v>0</v>
      </c>
      <c r="E1574" s="29" t="s">
        <v>42</v>
      </c>
      <c r="F1574" s="29" t="s">
        <v>43</v>
      </c>
      <c r="G1574" t="e">
        <v>#N/A</v>
      </c>
    </row>
    <row r="1575" spans="1:7" ht="11.5" hidden="1" customHeight="1" x14ac:dyDescent="0.35">
      <c r="A1575" s="29" t="s">
        <v>1802</v>
      </c>
      <c r="B1575" s="29" t="s">
        <v>3559</v>
      </c>
      <c r="C1575" s="16">
        <v>0</v>
      </c>
      <c r="D1575" s="16">
        <v>0</v>
      </c>
      <c r="E1575" s="29" t="s">
        <v>42</v>
      </c>
      <c r="F1575" s="29" t="s">
        <v>43</v>
      </c>
      <c r="G1575" t="e">
        <v>#N/A</v>
      </c>
    </row>
    <row r="1576" spans="1:7" ht="11.5" hidden="1" customHeight="1" x14ac:dyDescent="0.35">
      <c r="A1576" s="29" t="s">
        <v>1803</v>
      </c>
      <c r="B1576" s="29" t="s">
        <v>3560</v>
      </c>
      <c r="C1576" s="16">
        <v>0</v>
      </c>
      <c r="D1576" s="16">
        <v>0</v>
      </c>
      <c r="E1576" s="29" t="s">
        <v>42</v>
      </c>
      <c r="F1576" s="29" t="s">
        <v>43</v>
      </c>
      <c r="G1576" t="e">
        <v>#N/A</v>
      </c>
    </row>
    <row r="1577" spans="1:7" ht="11.5" hidden="1" customHeight="1" x14ac:dyDescent="0.35">
      <c r="A1577" s="29" t="s">
        <v>1804</v>
      </c>
      <c r="B1577" s="29" t="s">
        <v>3561</v>
      </c>
      <c r="C1577" s="16">
        <v>0</v>
      </c>
      <c r="D1577" s="16">
        <v>0</v>
      </c>
      <c r="E1577" s="29" t="s">
        <v>42</v>
      </c>
      <c r="F1577" s="29" t="s">
        <v>43</v>
      </c>
      <c r="G1577" t="e">
        <v>#N/A</v>
      </c>
    </row>
    <row r="1578" spans="1:7" ht="11.5" hidden="1" customHeight="1" x14ac:dyDescent="0.35">
      <c r="A1578" s="29" t="s">
        <v>1805</v>
      </c>
      <c r="B1578" s="29" t="s">
        <v>3562</v>
      </c>
      <c r="C1578" s="16">
        <v>0</v>
      </c>
      <c r="D1578" s="16">
        <v>0</v>
      </c>
      <c r="E1578" s="29" t="s">
        <v>42</v>
      </c>
      <c r="F1578" s="29" t="s">
        <v>43</v>
      </c>
      <c r="G1578" t="e">
        <v>#N/A</v>
      </c>
    </row>
    <row r="1579" spans="1:7" ht="11.5" hidden="1" customHeight="1" x14ac:dyDescent="0.35">
      <c r="A1579" s="29" t="s">
        <v>1806</v>
      </c>
      <c r="B1579" s="29" t="s">
        <v>3563</v>
      </c>
      <c r="C1579" s="16">
        <v>0</v>
      </c>
      <c r="D1579" s="16">
        <v>0</v>
      </c>
      <c r="E1579" s="29" t="s">
        <v>42</v>
      </c>
      <c r="F1579" s="29" t="s">
        <v>43</v>
      </c>
      <c r="G1579" t="e">
        <v>#N/A</v>
      </c>
    </row>
    <row r="1580" spans="1:7" ht="11.5" hidden="1" customHeight="1" x14ac:dyDescent="0.35">
      <c r="A1580" s="29" t="s">
        <v>1807</v>
      </c>
      <c r="B1580" s="29" t="s">
        <v>3564</v>
      </c>
      <c r="C1580" s="16">
        <v>0</v>
      </c>
      <c r="D1580" s="16">
        <v>0</v>
      </c>
      <c r="E1580" s="29" t="s">
        <v>42</v>
      </c>
      <c r="F1580" s="29" t="s">
        <v>43</v>
      </c>
      <c r="G1580" t="e">
        <v>#N/A</v>
      </c>
    </row>
    <row r="1581" spans="1:7" ht="11.5" hidden="1" customHeight="1" x14ac:dyDescent="0.35">
      <c r="A1581" s="29" t="s">
        <v>1808</v>
      </c>
      <c r="B1581" s="29" t="s">
        <v>3565</v>
      </c>
      <c r="C1581" s="16">
        <v>0</v>
      </c>
      <c r="D1581" s="16">
        <v>0</v>
      </c>
      <c r="E1581" s="29" t="s">
        <v>42</v>
      </c>
      <c r="F1581" s="29" t="s">
        <v>43</v>
      </c>
      <c r="G1581" t="e">
        <v>#N/A</v>
      </c>
    </row>
    <row r="1582" spans="1:7" ht="11.5" hidden="1" customHeight="1" x14ac:dyDescent="0.35">
      <c r="A1582" s="29" t="s">
        <v>1809</v>
      </c>
      <c r="B1582" s="29" t="s">
        <v>3566</v>
      </c>
      <c r="C1582" s="16">
        <v>0</v>
      </c>
      <c r="D1582" s="16">
        <v>0</v>
      </c>
      <c r="E1582" s="29" t="s">
        <v>42</v>
      </c>
      <c r="F1582" s="29" t="s">
        <v>43</v>
      </c>
      <c r="G1582" t="e">
        <v>#N/A</v>
      </c>
    </row>
    <row r="1583" spans="1:7" ht="11.5" hidden="1" customHeight="1" x14ac:dyDescent="0.35">
      <c r="A1583" s="29" t="s">
        <v>1810</v>
      </c>
      <c r="B1583" s="29" t="s">
        <v>3567</v>
      </c>
      <c r="C1583" s="16">
        <v>0</v>
      </c>
      <c r="D1583" s="16">
        <v>0</v>
      </c>
      <c r="E1583" s="29" t="s">
        <v>42</v>
      </c>
      <c r="F1583" s="29" t="s">
        <v>43</v>
      </c>
      <c r="G1583" t="e">
        <v>#N/A</v>
      </c>
    </row>
    <row r="1584" spans="1:7" ht="11.5" hidden="1" customHeight="1" x14ac:dyDescent="0.35">
      <c r="A1584" s="29" t="s">
        <v>1811</v>
      </c>
      <c r="B1584" s="29" t="s">
        <v>3568</v>
      </c>
      <c r="C1584" s="16">
        <v>0</v>
      </c>
      <c r="D1584" s="16">
        <v>0</v>
      </c>
      <c r="E1584" s="29" t="s">
        <v>42</v>
      </c>
      <c r="F1584" s="29" t="s">
        <v>43</v>
      </c>
      <c r="G1584" t="e">
        <v>#N/A</v>
      </c>
    </row>
    <row r="1585" spans="1:7" ht="11.5" hidden="1" customHeight="1" x14ac:dyDescent="0.35">
      <c r="A1585" s="29" t="s">
        <v>1812</v>
      </c>
      <c r="B1585" s="29" t="s">
        <v>3569</v>
      </c>
      <c r="C1585" s="16">
        <v>0</v>
      </c>
      <c r="D1585" s="16">
        <v>0</v>
      </c>
      <c r="E1585" s="29" t="s">
        <v>42</v>
      </c>
      <c r="F1585" s="29" t="s">
        <v>43</v>
      </c>
      <c r="G1585" t="e">
        <v>#N/A</v>
      </c>
    </row>
    <row r="1586" spans="1:7" ht="11.5" hidden="1" customHeight="1" x14ac:dyDescent="0.35">
      <c r="A1586" s="29" t="s">
        <v>1813</v>
      </c>
      <c r="B1586" s="29" t="s">
        <v>3570</v>
      </c>
      <c r="C1586" s="16">
        <v>0</v>
      </c>
      <c r="D1586" s="16">
        <v>0</v>
      </c>
      <c r="E1586" s="29" t="s">
        <v>42</v>
      </c>
      <c r="F1586" s="29" t="s">
        <v>43</v>
      </c>
      <c r="G1586" t="e">
        <v>#N/A</v>
      </c>
    </row>
    <row r="1587" spans="1:7" ht="11.5" hidden="1" customHeight="1" x14ac:dyDescent="0.35">
      <c r="A1587" s="29" t="s">
        <v>1814</v>
      </c>
      <c r="B1587" s="29" t="s">
        <v>3571</v>
      </c>
      <c r="C1587" s="16">
        <v>0</v>
      </c>
      <c r="D1587" s="16">
        <v>0</v>
      </c>
      <c r="E1587" s="29" t="s">
        <v>42</v>
      </c>
      <c r="F1587" s="29" t="s">
        <v>43</v>
      </c>
      <c r="G1587" t="e">
        <v>#N/A</v>
      </c>
    </row>
    <row r="1588" spans="1:7" ht="11.5" hidden="1" customHeight="1" x14ac:dyDescent="0.35">
      <c r="A1588" s="29" t="s">
        <v>1815</v>
      </c>
      <c r="B1588" s="29" t="s">
        <v>3572</v>
      </c>
      <c r="C1588" s="16">
        <v>0</v>
      </c>
      <c r="D1588" s="16">
        <v>0</v>
      </c>
      <c r="E1588" s="29" t="s">
        <v>42</v>
      </c>
      <c r="F1588" s="29" t="s">
        <v>43</v>
      </c>
      <c r="G1588" t="e">
        <v>#N/A</v>
      </c>
    </row>
    <row r="1589" spans="1:7" ht="11.5" hidden="1" customHeight="1" x14ac:dyDescent="0.35">
      <c r="A1589" s="29" t="s">
        <v>1816</v>
      </c>
      <c r="B1589" s="29" t="s">
        <v>3573</v>
      </c>
      <c r="C1589" s="16">
        <v>0</v>
      </c>
      <c r="D1589" s="16">
        <v>0</v>
      </c>
      <c r="E1589" s="29" t="s">
        <v>42</v>
      </c>
      <c r="F1589" s="29" t="s">
        <v>43</v>
      </c>
      <c r="G1589" t="e">
        <v>#N/A</v>
      </c>
    </row>
    <row r="1590" spans="1:7" ht="11.5" hidden="1" customHeight="1" x14ac:dyDescent="0.35">
      <c r="A1590" s="29" t="s">
        <v>1817</v>
      </c>
      <c r="B1590" s="29" t="s">
        <v>3574</v>
      </c>
      <c r="C1590" s="16">
        <v>0</v>
      </c>
      <c r="D1590" s="16">
        <v>0</v>
      </c>
      <c r="E1590" s="29" t="s">
        <v>42</v>
      </c>
      <c r="F1590" s="29" t="s">
        <v>43</v>
      </c>
      <c r="G1590" t="e">
        <v>#N/A</v>
      </c>
    </row>
    <row r="1591" spans="1:7" ht="11.5" hidden="1" customHeight="1" x14ac:dyDescent="0.35">
      <c r="A1591" s="29" t="s">
        <v>1818</v>
      </c>
      <c r="B1591" s="29" t="s">
        <v>3575</v>
      </c>
      <c r="C1591" s="16">
        <v>0</v>
      </c>
      <c r="D1591" s="16">
        <v>0</v>
      </c>
      <c r="E1591" s="29" t="s">
        <v>42</v>
      </c>
      <c r="F1591" s="29" t="s">
        <v>43</v>
      </c>
      <c r="G1591" t="e">
        <v>#N/A</v>
      </c>
    </row>
    <row r="1592" spans="1:7" ht="11.5" hidden="1" customHeight="1" x14ac:dyDescent="0.35">
      <c r="A1592" s="29" t="s">
        <v>1819</v>
      </c>
      <c r="B1592" s="29" t="s">
        <v>3576</v>
      </c>
      <c r="C1592" s="16">
        <v>0</v>
      </c>
      <c r="D1592" s="16">
        <v>0</v>
      </c>
      <c r="E1592" s="29" t="s">
        <v>42</v>
      </c>
      <c r="F1592" s="29" t="s">
        <v>43</v>
      </c>
      <c r="G1592" t="e">
        <v>#N/A</v>
      </c>
    </row>
    <row r="1593" spans="1:7" ht="11.5" hidden="1" customHeight="1" x14ac:dyDescent="0.35">
      <c r="A1593" s="29" t="s">
        <v>1820</v>
      </c>
      <c r="B1593" s="29" t="s">
        <v>3577</v>
      </c>
      <c r="C1593" s="16">
        <v>0</v>
      </c>
      <c r="D1593" s="16">
        <v>0</v>
      </c>
      <c r="E1593" s="29" t="s">
        <v>42</v>
      </c>
      <c r="F1593" s="29" t="s">
        <v>43</v>
      </c>
      <c r="G1593" t="e">
        <v>#N/A</v>
      </c>
    </row>
    <row r="1594" spans="1:7" ht="11.5" hidden="1" customHeight="1" x14ac:dyDescent="0.35">
      <c r="A1594" s="29" t="s">
        <v>1821</v>
      </c>
      <c r="B1594" s="29" t="s">
        <v>3578</v>
      </c>
      <c r="C1594" s="16">
        <v>0</v>
      </c>
      <c r="D1594" s="16">
        <v>0</v>
      </c>
      <c r="E1594" s="29" t="s">
        <v>42</v>
      </c>
      <c r="F1594" s="29" t="s">
        <v>43</v>
      </c>
      <c r="G1594" t="e">
        <v>#N/A</v>
      </c>
    </row>
    <row r="1595" spans="1:7" ht="11.5" hidden="1" customHeight="1" x14ac:dyDescent="0.35">
      <c r="A1595" s="29" t="s">
        <v>1822</v>
      </c>
      <c r="B1595" s="29" t="s">
        <v>3579</v>
      </c>
      <c r="C1595" s="16">
        <v>0</v>
      </c>
      <c r="D1595" s="16">
        <v>0</v>
      </c>
      <c r="E1595" s="29" t="s">
        <v>42</v>
      </c>
      <c r="F1595" s="29" t="s">
        <v>43</v>
      </c>
      <c r="G1595" t="e">
        <v>#N/A</v>
      </c>
    </row>
    <row r="1596" spans="1:7" ht="11.5" hidden="1" customHeight="1" x14ac:dyDescent="0.35">
      <c r="A1596" s="29" t="s">
        <v>1823</v>
      </c>
      <c r="B1596" s="29" t="s">
        <v>3580</v>
      </c>
      <c r="C1596" s="16">
        <v>0</v>
      </c>
      <c r="D1596" s="16">
        <v>0</v>
      </c>
      <c r="E1596" s="29" t="s">
        <v>42</v>
      </c>
      <c r="F1596" s="29" t="s">
        <v>43</v>
      </c>
      <c r="G1596" t="e">
        <v>#N/A</v>
      </c>
    </row>
    <row r="1597" spans="1:7" ht="11.5" hidden="1" customHeight="1" x14ac:dyDescent="0.35">
      <c r="A1597" s="29" t="s">
        <v>1824</v>
      </c>
      <c r="B1597" s="29" t="s">
        <v>3581</v>
      </c>
      <c r="C1597" s="16">
        <v>0</v>
      </c>
      <c r="D1597" s="16">
        <v>0</v>
      </c>
      <c r="E1597" s="29" t="s">
        <v>42</v>
      </c>
      <c r="F1597" s="29" t="s">
        <v>43</v>
      </c>
      <c r="G1597" t="e">
        <v>#N/A</v>
      </c>
    </row>
    <row r="1598" spans="1:7" ht="11.5" hidden="1" customHeight="1" x14ac:dyDescent="0.35">
      <c r="A1598" s="29" t="s">
        <v>1825</v>
      </c>
      <c r="B1598" s="29" t="s">
        <v>3582</v>
      </c>
      <c r="C1598" s="16">
        <v>0</v>
      </c>
      <c r="D1598" s="16">
        <v>0</v>
      </c>
      <c r="E1598" s="29" t="s">
        <v>42</v>
      </c>
      <c r="F1598" s="29" t="s">
        <v>43</v>
      </c>
      <c r="G1598" t="e">
        <v>#N/A</v>
      </c>
    </row>
    <row r="1599" spans="1:7" ht="11.5" hidden="1" customHeight="1" x14ac:dyDescent="0.35">
      <c r="A1599" s="29" t="s">
        <v>1826</v>
      </c>
      <c r="B1599" s="29" t="s">
        <v>3583</v>
      </c>
      <c r="C1599" s="16">
        <v>0</v>
      </c>
      <c r="D1599" s="16">
        <v>0</v>
      </c>
      <c r="E1599" s="29" t="s">
        <v>42</v>
      </c>
      <c r="F1599" s="29" t="s">
        <v>43</v>
      </c>
      <c r="G1599" t="e">
        <v>#N/A</v>
      </c>
    </row>
    <row r="1600" spans="1:7" ht="11.5" hidden="1" customHeight="1" x14ac:dyDescent="0.35">
      <c r="A1600" s="29" t="s">
        <v>1827</v>
      </c>
      <c r="B1600" s="29" t="s">
        <v>3584</v>
      </c>
      <c r="C1600" s="16">
        <v>0</v>
      </c>
      <c r="D1600" s="16">
        <v>0</v>
      </c>
      <c r="E1600" s="29" t="s">
        <v>42</v>
      </c>
      <c r="F1600" s="29" t="s">
        <v>43</v>
      </c>
      <c r="G1600" t="e">
        <v>#N/A</v>
      </c>
    </row>
    <row r="1601" spans="1:7" ht="11.5" hidden="1" customHeight="1" x14ac:dyDescent="0.35">
      <c r="A1601" s="29" t="s">
        <v>1828</v>
      </c>
      <c r="B1601" s="29" t="s">
        <v>3585</v>
      </c>
      <c r="C1601" s="16">
        <v>0</v>
      </c>
      <c r="D1601" s="16">
        <v>0</v>
      </c>
      <c r="E1601" s="29" t="s">
        <v>42</v>
      </c>
      <c r="F1601" s="29" t="s">
        <v>43</v>
      </c>
      <c r="G1601" t="e">
        <v>#N/A</v>
      </c>
    </row>
    <row r="1602" spans="1:7" ht="11.5" hidden="1" customHeight="1" x14ac:dyDescent="0.35">
      <c r="A1602" s="29" t="s">
        <v>1829</v>
      </c>
      <c r="B1602" s="29" t="s">
        <v>3585</v>
      </c>
      <c r="C1602" s="16">
        <v>0</v>
      </c>
      <c r="D1602" s="16">
        <v>0</v>
      </c>
      <c r="E1602" s="29" t="s">
        <v>42</v>
      </c>
      <c r="F1602" s="29" t="s">
        <v>43</v>
      </c>
      <c r="G1602" t="e">
        <v>#N/A</v>
      </c>
    </row>
    <row r="1603" spans="1:7" ht="11.5" hidden="1" customHeight="1" x14ac:dyDescent="0.35">
      <c r="A1603" s="29" t="s">
        <v>1830</v>
      </c>
      <c r="B1603" s="29" t="s">
        <v>3586</v>
      </c>
      <c r="C1603" s="16">
        <v>0</v>
      </c>
      <c r="D1603" s="16">
        <v>0</v>
      </c>
      <c r="E1603" s="29" t="s">
        <v>42</v>
      </c>
      <c r="F1603" s="29" t="s">
        <v>43</v>
      </c>
      <c r="G1603" t="e">
        <v>#N/A</v>
      </c>
    </row>
    <row r="1604" spans="1:7" ht="11.5" hidden="1" customHeight="1" x14ac:dyDescent="0.35">
      <c r="A1604" s="29" t="s">
        <v>1831</v>
      </c>
      <c r="B1604" s="29" t="s">
        <v>3587</v>
      </c>
      <c r="C1604" s="16">
        <v>0</v>
      </c>
      <c r="D1604" s="16">
        <v>0</v>
      </c>
      <c r="E1604" s="29" t="s">
        <v>42</v>
      </c>
      <c r="F1604" s="29" t="s">
        <v>43</v>
      </c>
      <c r="G1604" t="e">
        <v>#N/A</v>
      </c>
    </row>
    <row r="1605" spans="1:7" ht="11.5" hidden="1" customHeight="1" x14ac:dyDescent="0.35">
      <c r="A1605" s="29" t="s">
        <v>1832</v>
      </c>
      <c r="B1605" s="29" t="s">
        <v>3588</v>
      </c>
      <c r="C1605" s="16">
        <v>0</v>
      </c>
      <c r="D1605" s="16">
        <v>0</v>
      </c>
      <c r="E1605" s="29" t="s">
        <v>42</v>
      </c>
      <c r="F1605" s="29" t="s">
        <v>43</v>
      </c>
      <c r="G1605" t="e">
        <v>#N/A</v>
      </c>
    </row>
    <row r="1606" spans="1:7" ht="11.5" hidden="1" customHeight="1" x14ac:dyDescent="0.35">
      <c r="A1606" s="29" t="s">
        <v>1833</v>
      </c>
      <c r="B1606" s="29" t="s">
        <v>3589</v>
      </c>
      <c r="C1606" s="16">
        <v>0</v>
      </c>
      <c r="D1606" s="16">
        <v>0</v>
      </c>
      <c r="E1606" s="29" t="s">
        <v>42</v>
      </c>
      <c r="F1606" s="29" t="s">
        <v>43</v>
      </c>
      <c r="G1606" t="e">
        <v>#N/A</v>
      </c>
    </row>
    <row r="1607" spans="1:7" ht="11.5" hidden="1" customHeight="1" x14ac:dyDescent="0.35">
      <c r="A1607" s="29" t="s">
        <v>1834</v>
      </c>
      <c r="B1607" s="29" t="s">
        <v>3590</v>
      </c>
      <c r="C1607" s="16">
        <v>0</v>
      </c>
      <c r="D1607" s="16">
        <v>0</v>
      </c>
      <c r="E1607" s="29" t="s">
        <v>42</v>
      </c>
      <c r="F1607" s="29" t="s">
        <v>43</v>
      </c>
      <c r="G1607" t="e">
        <v>#N/A</v>
      </c>
    </row>
    <row r="1608" spans="1:7" ht="11.5" hidden="1" customHeight="1" x14ac:dyDescent="0.35">
      <c r="A1608" s="29" t="s">
        <v>1835</v>
      </c>
      <c r="B1608" s="29" t="s">
        <v>3591</v>
      </c>
      <c r="C1608" s="16">
        <v>0</v>
      </c>
      <c r="D1608" s="16">
        <v>0</v>
      </c>
      <c r="E1608" s="29" t="s">
        <v>42</v>
      </c>
      <c r="F1608" s="29" t="s">
        <v>43</v>
      </c>
      <c r="G1608" t="e">
        <v>#N/A</v>
      </c>
    </row>
    <row r="1609" spans="1:7" ht="11.5" hidden="1" customHeight="1" x14ac:dyDescent="0.35">
      <c r="A1609" s="29" t="s">
        <v>1836</v>
      </c>
      <c r="B1609" s="29" t="s">
        <v>3592</v>
      </c>
      <c r="C1609" s="16">
        <v>0</v>
      </c>
      <c r="D1609" s="16">
        <v>0</v>
      </c>
      <c r="E1609" s="29" t="s">
        <v>42</v>
      </c>
      <c r="F1609" s="29" t="s">
        <v>43</v>
      </c>
      <c r="G1609" t="e">
        <v>#N/A</v>
      </c>
    </row>
    <row r="1610" spans="1:7" ht="11.5" hidden="1" customHeight="1" x14ac:dyDescent="0.35">
      <c r="A1610" s="29" t="s">
        <v>1837</v>
      </c>
      <c r="B1610" s="29" t="s">
        <v>3593</v>
      </c>
      <c r="C1610" s="16">
        <v>0</v>
      </c>
      <c r="D1610" s="16">
        <v>0</v>
      </c>
      <c r="E1610" s="29" t="s">
        <v>42</v>
      </c>
      <c r="F1610" s="29" t="s">
        <v>43</v>
      </c>
      <c r="G1610" t="e">
        <v>#N/A</v>
      </c>
    </row>
    <row r="1611" spans="1:7" ht="11.5" hidden="1" customHeight="1" x14ac:dyDescent="0.35">
      <c r="A1611" s="29" t="s">
        <v>1838</v>
      </c>
      <c r="B1611" s="29" t="s">
        <v>3594</v>
      </c>
      <c r="C1611" s="16">
        <v>0</v>
      </c>
      <c r="D1611" s="16">
        <v>0</v>
      </c>
      <c r="E1611" s="29" t="s">
        <v>42</v>
      </c>
      <c r="F1611" s="29" t="s">
        <v>43</v>
      </c>
      <c r="G1611" t="e">
        <v>#N/A</v>
      </c>
    </row>
    <row r="1612" spans="1:7" ht="11.5" hidden="1" customHeight="1" x14ac:dyDescent="0.35">
      <c r="A1612" s="29" t="s">
        <v>1839</v>
      </c>
      <c r="B1612" s="29" t="s">
        <v>3595</v>
      </c>
      <c r="C1612" s="16">
        <v>0</v>
      </c>
      <c r="D1612" s="16">
        <v>0</v>
      </c>
      <c r="E1612" s="29" t="s">
        <v>42</v>
      </c>
      <c r="F1612" s="29" t="s">
        <v>43</v>
      </c>
      <c r="G1612" t="e">
        <v>#N/A</v>
      </c>
    </row>
    <row r="1613" spans="1:7" ht="11.5" hidden="1" customHeight="1" x14ac:dyDescent="0.35">
      <c r="A1613" s="29" t="s">
        <v>1840</v>
      </c>
      <c r="B1613" s="29" t="s">
        <v>3596</v>
      </c>
      <c r="C1613" s="16">
        <v>0</v>
      </c>
      <c r="D1613" s="16">
        <v>0</v>
      </c>
      <c r="E1613" s="29" t="s">
        <v>42</v>
      </c>
      <c r="F1613" s="29" t="s">
        <v>43</v>
      </c>
      <c r="G1613" t="e">
        <v>#N/A</v>
      </c>
    </row>
    <row r="1614" spans="1:7" ht="11.5" hidden="1" customHeight="1" x14ac:dyDescent="0.35">
      <c r="A1614" s="29" t="s">
        <v>1841</v>
      </c>
      <c r="B1614" s="29" t="s">
        <v>3597</v>
      </c>
      <c r="C1614" s="16">
        <v>0</v>
      </c>
      <c r="D1614" s="16">
        <v>0</v>
      </c>
      <c r="E1614" s="29" t="s">
        <v>42</v>
      </c>
      <c r="F1614" s="29" t="s">
        <v>43</v>
      </c>
      <c r="G1614" t="e">
        <v>#N/A</v>
      </c>
    </row>
    <row r="1615" spans="1:7" ht="11.5" hidden="1" customHeight="1" x14ac:dyDescent="0.35">
      <c r="A1615" s="29" t="s">
        <v>1842</v>
      </c>
      <c r="B1615" s="29" t="s">
        <v>3598</v>
      </c>
      <c r="C1615" s="16">
        <v>0</v>
      </c>
      <c r="D1615" s="16">
        <v>0</v>
      </c>
      <c r="E1615" s="29" t="s">
        <v>42</v>
      </c>
      <c r="F1615" s="29" t="s">
        <v>43</v>
      </c>
      <c r="G1615" t="e">
        <v>#N/A</v>
      </c>
    </row>
    <row r="1616" spans="1:7" ht="11.5" hidden="1" customHeight="1" x14ac:dyDescent="0.35">
      <c r="A1616" s="29" t="s">
        <v>1843</v>
      </c>
      <c r="B1616" s="29" t="s">
        <v>3599</v>
      </c>
      <c r="C1616" s="16">
        <v>0</v>
      </c>
      <c r="D1616" s="16">
        <v>0</v>
      </c>
      <c r="E1616" s="29" t="s">
        <v>42</v>
      </c>
      <c r="F1616" s="29" t="s">
        <v>43</v>
      </c>
      <c r="G1616" t="e">
        <v>#N/A</v>
      </c>
    </row>
    <row r="1617" spans="1:7" ht="11.5" hidden="1" customHeight="1" x14ac:dyDescent="0.35">
      <c r="A1617" s="29" t="s">
        <v>1844</v>
      </c>
      <c r="B1617" s="29" t="s">
        <v>3600</v>
      </c>
      <c r="C1617" s="16">
        <v>0</v>
      </c>
      <c r="D1617" s="16">
        <v>0</v>
      </c>
      <c r="E1617" s="29" t="s">
        <v>42</v>
      </c>
      <c r="F1617" s="29" t="s">
        <v>43</v>
      </c>
      <c r="G1617" t="e">
        <v>#N/A</v>
      </c>
    </row>
    <row r="1618" spans="1:7" ht="11.5" hidden="1" customHeight="1" x14ac:dyDescent="0.35">
      <c r="A1618" s="29" t="s">
        <v>1845</v>
      </c>
      <c r="B1618" s="29" t="s">
        <v>3601</v>
      </c>
      <c r="C1618" s="16">
        <v>0</v>
      </c>
      <c r="D1618" s="16">
        <v>0</v>
      </c>
      <c r="E1618" s="29" t="s">
        <v>42</v>
      </c>
      <c r="F1618" s="29" t="s">
        <v>43</v>
      </c>
      <c r="G1618" t="e">
        <v>#N/A</v>
      </c>
    </row>
    <row r="1619" spans="1:7" ht="11.5" hidden="1" customHeight="1" x14ac:dyDescent="0.35">
      <c r="A1619" s="29" t="s">
        <v>1846</v>
      </c>
      <c r="B1619" s="29" t="s">
        <v>3602</v>
      </c>
      <c r="C1619" s="16">
        <v>0</v>
      </c>
      <c r="D1619" s="16">
        <v>0</v>
      </c>
      <c r="E1619" s="29" t="s">
        <v>42</v>
      </c>
      <c r="F1619" s="29" t="s">
        <v>43</v>
      </c>
      <c r="G1619" t="e">
        <v>#N/A</v>
      </c>
    </row>
    <row r="1620" spans="1:7" ht="11.5" hidden="1" customHeight="1" x14ac:dyDescent="0.35">
      <c r="A1620" s="29" t="s">
        <v>1847</v>
      </c>
      <c r="B1620" s="29" t="s">
        <v>3603</v>
      </c>
      <c r="C1620" s="16">
        <v>0</v>
      </c>
      <c r="D1620" s="16">
        <v>0</v>
      </c>
      <c r="E1620" s="29" t="s">
        <v>42</v>
      </c>
      <c r="F1620" s="29" t="s">
        <v>43</v>
      </c>
      <c r="G1620" t="e">
        <v>#N/A</v>
      </c>
    </row>
    <row r="1621" spans="1:7" ht="11.5" hidden="1" customHeight="1" x14ac:dyDescent="0.35">
      <c r="A1621" s="29" t="s">
        <v>1848</v>
      </c>
      <c r="B1621" s="29" t="s">
        <v>3604</v>
      </c>
      <c r="C1621" s="16">
        <v>0</v>
      </c>
      <c r="D1621" s="16">
        <v>0</v>
      </c>
      <c r="E1621" s="29" t="s">
        <v>42</v>
      </c>
      <c r="F1621" s="29" t="s">
        <v>43</v>
      </c>
      <c r="G1621" t="e">
        <v>#N/A</v>
      </c>
    </row>
    <row r="1622" spans="1:7" ht="11.5" hidden="1" customHeight="1" x14ac:dyDescent="0.35">
      <c r="A1622" s="29" t="s">
        <v>1849</v>
      </c>
      <c r="B1622" s="29" t="s">
        <v>3605</v>
      </c>
      <c r="C1622" s="16">
        <v>0</v>
      </c>
      <c r="D1622" s="16">
        <v>0</v>
      </c>
      <c r="E1622" s="29" t="s">
        <v>42</v>
      </c>
      <c r="F1622" s="29" t="s">
        <v>43</v>
      </c>
      <c r="G1622" t="e">
        <v>#N/A</v>
      </c>
    </row>
    <row r="1623" spans="1:7" ht="11.5" hidden="1" customHeight="1" x14ac:dyDescent="0.35">
      <c r="A1623" s="29" t="s">
        <v>1850</v>
      </c>
      <c r="B1623" s="29" t="s">
        <v>3606</v>
      </c>
      <c r="C1623" s="16">
        <v>0</v>
      </c>
      <c r="D1623" s="16">
        <v>0</v>
      </c>
      <c r="E1623" s="29" t="s">
        <v>42</v>
      </c>
      <c r="F1623" s="29" t="s">
        <v>43</v>
      </c>
      <c r="G1623" t="e">
        <v>#N/A</v>
      </c>
    </row>
    <row r="1624" spans="1:7" ht="11.5" hidden="1" customHeight="1" x14ac:dyDescent="0.35">
      <c r="A1624" s="29" t="s">
        <v>1851</v>
      </c>
      <c r="B1624" s="29" t="s">
        <v>3607</v>
      </c>
      <c r="C1624" s="16">
        <v>0</v>
      </c>
      <c r="D1624" s="16">
        <v>0</v>
      </c>
      <c r="E1624" s="29" t="s">
        <v>42</v>
      </c>
      <c r="F1624" s="29" t="s">
        <v>43</v>
      </c>
      <c r="G1624" t="e">
        <v>#N/A</v>
      </c>
    </row>
    <row r="1625" spans="1:7" ht="11.5" hidden="1" customHeight="1" x14ac:dyDescent="0.35">
      <c r="A1625" s="29" t="s">
        <v>1852</v>
      </c>
      <c r="B1625" s="29" t="s">
        <v>3608</v>
      </c>
      <c r="C1625" s="16">
        <v>0</v>
      </c>
      <c r="D1625" s="16">
        <v>0</v>
      </c>
      <c r="E1625" s="29" t="s">
        <v>42</v>
      </c>
      <c r="F1625" s="29" t="s">
        <v>43</v>
      </c>
      <c r="G1625" t="e">
        <v>#N/A</v>
      </c>
    </row>
    <row r="1626" spans="1:7" ht="11.5" hidden="1" customHeight="1" x14ac:dyDescent="0.35">
      <c r="A1626" s="29" t="s">
        <v>1853</v>
      </c>
      <c r="B1626" s="29" t="s">
        <v>3609</v>
      </c>
      <c r="C1626" s="16">
        <v>0</v>
      </c>
      <c r="D1626" s="16">
        <v>0</v>
      </c>
      <c r="E1626" s="29" t="s">
        <v>42</v>
      </c>
      <c r="F1626" s="29" t="s">
        <v>43</v>
      </c>
      <c r="G1626" t="e">
        <v>#N/A</v>
      </c>
    </row>
    <row r="1627" spans="1:7" ht="11.5" hidden="1" customHeight="1" x14ac:dyDescent="0.35">
      <c r="A1627" s="29" t="s">
        <v>1854</v>
      </c>
      <c r="B1627" s="29" t="s">
        <v>3610</v>
      </c>
      <c r="C1627" s="16">
        <v>0</v>
      </c>
      <c r="D1627" s="16">
        <v>0</v>
      </c>
      <c r="E1627" s="29" t="s">
        <v>42</v>
      </c>
      <c r="F1627" s="29" t="s">
        <v>43</v>
      </c>
      <c r="G1627" t="e">
        <v>#N/A</v>
      </c>
    </row>
    <row r="1628" spans="1:7" ht="11.5" hidden="1" customHeight="1" x14ac:dyDescent="0.35">
      <c r="A1628" s="29" t="s">
        <v>1855</v>
      </c>
      <c r="B1628" s="29" t="s">
        <v>3611</v>
      </c>
      <c r="C1628" s="16">
        <v>0</v>
      </c>
      <c r="D1628" s="16">
        <v>0</v>
      </c>
      <c r="E1628" s="29" t="s">
        <v>42</v>
      </c>
      <c r="F1628" s="29" t="s">
        <v>43</v>
      </c>
      <c r="G1628" t="e">
        <v>#N/A</v>
      </c>
    </row>
    <row r="1629" spans="1:7" ht="11.5" hidden="1" customHeight="1" x14ac:dyDescent="0.35">
      <c r="A1629" s="29" t="s">
        <v>1856</v>
      </c>
      <c r="B1629" s="29" t="s">
        <v>3612</v>
      </c>
      <c r="C1629" s="16">
        <v>0</v>
      </c>
      <c r="D1629" s="16">
        <v>0</v>
      </c>
      <c r="E1629" s="29" t="s">
        <v>42</v>
      </c>
      <c r="F1629" s="29" t="s">
        <v>43</v>
      </c>
      <c r="G1629" t="e">
        <v>#N/A</v>
      </c>
    </row>
    <row r="1630" spans="1:7" ht="11.5" hidden="1" customHeight="1" x14ac:dyDescent="0.35">
      <c r="A1630" s="29" t="s">
        <v>1857</v>
      </c>
      <c r="B1630" s="29" t="s">
        <v>3613</v>
      </c>
      <c r="C1630" s="16">
        <v>0</v>
      </c>
      <c r="D1630" s="16">
        <v>0</v>
      </c>
      <c r="E1630" s="29" t="s">
        <v>42</v>
      </c>
      <c r="F1630" s="29" t="s">
        <v>43</v>
      </c>
      <c r="G1630" t="e">
        <v>#N/A</v>
      </c>
    </row>
    <row r="1631" spans="1:7" ht="11.5" hidden="1" customHeight="1" x14ac:dyDescent="0.35">
      <c r="A1631" s="29" t="s">
        <v>1858</v>
      </c>
      <c r="B1631" s="29" t="s">
        <v>3614</v>
      </c>
      <c r="C1631" s="16">
        <v>0</v>
      </c>
      <c r="D1631" s="16">
        <v>0</v>
      </c>
      <c r="E1631" s="29" t="s">
        <v>42</v>
      </c>
      <c r="F1631" s="29" t="s">
        <v>43</v>
      </c>
      <c r="G1631" t="e">
        <v>#N/A</v>
      </c>
    </row>
    <row r="1632" spans="1:7" ht="11.5" hidden="1" customHeight="1" x14ac:dyDescent="0.35">
      <c r="A1632" s="29" t="s">
        <v>1859</v>
      </c>
      <c r="B1632" s="29" t="s">
        <v>3615</v>
      </c>
      <c r="C1632" s="16">
        <v>0</v>
      </c>
      <c r="D1632" s="16">
        <v>0</v>
      </c>
      <c r="E1632" s="29" t="s">
        <v>42</v>
      </c>
      <c r="F1632" s="29" t="s">
        <v>43</v>
      </c>
      <c r="G1632" t="e">
        <v>#N/A</v>
      </c>
    </row>
    <row r="1633" spans="1:7" ht="11.5" hidden="1" customHeight="1" x14ac:dyDescent="0.35">
      <c r="A1633" s="29" t="s">
        <v>1860</v>
      </c>
      <c r="B1633" s="29" t="s">
        <v>3616</v>
      </c>
      <c r="C1633" s="16">
        <v>0</v>
      </c>
      <c r="D1633" s="16">
        <v>0</v>
      </c>
      <c r="E1633" s="29" t="s">
        <v>42</v>
      </c>
      <c r="F1633" s="29" t="s">
        <v>43</v>
      </c>
      <c r="G1633" t="e">
        <v>#N/A</v>
      </c>
    </row>
    <row r="1634" spans="1:7" ht="11.5" hidden="1" customHeight="1" x14ac:dyDescent="0.35">
      <c r="A1634" s="29" t="s">
        <v>1861</v>
      </c>
      <c r="B1634" s="29" t="s">
        <v>3617</v>
      </c>
      <c r="C1634" s="16">
        <v>0</v>
      </c>
      <c r="D1634" s="16">
        <v>0</v>
      </c>
      <c r="E1634" s="29" t="s">
        <v>42</v>
      </c>
      <c r="F1634" s="29" t="s">
        <v>43</v>
      </c>
      <c r="G1634" t="e">
        <v>#N/A</v>
      </c>
    </row>
    <row r="1635" spans="1:7" ht="11.5" hidden="1" customHeight="1" x14ac:dyDescent="0.35">
      <c r="A1635" s="29" t="s">
        <v>1862</v>
      </c>
      <c r="B1635" s="29" t="s">
        <v>3618</v>
      </c>
      <c r="C1635" s="16">
        <v>0</v>
      </c>
      <c r="D1635" s="16">
        <v>0</v>
      </c>
      <c r="E1635" s="29" t="s">
        <v>42</v>
      </c>
      <c r="F1635" s="29" t="s">
        <v>43</v>
      </c>
      <c r="G1635" t="e">
        <v>#N/A</v>
      </c>
    </row>
    <row r="1636" spans="1:7" ht="11.5" hidden="1" customHeight="1" x14ac:dyDescent="0.35">
      <c r="A1636" s="29" t="s">
        <v>1863</v>
      </c>
      <c r="B1636" s="29" t="s">
        <v>3619</v>
      </c>
      <c r="C1636" s="16">
        <v>0</v>
      </c>
      <c r="D1636" s="16">
        <v>0</v>
      </c>
      <c r="E1636" s="29" t="s">
        <v>42</v>
      </c>
      <c r="F1636" s="29" t="s">
        <v>43</v>
      </c>
      <c r="G1636" t="e">
        <v>#N/A</v>
      </c>
    </row>
    <row r="1637" spans="1:7" ht="11.5" hidden="1" customHeight="1" x14ac:dyDescent="0.35">
      <c r="A1637" s="29" t="s">
        <v>1864</v>
      </c>
      <c r="B1637" s="29" t="s">
        <v>3620</v>
      </c>
      <c r="C1637" s="16">
        <v>0</v>
      </c>
      <c r="D1637" s="16">
        <v>0</v>
      </c>
      <c r="E1637" s="29" t="s">
        <v>42</v>
      </c>
      <c r="F1637" s="29" t="s">
        <v>43</v>
      </c>
      <c r="G1637" t="e">
        <v>#N/A</v>
      </c>
    </row>
    <row r="1638" spans="1:7" ht="11.5" hidden="1" customHeight="1" x14ac:dyDescent="0.35">
      <c r="A1638" s="29" t="s">
        <v>1865</v>
      </c>
      <c r="B1638" s="29" t="s">
        <v>3621</v>
      </c>
      <c r="C1638" s="16">
        <v>0</v>
      </c>
      <c r="D1638" s="16">
        <v>0</v>
      </c>
      <c r="E1638" s="29" t="s">
        <v>42</v>
      </c>
      <c r="F1638" s="29" t="s">
        <v>43</v>
      </c>
      <c r="G1638" t="e">
        <v>#N/A</v>
      </c>
    </row>
    <row r="1639" spans="1:7" ht="11.5" hidden="1" customHeight="1" x14ac:dyDescent="0.35">
      <c r="A1639" s="29" t="s">
        <v>1866</v>
      </c>
      <c r="B1639" s="29" t="s">
        <v>3622</v>
      </c>
      <c r="C1639" s="16">
        <v>0</v>
      </c>
      <c r="D1639" s="16">
        <v>0</v>
      </c>
      <c r="E1639" s="29" t="s">
        <v>42</v>
      </c>
      <c r="F1639" s="29" t="s">
        <v>43</v>
      </c>
      <c r="G1639" t="e">
        <v>#N/A</v>
      </c>
    </row>
    <row r="1640" spans="1:7" ht="11.5" hidden="1" customHeight="1" x14ac:dyDescent="0.35">
      <c r="A1640" s="29" t="s">
        <v>1867</v>
      </c>
      <c r="B1640" s="29" t="s">
        <v>3623</v>
      </c>
      <c r="C1640" s="16">
        <v>0</v>
      </c>
      <c r="D1640" s="16">
        <v>0</v>
      </c>
      <c r="E1640" s="29" t="s">
        <v>42</v>
      </c>
      <c r="F1640" s="29" t="s">
        <v>43</v>
      </c>
      <c r="G1640" t="e">
        <v>#N/A</v>
      </c>
    </row>
    <row r="1641" spans="1:7" ht="11.5" hidden="1" customHeight="1" x14ac:dyDescent="0.35">
      <c r="A1641" s="29" t="s">
        <v>1868</v>
      </c>
      <c r="B1641" s="29" t="s">
        <v>3624</v>
      </c>
      <c r="C1641" s="16">
        <v>0</v>
      </c>
      <c r="D1641" s="16">
        <v>0</v>
      </c>
      <c r="E1641" s="29" t="s">
        <v>42</v>
      </c>
      <c r="F1641" s="29" t="s">
        <v>43</v>
      </c>
      <c r="G1641" t="e">
        <v>#N/A</v>
      </c>
    </row>
    <row r="1642" spans="1:7" ht="11.5" hidden="1" customHeight="1" x14ac:dyDescent="0.35">
      <c r="A1642" s="29" t="s">
        <v>1869</v>
      </c>
      <c r="B1642" s="29" t="s">
        <v>3625</v>
      </c>
      <c r="C1642" s="16">
        <v>0</v>
      </c>
      <c r="D1642" s="16">
        <v>0</v>
      </c>
      <c r="E1642" s="29" t="s">
        <v>42</v>
      </c>
      <c r="F1642" s="29" t="s">
        <v>43</v>
      </c>
      <c r="G1642" t="e">
        <v>#N/A</v>
      </c>
    </row>
    <row r="1643" spans="1:7" ht="11.5" hidden="1" customHeight="1" x14ac:dyDescent="0.35">
      <c r="A1643" s="29" t="s">
        <v>1870</v>
      </c>
      <c r="B1643" s="29" t="s">
        <v>3626</v>
      </c>
      <c r="C1643" s="16">
        <v>0</v>
      </c>
      <c r="D1643" s="16">
        <v>0</v>
      </c>
      <c r="E1643" s="29" t="s">
        <v>42</v>
      </c>
      <c r="F1643" s="29" t="s">
        <v>43</v>
      </c>
      <c r="G1643" t="e">
        <v>#N/A</v>
      </c>
    </row>
    <row r="1644" spans="1:7" ht="11.5" hidden="1" customHeight="1" x14ac:dyDescent="0.35">
      <c r="A1644" s="29" t="s">
        <v>1871</v>
      </c>
      <c r="B1644" s="29" t="s">
        <v>3627</v>
      </c>
      <c r="C1644" s="16">
        <v>0</v>
      </c>
      <c r="D1644" s="16">
        <v>0</v>
      </c>
      <c r="E1644" s="29" t="s">
        <v>42</v>
      </c>
      <c r="F1644" s="29" t="s">
        <v>43</v>
      </c>
      <c r="G1644" t="e">
        <v>#N/A</v>
      </c>
    </row>
    <row r="1645" spans="1:7" ht="11.5" hidden="1" customHeight="1" x14ac:dyDescent="0.35">
      <c r="A1645" s="29" t="s">
        <v>1872</v>
      </c>
      <c r="B1645" s="29" t="s">
        <v>3628</v>
      </c>
      <c r="C1645" s="16">
        <v>0</v>
      </c>
      <c r="D1645" s="16">
        <v>0</v>
      </c>
      <c r="E1645" s="29" t="s">
        <v>42</v>
      </c>
      <c r="F1645" s="29" t="s">
        <v>43</v>
      </c>
      <c r="G1645" t="e">
        <v>#N/A</v>
      </c>
    </row>
    <row r="1646" spans="1:7" ht="11.5" hidden="1" customHeight="1" x14ac:dyDescent="0.35">
      <c r="A1646" s="29" t="s">
        <v>1873</v>
      </c>
      <c r="B1646" s="29" t="s">
        <v>3629</v>
      </c>
      <c r="C1646" s="16">
        <v>0</v>
      </c>
      <c r="D1646" s="16">
        <v>0</v>
      </c>
      <c r="E1646" s="29" t="s">
        <v>42</v>
      </c>
      <c r="F1646" s="29" t="s">
        <v>43</v>
      </c>
      <c r="G1646" t="e">
        <v>#N/A</v>
      </c>
    </row>
    <row r="1647" spans="1:7" ht="11.5" hidden="1" customHeight="1" x14ac:dyDescent="0.35">
      <c r="A1647" s="29" t="s">
        <v>1874</v>
      </c>
      <c r="B1647" s="29" t="s">
        <v>3630</v>
      </c>
      <c r="C1647" s="16">
        <v>0</v>
      </c>
      <c r="D1647" s="16">
        <v>0</v>
      </c>
      <c r="E1647" s="29" t="s">
        <v>42</v>
      </c>
      <c r="F1647" s="29" t="s">
        <v>43</v>
      </c>
      <c r="G1647" t="e">
        <v>#N/A</v>
      </c>
    </row>
    <row r="1648" spans="1:7" ht="11.5" hidden="1" customHeight="1" x14ac:dyDescent="0.35">
      <c r="A1648" s="29" t="s">
        <v>1875</v>
      </c>
      <c r="B1648" s="29" t="s">
        <v>3631</v>
      </c>
      <c r="C1648" s="16">
        <v>0</v>
      </c>
      <c r="D1648" s="16">
        <v>0</v>
      </c>
      <c r="E1648" s="29" t="s">
        <v>42</v>
      </c>
      <c r="F1648" s="29" t="s">
        <v>43</v>
      </c>
      <c r="G1648" t="e">
        <v>#N/A</v>
      </c>
    </row>
    <row r="1649" spans="1:7" ht="11.5" hidden="1" customHeight="1" x14ac:dyDescent="0.35">
      <c r="A1649" s="29" t="s">
        <v>1876</v>
      </c>
      <c r="B1649" s="29" t="s">
        <v>3632</v>
      </c>
      <c r="C1649" s="16">
        <v>0</v>
      </c>
      <c r="D1649" s="16">
        <v>0</v>
      </c>
      <c r="E1649" s="29" t="s">
        <v>42</v>
      </c>
      <c r="F1649" s="29" t="s">
        <v>43</v>
      </c>
      <c r="G1649" t="e">
        <v>#N/A</v>
      </c>
    </row>
    <row r="1650" spans="1:7" ht="11.5" hidden="1" customHeight="1" x14ac:dyDescent="0.35">
      <c r="A1650" s="29" t="s">
        <v>1877</v>
      </c>
      <c r="B1650" s="29" t="s">
        <v>3633</v>
      </c>
      <c r="C1650" s="16">
        <v>0</v>
      </c>
      <c r="D1650" s="16">
        <v>0</v>
      </c>
      <c r="E1650" s="29" t="s">
        <v>42</v>
      </c>
      <c r="F1650" s="29" t="s">
        <v>43</v>
      </c>
      <c r="G1650" t="e">
        <v>#N/A</v>
      </c>
    </row>
    <row r="1651" spans="1:7" ht="11.5" hidden="1" customHeight="1" x14ac:dyDescent="0.35">
      <c r="A1651" s="29" t="s">
        <v>1878</v>
      </c>
      <c r="B1651" s="29" t="s">
        <v>3634</v>
      </c>
      <c r="C1651" s="16">
        <v>0</v>
      </c>
      <c r="D1651" s="16">
        <v>0</v>
      </c>
      <c r="E1651" s="29" t="s">
        <v>42</v>
      </c>
      <c r="F1651" s="29" t="s">
        <v>43</v>
      </c>
      <c r="G1651" t="e">
        <v>#N/A</v>
      </c>
    </row>
    <row r="1652" spans="1:7" ht="11.5" hidden="1" customHeight="1" x14ac:dyDescent="0.35">
      <c r="A1652" s="29" t="s">
        <v>1879</v>
      </c>
      <c r="B1652" s="29" t="s">
        <v>3635</v>
      </c>
      <c r="C1652" s="16">
        <v>0</v>
      </c>
      <c r="D1652" s="16">
        <v>0</v>
      </c>
      <c r="E1652" s="29" t="s">
        <v>42</v>
      </c>
      <c r="F1652" s="29" t="s">
        <v>43</v>
      </c>
      <c r="G1652" t="e">
        <v>#N/A</v>
      </c>
    </row>
    <row r="1653" spans="1:7" ht="11.5" hidden="1" customHeight="1" x14ac:dyDescent="0.35">
      <c r="A1653" s="29" t="s">
        <v>1880</v>
      </c>
      <c r="B1653" s="29" t="s">
        <v>3636</v>
      </c>
      <c r="C1653" s="16">
        <v>0</v>
      </c>
      <c r="D1653" s="16">
        <v>0</v>
      </c>
      <c r="E1653" s="29" t="s">
        <v>42</v>
      </c>
      <c r="F1653" s="29" t="s">
        <v>43</v>
      </c>
      <c r="G1653" t="e">
        <v>#N/A</v>
      </c>
    </row>
    <row r="1654" spans="1:7" ht="11.5" hidden="1" customHeight="1" x14ac:dyDescent="0.35">
      <c r="A1654" s="29" t="s">
        <v>1881</v>
      </c>
      <c r="B1654" s="29" t="s">
        <v>3637</v>
      </c>
      <c r="C1654" s="16">
        <v>0</v>
      </c>
      <c r="D1654" s="16">
        <v>0</v>
      </c>
      <c r="E1654" s="29" t="s">
        <v>42</v>
      </c>
      <c r="F1654" s="29" t="s">
        <v>43</v>
      </c>
      <c r="G1654" t="e">
        <v>#N/A</v>
      </c>
    </row>
    <row r="1655" spans="1:7" ht="11.5" hidden="1" customHeight="1" x14ac:dyDescent="0.35">
      <c r="A1655" s="29" t="s">
        <v>1882</v>
      </c>
      <c r="B1655" s="29" t="s">
        <v>3638</v>
      </c>
      <c r="C1655" s="16">
        <v>0</v>
      </c>
      <c r="D1655" s="16">
        <v>0</v>
      </c>
      <c r="E1655" s="29" t="s">
        <v>42</v>
      </c>
      <c r="F1655" s="29" t="s">
        <v>43</v>
      </c>
      <c r="G1655" t="e">
        <v>#N/A</v>
      </c>
    </row>
    <row r="1656" spans="1:7" ht="11.5" hidden="1" customHeight="1" x14ac:dyDescent="0.35">
      <c r="A1656" s="29" t="s">
        <v>1883</v>
      </c>
      <c r="B1656" s="29" t="s">
        <v>3639</v>
      </c>
      <c r="C1656" s="16">
        <v>0</v>
      </c>
      <c r="D1656" s="16">
        <v>0</v>
      </c>
      <c r="E1656" s="29" t="s">
        <v>42</v>
      </c>
      <c r="F1656" s="29" t="s">
        <v>43</v>
      </c>
      <c r="G1656" t="e">
        <v>#N/A</v>
      </c>
    </row>
    <row r="1657" spans="1:7" ht="11.5" hidden="1" customHeight="1" x14ac:dyDescent="0.35">
      <c r="A1657" s="29" t="s">
        <v>1884</v>
      </c>
      <c r="B1657" s="29" t="s">
        <v>3640</v>
      </c>
      <c r="C1657" s="16">
        <v>0</v>
      </c>
      <c r="D1657" s="16">
        <v>0</v>
      </c>
      <c r="E1657" s="29" t="s">
        <v>42</v>
      </c>
      <c r="F1657" s="29" t="s">
        <v>43</v>
      </c>
      <c r="G1657" t="e">
        <v>#N/A</v>
      </c>
    </row>
    <row r="1658" spans="1:7" ht="11.5" hidden="1" customHeight="1" x14ac:dyDescent="0.35">
      <c r="A1658" s="29" t="s">
        <v>1885</v>
      </c>
      <c r="B1658" s="29" t="s">
        <v>3641</v>
      </c>
      <c r="C1658" s="16">
        <v>0</v>
      </c>
      <c r="D1658" s="16">
        <v>0</v>
      </c>
      <c r="E1658" s="29" t="s">
        <v>42</v>
      </c>
      <c r="F1658" s="29" t="s">
        <v>43</v>
      </c>
      <c r="G1658" t="e">
        <v>#N/A</v>
      </c>
    </row>
    <row r="1659" spans="1:7" ht="11.5" hidden="1" customHeight="1" x14ac:dyDescent="0.35">
      <c r="A1659" s="29" t="s">
        <v>1886</v>
      </c>
      <c r="B1659" s="29" t="s">
        <v>3642</v>
      </c>
      <c r="C1659" s="16">
        <v>0</v>
      </c>
      <c r="D1659" s="16">
        <v>0</v>
      </c>
      <c r="E1659" s="29" t="s">
        <v>42</v>
      </c>
      <c r="F1659" s="29" t="s">
        <v>43</v>
      </c>
      <c r="G1659" t="e">
        <v>#N/A</v>
      </c>
    </row>
    <row r="1660" spans="1:7" ht="11.5" hidden="1" customHeight="1" x14ac:dyDescent="0.35">
      <c r="A1660" s="29" t="s">
        <v>1887</v>
      </c>
      <c r="B1660" s="29" t="s">
        <v>3643</v>
      </c>
      <c r="C1660" s="16">
        <v>0</v>
      </c>
      <c r="D1660" s="16">
        <v>0</v>
      </c>
      <c r="E1660" s="29" t="s">
        <v>42</v>
      </c>
      <c r="F1660" s="29" t="s">
        <v>43</v>
      </c>
      <c r="G1660" t="e">
        <v>#N/A</v>
      </c>
    </row>
    <row r="1661" spans="1:7" ht="11.5" hidden="1" customHeight="1" x14ac:dyDescent="0.35">
      <c r="A1661" s="29" t="s">
        <v>1888</v>
      </c>
      <c r="B1661" s="29" t="s">
        <v>3644</v>
      </c>
      <c r="C1661" s="16">
        <v>0</v>
      </c>
      <c r="D1661" s="16">
        <v>0</v>
      </c>
      <c r="E1661" s="29" t="s">
        <v>42</v>
      </c>
      <c r="F1661" s="29" t="s">
        <v>43</v>
      </c>
      <c r="G1661" t="e">
        <v>#N/A</v>
      </c>
    </row>
    <row r="1662" spans="1:7" ht="11.5" hidden="1" customHeight="1" x14ac:dyDescent="0.35">
      <c r="A1662" s="29" t="s">
        <v>1889</v>
      </c>
      <c r="B1662" s="29" t="s">
        <v>3645</v>
      </c>
      <c r="C1662" s="16">
        <v>0</v>
      </c>
      <c r="D1662" s="16">
        <v>0</v>
      </c>
      <c r="E1662" s="29" t="s">
        <v>42</v>
      </c>
      <c r="F1662" s="29" t="s">
        <v>43</v>
      </c>
      <c r="G1662" t="e">
        <v>#N/A</v>
      </c>
    </row>
    <row r="1663" spans="1:7" ht="11.5" hidden="1" customHeight="1" x14ac:dyDescent="0.35">
      <c r="A1663" s="29" t="s">
        <v>1890</v>
      </c>
      <c r="B1663" s="29" t="s">
        <v>3646</v>
      </c>
      <c r="C1663" s="16">
        <v>0</v>
      </c>
      <c r="D1663" s="16">
        <v>0</v>
      </c>
      <c r="E1663" s="29" t="s">
        <v>42</v>
      </c>
      <c r="F1663" s="29" t="s">
        <v>43</v>
      </c>
      <c r="G1663" t="e">
        <v>#N/A</v>
      </c>
    </row>
    <row r="1664" spans="1:7" ht="11.5" hidden="1" customHeight="1" x14ac:dyDescent="0.35">
      <c r="A1664" s="29" t="s">
        <v>1891</v>
      </c>
      <c r="B1664" s="29" t="s">
        <v>3647</v>
      </c>
      <c r="C1664" s="16">
        <v>0</v>
      </c>
      <c r="D1664" s="16">
        <v>0</v>
      </c>
      <c r="E1664" s="29" t="s">
        <v>42</v>
      </c>
      <c r="F1664" s="29" t="s">
        <v>43</v>
      </c>
      <c r="G1664" t="e">
        <v>#N/A</v>
      </c>
    </row>
    <row r="1665" spans="1:7" ht="11.5" hidden="1" customHeight="1" x14ac:dyDescent="0.35">
      <c r="A1665" s="29" t="s">
        <v>1892</v>
      </c>
      <c r="B1665" s="29" t="s">
        <v>3648</v>
      </c>
      <c r="C1665" s="16">
        <v>0</v>
      </c>
      <c r="D1665" s="16">
        <v>0</v>
      </c>
      <c r="E1665" s="29" t="s">
        <v>42</v>
      </c>
      <c r="F1665" s="29" t="s">
        <v>43</v>
      </c>
      <c r="G1665" t="e">
        <v>#N/A</v>
      </c>
    </row>
    <row r="1666" spans="1:7" ht="11.5" hidden="1" customHeight="1" x14ac:dyDescent="0.35">
      <c r="A1666" s="29" t="s">
        <v>1893</v>
      </c>
      <c r="B1666" s="29" t="s">
        <v>3649</v>
      </c>
      <c r="C1666" s="16">
        <v>0</v>
      </c>
      <c r="D1666" s="16">
        <v>0</v>
      </c>
      <c r="E1666" s="29" t="s">
        <v>42</v>
      </c>
      <c r="F1666" s="29" t="s">
        <v>43</v>
      </c>
      <c r="G1666" t="e">
        <v>#N/A</v>
      </c>
    </row>
    <row r="1667" spans="1:7" ht="11.5" hidden="1" customHeight="1" x14ac:dyDescent="0.35">
      <c r="A1667" s="29" t="s">
        <v>1894</v>
      </c>
      <c r="B1667" s="29" t="s">
        <v>3650</v>
      </c>
      <c r="C1667" s="16">
        <v>0</v>
      </c>
      <c r="D1667" s="16">
        <v>0</v>
      </c>
      <c r="E1667" s="29" t="s">
        <v>42</v>
      </c>
      <c r="F1667" s="29" t="s">
        <v>43</v>
      </c>
      <c r="G1667" t="e">
        <v>#N/A</v>
      </c>
    </row>
    <row r="1668" spans="1:7" ht="11.5" hidden="1" customHeight="1" x14ac:dyDescent="0.35">
      <c r="A1668" s="29" t="s">
        <v>1895</v>
      </c>
      <c r="B1668" s="29" t="s">
        <v>3650</v>
      </c>
      <c r="C1668" s="16">
        <v>0</v>
      </c>
      <c r="D1668" s="16">
        <v>0</v>
      </c>
      <c r="E1668" s="29" t="s">
        <v>42</v>
      </c>
      <c r="F1668" s="29" t="s">
        <v>43</v>
      </c>
      <c r="G1668" t="e">
        <v>#N/A</v>
      </c>
    </row>
    <row r="1669" spans="1:7" ht="11.5" hidden="1" customHeight="1" x14ac:dyDescent="0.35">
      <c r="A1669" s="29" t="s">
        <v>1896</v>
      </c>
      <c r="B1669" s="29" t="s">
        <v>3651</v>
      </c>
      <c r="C1669" s="16">
        <v>0</v>
      </c>
      <c r="D1669" s="16">
        <v>0</v>
      </c>
      <c r="E1669" s="29" t="s">
        <v>42</v>
      </c>
      <c r="F1669" s="29" t="s">
        <v>43</v>
      </c>
      <c r="G1669" t="e">
        <v>#N/A</v>
      </c>
    </row>
    <row r="1670" spans="1:7" ht="11.5" hidden="1" customHeight="1" x14ac:dyDescent="0.35">
      <c r="A1670" s="29" t="s">
        <v>1897</v>
      </c>
      <c r="B1670" s="29" t="s">
        <v>3652</v>
      </c>
      <c r="C1670" s="16">
        <v>0</v>
      </c>
      <c r="D1670" s="16">
        <v>0</v>
      </c>
      <c r="E1670" s="29" t="s">
        <v>42</v>
      </c>
      <c r="F1670" s="29" t="s">
        <v>43</v>
      </c>
      <c r="G1670" t="e">
        <v>#N/A</v>
      </c>
    </row>
    <row r="1671" spans="1:7" ht="11.5" hidden="1" customHeight="1" x14ac:dyDescent="0.35">
      <c r="A1671" s="29" t="s">
        <v>1898</v>
      </c>
      <c r="B1671" s="29" t="s">
        <v>3653</v>
      </c>
      <c r="C1671" s="16">
        <v>0</v>
      </c>
      <c r="D1671" s="16">
        <v>0</v>
      </c>
      <c r="E1671" s="29" t="s">
        <v>42</v>
      </c>
      <c r="F1671" s="29" t="s">
        <v>43</v>
      </c>
      <c r="G1671" t="e">
        <v>#N/A</v>
      </c>
    </row>
    <row r="1672" spans="1:7" ht="11.5" hidden="1" customHeight="1" x14ac:dyDescent="0.35">
      <c r="A1672" s="29" t="s">
        <v>1899</v>
      </c>
      <c r="B1672" s="29" t="s">
        <v>3654</v>
      </c>
      <c r="C1672" s="16">
        <v>0</v>
      </c>
      <c r="D1672" s="16">
        <v>0</v>
      </c>
      <c r="E1672" s="29" t="s">
        <v>42</v>
      </c>
      <c r="F1672" s="29" t="s">
        <v>43</v>
      </c>
      <c r="G1672" t="e">
        <v>#N/A</v>
      </c>
    </row>
    <row r="1673" spans="1:7" ht="11.5" hidden="1" customHeight="1" x14ac:dyDescent="0.35">
      <c r="A1673" s="29" t="s">
        <v>1900</v>
      </c>
      <c r="B1673" s="29" t="s">
        <v>3655</v>
      </c>
      <c r="C1673" s="16">
        <v>0</v>
      </c>
      <c r="D1673" s="16">
        <v>0</v>
      </c>
      <c r="E1673" s="29" t="s">
        <v>42</v>
      </c>
      <c r="F1673" s="29" t="s">
        <v>43</v>
      </c>
      <c r="G1673" t="e">
        <v>#N/A</v>
      </c>
    </row>
    <row r="1674" spans="1:7" ht="11.5" hidden="1" customHeight="1" x14ac:dyDescent="0.35">
      <c r="A1674" s="29" t="s">
        <v>1901</v>
      </c>
      <c r="B1674" s="29" t="s">
        <v>3656</v>
      </c>
      <c r="C1674" s="16">
        <v>0</v>
      </c>
      <c r="D1674" s="16">
        <v>0</v>
      </c>
      <c r="E1674" s="29" t="s">
        <v>42</v>
      </c>
      <c r="F1674" s="29" t="s">
        <v>43</v>
      </c>
      <c r="G1674" t="e">
        <v>#N/A</v>
      </c>
    </row>
    <row r="1675" spans="1:7" ht="11.5" hidden="1" customHeight="1" x14ac:dyDescent="0.35">
      <c r="A1675" s="29" t="s">
        <v>1902</v>
      </c>
      <c r="B1675" s="29" t="s">
        <v>3657</v>
      </c>
      <c r="C1675" s="16">
        <v>0</v>
      </c>
      <c r="D1675" s="16">
        <v>0</v>
      </c>
      <c r="E1675" s="29" t="s">
        <v>42</v>
      </c>
      <c r="F1675" s="29" t="s">
        <v>43</v>
      </c>
      <c r="G1675" t="e">
        <v>#N/A</v>
      </c>
    </row>
    <row r="1676" spans="1:7" ht="11.5" hidden="1" customHeight="1" x14ac:dyDescent="0.35">
      <c r="A1676" s="29" t="s">
        <v>1903</v>
      </c>
      <c r="B1676" s="29" t="s">
        <v>3658</v>
      </c>
      <c r="C1676" s="16">
        <v>0</v>
      </c>
      <c r="D1676" s="16">
        <v>0</v>
      </c>
      <c r="E1676" s="29" t="s">
        <v>42</v>
      </c>
      <c r="F1676" s="29" t="s">
        <v>43</v>
      </c>
      <c r="G1676" t="e">
        <v>#N/A</v>
      </c>
    </row>
    <row r="1677" spans="1:7" ht="11.5" hidden="1" customHeight="1" x14ac:dyDescent="0.35">
      <c r="A1677" s="29" t="s">
        <v>1904</v>
      </c>
      <c r="B1677" s="29" t="s">
        <v>3659</v>
      </c>
      <c r="C1677" s="16">
        <v>0</v>
      </c>
      <c r="D1677" s="16">
        <v>0</v>
      </c>
      <c r="E1677" s="29" t="s">
        <v>42</v>
      </c>
      <c r="F1677" s="29" t="s">
        <v>43</v>
      </c>
      <c r="G1677" t="e">
        <v>#N/A</v>
      </c>
    </row>
    <row r="1678" spans="1:7" ht="11.5" hidden="1" customHeight="1" x14ac:dyDescent="0.35">
      <c r="A1678" s="29" t="s">
        <v>1905</v>
      </c>
      <c r="B1678" s="29" t="s">
        <v>3660</v>
      </c>
      <c r="C1678" s="16">
        <v>0</v>
      </c>
      <c r="D1678" s="16">
        <v>0</v>
      </c>
      <c r="E1678" s="29" t="s">
        <v>42</v>
      </c>
      <c r="F1678" s="29" t="s">
        <v>43</v>
      </c>
      <c r="G1678" t="e">
        <v>#N/A</v>
      </c>
    </row>
    <row r="1679" spans="1:7" ht="11.5" hidden="1" customHeight="1" x14ac:dyDescent="0.35">
      <c r="A1679" s="29" t="s">
        <v>1906</v>
      </c>
      <c r="B1679" s="29" t="s">
        <v>3661</v>
      </c>
      <c r="C1679" s="16">
        <v>0</v>
      </c>
      <c r="D1679" s="16">
        <v>0</v>
      </c>
      <c r="E1679" s="29" t="s">
        <v>42</v>
      </c>
      <c r="F1679" s="29" t="s">
        <v>43</v>
      </c>
      <c r="G1679" t="e">
        <v>#N/A</v>
      </c>
    </row>
    <row r="1680" spans="1:7" ht="11.5" hidden="1" customHeight="1" x14ac:dyDescent="0.35">
      <c r="A1680" s="29" t="s">
        <v>1907</v>
      </c>
      <c r="B1680" s="29" t="s">
        <v>3662</v>
      </c>
      <c r="C1680" s="16">
        <v>0</v>
      </c>
      <c r="D1680" s="16">
        <v>0</v>
      </c>
      <c r="E1680" s="29" t="s">
        <v>42</v>
      </c>
      <c r="F1680" s="29" t="s">
        <v>43</v>
      </c>
      <c r="G1680" t="e">
        <v>#N/A</v>
      </c>
    </row>
    <row r="1681" spans="1:7" ht="11.5" hidden="1" customHeight="1" x14ac:dyDescent="0.35">
      <c r="A1681" s="29" t="s">
        <v>1908</v>
      </c>
      <c r="B1681" s="29" t="s">
        <v>3663</v>
      </c>
      <c r="C1681" s="16">
        <v>0</v>
      </c>
      <c r="D1681" s="16">
        <v>0</v>
      </c>
      <c r="E1681" s="29" t="s">
        <v>42</v>
      </c>
      <c r="F1681" s="29" t="s">
        <v>43</v>
      </c>
      <c r="G1681" t="e">
        <v>#N/A</v>
      </c>
    </row>
    <row r="1682" spans="1:7" ht="11.5" hidden="1" customHeight="1" x14ac:dyDescent="0.35">
      <c r="A1682" s="29" t="s">
        <v>1909</v>
      </c>
      <c r="B1682" s="29" t="s">
        <v>3664</v>
      </c>
      <c r="C1682" s="16">
        <v>0</v>
      </c>
      <c r="D1682" s="16">
        <v>0</v>
      </c>
      <c r="E1682" s="29" t="s">
        <v>42</v>
      </c>
      <c r="F1682" s="29" t="s">
        <v>43</v>
      </c>
      <c r="G1682" t="e">
        <v>#N/A</v>
      </c>
    </row>
    <row r="1683" spans="1:7" ht="11.5" hidden="1" customHeight="1" x14ac:dyDescent="0.35">
      <c r="A1683" s="29" t="s">
        <v>1910</v>
      </c>
      <c r="B1683" s="29" t="s">
        <v>3665</v>
      </c>
      <c r="C1683" s="16">
        <v>0</v>
      </c>
      <c r="D1683" s="16">
        <v>0</v>
      </c>
      <c r="E1683" s="29" t="s">
        <v>42</v>
      </c>
      <c r="F1683" s="29" t="s">
        <v>43</v>
      </c>
      <c r="G1683" t="e">
        <v>#N/A</v>
      </c>
    </row>
    <row r="1684" spans="1:7" ht="11.5" hidden="1" customHeight="1" x14ac:dyDescent="0.35">
      <c r="A1684" s="29" t="s">
        <v>1911</v>
      </c>
      <c r="B1684" s="29" t="s">
        <v>3666</v>
      </c>
      <c r="C1684" s="16">
        <v>0</v>
      </c>
      <c r="D1684" s="16">
        <v>0</v>
      </c>
      <c r="E1684" s="29" t="s">
        <v>42</v>
      </c>
      <c r="F1684" s="29" t="s">
        <v>43</v>
      </c>
      <c r="G1684" t="e">
        <v>#N/A</v>
      </c>
    </row>
    <row r="1685" spans="1:7" ht="11.5" hidden="1" customHeight="1" x14ac:dyDescent="0.35">
      <c r="A1685" s="29" t="s">
        <v>1912</v>
      </c>
      <c r="B1685" s="29" t="s">
        <v>3667</v>
      </c>
      <c r="C1685" s="16">
        <v>0</v>
      </c>
      <c r="D1685" s="16">
        <v>0</v>
      </c>
      <c r="E1685" s="29" t="s">
        <v>42</v>
      </c>
      <c r="F1685" s="29" t="s">
        <v>43</v>
      </c>
      <c r="G1685" t="e">
        <v>#N/A</v>
      </c>
    </row>
    <row r="1686" spans="1:7" ht="11.5" hidden="1" customHeight="1" x14ac:dyDescent="0.35">
      <c r="A1686" s="29" t="s">
        <v>1913</v>
      </c>
      <c r="B1686" s="29" t="s">
        <v>3668</v>
      </c>
      <c r="C1686" s="16">
        <v>0</v>
      </c>
      <c r="D1686" s="16">
        <v>0</v>
      </c>
      <c r="E1686" s="29" t="s">
        <v>42</v>
      </c>
      <c r="F1686" s="29" t="s">
        <v>43</v>
      </c>
      <c r="G1686" t="e">
        <v>#N/A</v>
      </c>
    </row>
    <row r="1687" spans="1:7" ht="11.5" hidden="1" customHeight="1" x14ac:dyDescent="0.35">
      <c r="A1687" s="29" t="s">
        <v>1914</v>
      </c>
      <c r="B1687" s="29" t="s">
        <v>3669</v>
      </c>
      <c r="C1687" s="16">
        <v>0</v>
      </c>
      <c r="D1687" s="16">
        <v>0</v>
      </c>
      <c r="E1687" s="29" t="s">
        <v>42</v>
      </c>
      <c r="F1687" s="29" t="s">
        <v>43</v>
      </c>
      <c r="G1687" t="e">
        <v>#N/A</v>
      </c>
    </row>
    <row r="1688" spans="1:7" ht="11.5" hidden="1" customHeight="1" x14ac:dyDescent="0.35">
      <c r="A1688" s="29" t="s">
        <v>1915</v>
      </c>
      <c r="B1688" s="29" t="s">
        <v>3670</v>
      </c>
      <c r="C1688" s="16">
        <v>0</v>
      </c>
      <c r="D1688" s="16">
        <v>0</v>
      </c>
      <c r="E1688" s="29" t="s">
        <v>42</v>
      </c>
      <c r="F1688" s="29" t="s">
        <v>43</v>
      </c>
      <c r="G1688" t="e">
        <v>#N/A</v>
      </c>
    </row>
    <row r="1689" spans="1:7" ht="11.5" hidden="1" customHeight="1" x14ac:dyDescent="0.35">
      <c r="A1689" s="29" t="s">
        <v>1916</v>
      </c>
      <c r="B1689" s="29" t="s">
        <v>3671</v>
      </c>
      <c r="C1689" s="16">
        <v>0</v>
      </c>
      <c r="D1689" s="16">
        <v>0</v>
      </c>
      <c r="E1689" s="29" t="s">
        <v>42</v>
      </c>
      <c r="F1689" s="29" t="s">
        <v>43</v>
      </c>
      <c r="G1689" t="e">
        <v>#N/A</v>
      </c>
    </row>
    <row r="1690" spans="1:7" ht="11.5" hidden="1" customHeight="1" x14ac:dyDescent="0.35">
      <c r="A1690" s="29" t="s">
        <v>1917</v>
      </c>
      <c r="B1690" s="29" t="s">
        <v>3672</v>
      </c>
      <c r="C1690" s="16">
        <v>0</v>
      </c>
      <c r="D1690" s="16">
        <v>0</v>
      </c>
      <c r="E1690" s="29" t="s">
        <v>42</v>
      </c>
      <c r="F1690" s="29" t="s">
        <v>43</v>
      </c>
      <c r="G1690" t="e">
        <v>#N/A</v>
      </c>
    </row>
    <row r="1691" spans="1:7" ht="11.5" hidden="1" customHeight="1" x14ac:dyDescent="0.35">
      <c r="A1691" s="29" t="s">
        <v>1918</v>
      </c>
      <c r="B1691" s="29" t="s">
        <v>3673</v>
      </c>
      <c r="C1691" s="16">
        <v>0</v>
      </c>
      <c r="D1691" s="16">
        <v>0</v>
      </c>
      <c r="E1691" s="29" t="s">
        <v>42</v>
      </c>
      <c r="F1691" s="29" t="s">
        <v>43</v>
      </c>
      <c r="G1691" t="e">
        <v>#N/A</v>
      </c>
    </row>
    <row r="1692" spans="1:7" ht="11.5" hidden="1" customHeight="1" x14ac:dyDescent="0.35">
      <c r="A1692" s="29" t="s">
        <v>1919</v>
      </c>
      <c r="B1692" s="29" t="s">
        <v>3674</v>
      </c>
      <c r="C1692" s="16">
        <v>0</v>
      </c>
      <c r="D1692" s="16">
        <v>0</v>
      </c>
      <c r="E1692" s="29" t="s">
        <v>42</v>
      </c>
      <c r="F1692" s="29" t="s">
        <v>43</v>
      </c>
      <c r="G1692" t="e">
        <v>#N/A</v>
      </c>
    </row>
    <row r="1693" spans="1:7" ht="11.5" hidden="1" customHeight="1" x14ac:dyDescent="0.35">
      <c r="A1693" s="29" t="s">
        <v>1920</v>
      </c>
      <c r="B1693" s="29" t="s">
        <v>3675</v>
      </c>
      <c r="C1693" s="16">
        <v>0</v>
      </c>
      <c r="D1693" s="16">
        <v>0</v>
      </c>
      <c r="E1693" s="29" t="s">
        <v>42</v>
      </c>
      <c r="F1693" s="29" t="s">
        <v>43</v>
      </c>
      <c r="G1693" t="e">
        <v>#N/A</v>
      </c>
    </row>
    <row r="1694" spans="1:7" ht="11.5" hidden="1" customHeight="1" x14ac:dyDescent="0.35">
      <c r="A1694" s="29" t="s">
        <v>1921</v>
      </c>
      <c r="B1694" s="29" t="s">
        <v>3676</v>
      </c>
      <c r="C1694" s="16">
        <v>0</v>
      </c>
      <c r="D1694" s="16">
        <v>0</v>
      </c>
      <c r="E1694" s="29" t="s">
        <v>42</v>
      </c>
      <c r="F1694" s="29" t="s">
        <v>43</v>
      </c>
      <c r="G1694" t="e">
        <v>#N/A</v>
      </c>
    </row>
    <row r="1695" spans="1:7" ht="11.5" hidden="1" customHeight="1" x14ac:dyDescent="0.35">
      <c r="A1695" s="29" t="s">
        <v>1922</v>
      </c>
      <c r="B1695" s="29" t="s">
        <v>3677</v>
      </c>
      <c r="C1695" s="16">
        <v>0</v>
      </c>
      <c r="D1695" s="16">
        <v>0</v>
      </c>
      <c r="E1695" s="29" t="s">
        <v>42</v>
      </c>
      <c r="F1695" s="29" t="s">
        <v>43</v>
      </c>
      <c r="G1695" t="e">
        <v>#N/A</v>
      </c>
    </row>
    <row r="1696" spans="1:7" ht="11.5" hidden="1" customHeight="1" x14ac:dyDescent="0.35">
      <c r="A1696" s="29" t="s">
        <v>1923</v>
      </c>
      <c r="B1696" s="29" t="s">
        <v>3678</v>
      </c>
      <c r="C1696" s="16">
        <v>0</v>
      </c>
      <c r="D1696" s="16">
        <v>0</v>
      </c>
      <c r="E1696" s="29" t="s">
        <v>42</v>
      </c>
      <c r="F1696" s="29" t="s">
        <v>43</v>
      </c>
      <c r="G1696" t="e">
        <v>#N/A</v>
      </c>
    </row>
    <row r="1697" spans="1:7" ht="11.5" hidden="1" customHeight="1" x14ac:dyDescent="0.35">
      <c r="A1697" s="29" t="s">
        <v>1924</v>
      </c>
      <c r="B1697" s="29" t="s">
        <v>3679</v>
      </c>
      <c r="C1697" s="16">
        <v>0</v>
      </c>
      <c r="D1697" s="16">
        <v>0</v>
      </c>
      <c r="E1697" s="29" t="s">
        <v>42</v>
      </c>
      <c r="F1697" s="29" t="s">
        <v>43</v>
      </c>
      <c r="G1697" t="e">
        <v>#N/A</v>
      </c>
    </row>
    <row r="1698" spans="1:7" ht="11.5" hidden="1" customHeight="1" x14ac:dyDescent="0.35">
      <c r="A1698" s="29" t="s">
        <v>1925</v>
      </c>
      <c r="B1698" s="29" t="s">
        <v>3680</v>
      </c>
      <c r="C1698" s="16">
        <v>0</v>
      </c>
      <c r="D1698" s="16">
        <v>0</v>
      </c>
      <c r="E1698" s="29" t="s">
        <v>42</v>
      </c>
      <c r="F1698" s="29" t="s">
        <v>43</v>
      </c>
      <c r="G1698" t="e">
        <v>#N/A</v>
      </c>
    </row>
    <row r="1699" spans="1:7" ht="11.5" hidden="1" customHeight="1" x14ac:dyDescent="0.35">
      <c r="A1699" s="29" t="s">
        <v>1926</v>
      </c>
      <c r="B1699" s="29" t="s">
        <v>3681</v>
      </c>
      <c r="C1699" s="16">
        <v>0</v>
      </c>
      <c r="D1699" s="16">
        <v>0</v>
      </c>
      <c r="E1699" s="29" t="s">
        <v>42</v>
      </c>
      <c r="F1699" s="29" t="s">
        <v>43</v>
      </c>
      <c r="G1699" t="e">
        <v>#N/A</v>
      </c>
    </row>
    <row r="1700" spans="1:7" ht="11.5" hidden="1" customHeight="1" x14ac:dyDescent="0.35">
      <c r="A1700" s="29" t="s">
        <v>1927</v>
      </c>
      <c r="B1700" s="29" t="s">
        <v>3682</v>
      </c>
      <c r="C1700" s="16">
        <v>0</v>
      </c>
      <c r="D1700" s="16">
        <v>0</v>
      </c>
      <c r="E1700" s="29" t="s">
        <v>42</v>
      </c>
      <c r="F1700" s="29" t="s">
        <v>43</v>
      </c>
      <c r="G1700" t="e">
        <v>#N/A</v>
      </c>
    </row>
    <row r="1701" spans="1:7" ht="11.5" hidden="1" customHeight="1" x14ac:dyDescent="0.35">
      <c r="A1701" s="29" t="s">
        <v>1928</v>
      </c>
      <c r="B1701" s="29" t="s">
        <v>3683</v>
      </c>
      <c r="C1701" s="16">
        <v>0</v>
      </c>
      <c r="D1701" s="16">
        <v>0</v>
      </c>
      <c r="E1701" s="29" t="s">
        <v>42</v>
      </c>
      <c r="F1701" s="29" t="s">
        <v>43</v>
      </c>
      <c r="G1701" t="e">
        <v>#N/A</v>
      </c>
    </row>
    <row r="1702" spans="1:7" ht="11.5" hidden="1" customHeight="1" x14ac:dyDescent="0.35">
      <c r="A1702" s="29" t="s">
        <v>1929</v>
      </c>
      <c r="B1702" s="29" t="s">
        <v>3684</v>
      </c>
      <c r="C1702" s="16">
        <v>0</v>
      </c>
      <c r="D1702" s="16">
        <v>0</v>
      </c>
      <c r="E1702" s="29" t="s">
        <v>42</v>
      </c>
      <c r="F1702" s="29" t="s">
        <v>43</v>
      </c>
      <c r="G1702" t="e">
        <v>#N/A</v>
      </c>
    </row>
    <row r="1703" spans="1:7" ht="11.5" hidden="1" customHeight="1" x14ac:dyDescent="0.35">
      <c r="A1703" s="29" t="s">
        <v>1930</v>
      </c>
      <c r="B1703" s="29" t="s">
        <v>3685</v>
      </c>
      <c r="C1703" s="16">
        <v>0</v>
      </c>
      <c r="D1703" s="16">
        <v>0</v>
      </c>
      <c r="E1703" s="29" t="s">
        <v>42</v>
      </c>
      <c r="F1703" s="29" t="s">
        <v>43</v>
      </c>
      <c r="G1703" t="e">
        <v>#N/A</v>
      </c>
    </row>
    <row r="1704" spans="1:7" ht="11.5" hidden="1" customHeight="1" x14ac:dyDescent="0.35">
      <c r="A1704" s="29" t="s">
        <v>1931</v>
      </c>
      <c r="B1704" s="29" t="s">
        <v>3686</v>
      </c>
      <c r="C1704" s="16">
        <v>0</v>
      </c>
      <c r="D1704" s="16">
        <v>0</v>
      </c>
      <c r="E1704" s="29" t="s">
        <v>42</v>
      </c>
      <c r="F1704" s="29" t="s">
        <v>43</v>
      </c>
      <c r="G1704" t="e">
        <v>#N/A</v>
      </c>
    </row>
    <row r="1705" spans="1:7" ht="11.5" hidden="1" customHeight="1" x14ac:dyDescent="0.35">
      <c r="A1705" s="29" t="s">
        <v>1932</v>
      </c>
      <c r="B1705" s="29" t="s">
        <v>3687</v>
      </c>
      <c r="C1705" s="16">
        <v>0</v>
      </c>
      <c r="D1705" s="16">
        <v>0</v>
      </c>
      <c r="E1705" s="29" t="s">
        <v>42</v>
      </c>
      <c r="F1705" s="29" t="s">
        <v>43</v>
      </c>
      <c r="G1705" t="e">
        <v>#N/A</v>
      </c>
    </row>
    <row r="1706" spans="1:7" ht="11.5" hidden="1" customHeight="1" x14ac:dyDescent="0.35">
      <c r="A1706" s="29" t="s">
        <v>1933</v>
      </c>
      <c r="B1706" s="29" t="s">
        <v>3688</v>
      </c>
      <c r="C1706" s="16">
        <v>0</v>
      </c>
      <c r="D1706" s="16">
        <v>0</v>
      </c>
      <c r="E1706" s="29" t="s">
        <v>42</v>
      </c>
      <c r="F1706" s="29" t="s">
        <v>43</v>
      </c>
      <c r="G1706" t="e">
        <v>#N/A</v>
      </c>
    </row>
    <row r="1707" spans="1:7" ht="11.5" hidden="1" customHeight="1" x14ac:dyDescent="0.35">
      <c r="A1707" s="29" t="s">
        <v>1934</v>
      </c>
      <c r="B1707" s="29" t="s">
        <v>3689</v>
      </c>
      <c r="C1707" s="16">
        <v>0</v>
      </c>
      <c r="D1707" s="16">
        <v>0</v>
      </c>
      <c r="E1707" s="29" t="s">
        <v>42</v>
      </c>
      <c r="F1707" s="29" t="s">
        <v>43</v>
      </c>
      <c r="G1707" t="e">
        <v>#N/A</v>
      </c>
    </row>
    <row r="1708" spans="1:7" ht="11.5" hidden="1" customHeight="1" x14ac:dyDescent="0.35">
      <c r="A1708" s="29" t="s">
        <v>1935</v>
      </c>
      <c r="B1708" s="29" t="s">
        <v>3690</v>
      </c>
      <c r="C1708" s="16">
        <v>0</v>
      </c>
      <c r="D1708" s="16">
        <v>0</v>
      </c>
      <c r="E1708" s="29" t="s">
        <v>42</v>
      </c>
      <c r="F1708" s="29" t="s">
        <v>43</v>
      </c>
      <c r="G1708" t="e">
        <v>#N/A</v>
      </c>
    </row>
    <row r="1709" spans="1:7" ht="11.5" hidden="1" customHeight="1" x14ac:dyDescent="0.35">
      <c r="A1709" s="29" t="s">
        <v>1936</v>
      </c>
      <c r="B1709" s="29" t="s">
        <v>3691</v>
      </c>
      <c r="C1709" s="16">
        <v>0</v>
      </c>
      <c r="D1709" s="16">
        <v>0</v>
      </c>
      <c r="E1709" s="29" t="s">
        <v>42</v>
      </c>
      <c r="F1709" s="29" t="s">
        <v>43</v>
      </c>
      <c r="G1709" t="e">
        <v>#N/A</v>
      </c>
    </row>
    <row r="1710" spans="1:7" ht="11.5" hidden="1" customHeight="1" x14ac:dyDescent="0.35">
      <c r="A1710" s="29" t="s">
        <v>1937</v>
      </c>
      <c r="B1710" s="29" t="s">
        <v>3692</v>
      </c>
      <c r="C1710" s="16">
        <v>0</v>
      </c>
      <c r="D1710" s="16">
        <v>0</v>
      </c>
      <c r="E1710" s="29" t="s">
        <v>42</v>
      </c>
      <c r="F1710" s="29" t="s">
        <v>43</v>
      </c>
      <c r="G1710" t="e">
        <v>#N/A</v>
      </c>
    </row>
    <row r="1711" spans="1:7" ht="11.5" hidden="1" customHeight="1" x14ac:dyDescent="0.35">
      <c r="A1711" s="29" t="s">
        <v>1938</v>
      </c>
      <c r="B1711" s="29" t="s">
        <v>3693</v>
      </c>
      <c r="C1711" s="16">
        <v>0</v>
      </c>
      <c r="D1711" s="16">
        <v>0</v>
      </c>
      <c r="E1711" s="29" t="s">
        <v>42</v>
      </c>
      <c r="F1711" s="29" t="s">
        <v>43</v>
      </c>
      <c r="G1711" t="e">
        <v>#N/A</v>
      </c>
    </row>
    <row r="1712" spans="1:7" ht="11.5" hidden="1" customHeight="1" x14ac:dyDescent="0.35">
      <c r="A1712" s="29" t="s">
        <v>1939</v>
      </c>
      <c r="B1712" s="29" t="s">
        <v>3694</v>
      </c>
      <c r="C1712" s="16">
        <v>0</v>
      </c>
      <c r="D1712" s="16">
        <v>0</v>
      </c>
      <c r="E1712" s="29" t="s">
        <v>42</v>
      </c>
      <c r="F1712" s="29" t="s">
        <v>43</v>
      </c>
      <c r="G1712" t="e">
        <v>#N/A</v>
      </c>
    </row>
    <row r="1713" spans="1:7" ht="11.5" hidden="1" customHeight="1" x14ac:dyDescent="0.35">
      <c r="A1713" s="29" t="s">
        <v>1940</v>
      </c>
      <c r="B1713" s="29" t="s">
        <v>3695</v>
      </c>
      <c r="C1713" s="16">
        <v>0</v>
      </c>
      <c r="D1713" s="16">
        <v>0</v>
      </c>
      <c r="E1713" s="29" t="s">
        <v>42</v>
      </c>
      <c r="F1713" s="29" t="s">
        <v>43</v>
      </c>
      <c r="G1713" t="e">
        <v>#N/A</v>
      </c>
    </row>
    <row r="1714" spans="1:7" ht="11.5" hidden="1" customHeight="1" x14ac:dyDescent="0.35">
      <c r="A1714" s="29" t="s">
        <v>1941</v>
      </c>
      <c r="B1714" s="29" t="s">
        <v>3696</v>
      </c>
      <c r="C1714" s="16">
        <v>0</v>
      </c>
      <c r="D1714" s="16">
        <v>0</v>
      </c>
      <c r="E1714" s="29" t="s">
        <v>42</v>
      </c>
      <c r="F1714" s="29" t="s">
        <v>43</v>
      </c>
      <c r="G1714" t="e">
        <v>#N/A</v>
      </c>
    </row>
    <row r="1715" spans="1:7" ht="11.5" hidden="1" customHeight="1" x14ac:dyDescent="0.35">
      <c r="A1715" s="29" t="s">
        <v>1942</v>
      </c>
      <c r="B1715" s="29" t="s">
        <v>3697</v>
      </c>
      <c r="C1715" s="16">
        <v>0</v>
      </c>
      <c r="D1715" s="16">
        <v>0</v>
      </c>
      <c r="E1715" s="29" t="s">
        <v>42</v>
      </c>
      <c r="F1715" s="29" t="s">
        <v>43</v>
      </c>
      <c r="G1715" t="e">
        <v>#N/A</v>
      </c>
    </row>
    <row r="1716" spans="1:7" ht="11.5" hidden="1" customHeight="1" x14ac:dyDescent="0.35">
      <c r="A1716" s="29" t="s">
        <v>1943</v>
      </c>
      <c r="B1716" s="29" t="s">
        <v>3698</v>
      </c>
      <c r="C1716" s="16">
        <v>0</v>
      </c>
      <c r="D1716" s="16">
        <v>0</v>
      </c>
      <c r="E1716" s="29" t="s">
        <v>42</v>
      </c>
      <c r="F1716" s="29" t="s">
        <v>43</v>
      </c>
      <c r="G1716" t="e">
        <v>#N/A</v>
      </c>
    </row>
    <row r="1717" spans="1:7" ht="11.5" hidden="1" customHeight="1" x14ac:dyDescent="0.35">
      <c r="A1717" s="29" t="s">
        <v>1944</v>
      </c>
      <c r="B1717" s="29" t="s">
        <v>3699</v>
      </c>
      <c r="C1717" s="16">
        <v>0</v>
      </c>
      <c r="D1717" s="16">
        <v>0</v>
      </c>
      <c r="E1717" s="29" t="s">
        <v>42</v>
      </c>
      <c r="F1717" s="29" t="s">
        <v>43</v>
      </c>
      <c r="G1717" t="e">
        <v>#N/A</v>
      </c>
    </row>
    <row r="1718" spans="1:7" ht="11.5" hidden="1" customHeight="1" x14ac:dyDescent="0.35">
      <c r="A1718" s="29" t="s">
        <v>1945</v>
      </c>
      <c r="B1718" s="29" t="s">
        <v>3700</v>
      </c>
      <c r="C1718" s="16">
        <v>0</v>
      </c>
      <c r="D1718" s="16">
        <v>0</v>
      </c>
      <c r="E1718" s="29" t="s">
        <v>42</v>
      </c>
      <c r="F1718" s="29" t="s">
        <v>43</v>
      </c>
      <c r="G1718" t="e">
        <v>#N/A</v>
      </c>
    </row>
    <row r="1719" spans="1:7" ht="11.5" hidden="1" customHeight="1" x14ac:dyDescent="0.35">
      <c r="A1719" s="29" t="s">
        <v>1946</v>
      </c>
      <c r="B1719" s="29" t="s">
        <v>3701</v>
      </c>
      <c r="C1719" s="16">
        <v>0</v>
      </c>
      <c r="D1719" s="16">
        <v>0</v>
      </c>
      <c r="E1719" s="29" t="s">
        <v>42</v>
      </c>
      <c r="F1719" s="29" t="s">
        <v>43</v>
      </c>
      <c r="G1719" t="e">
        <v>#N/A</v>
      </c>
    </row>
    <row r="1720" spans="1:7" ht="11.5" hidden="1" customHeight="1" x14ac:dyDescent="0.35">
      <c r="A1720" s="29" t="s">
        <v>1947</v>
      </c>
      <c r="B1720" s="29" t="s">
        <v>3702</v>
      </c>
      <c r="C1720" s="16">
        <v>0</v>
      </c>
      <c r="D1720" s="16">
        <v>0</v>
      </c>
      <c r="E1720" s="29" t="s">
        <v>42</v>
      </c>
      <c r="F1720" s="29" t="s">
        <v>43</v>
      </c>
      <c r="G1720" t="e">
        <v>#N/A</v>
      </c>
    </row>
    <row r="1721" spans="1:7" ht="11.5" hidden="1" customHeight="1" x14ac:dyDescent="0.35">
      <c r="A1721" s="29" t="s">
        <v>1948</v>
      </c>
      <c r="B1721" s="29" t="s">
        <v>3703</v>
      </c>
      <c r="C1721" s="16">
        <v>0</v>
      </c>
      <c r="D1721" s="16">
        <v>0</v>
      </c>
      <c r="E1721" s="29" t="s">
        <v>42</v>
      </c>
      <c r="F1721" s="29" t="s">
        <v>43</v>
      </c>
      <c r="G1721" t="e">
        <v>#N/A</v>
      </c>
    </row>
    <row r="1722" spans="1:7" ht="11.5" hidden="1" customHeight="1" x14ac:dyDescent="0.35">
      <c r="A1722" s="29" t="s">
        <v>1949</v>
      </c>
      <c r="B1722" s="29" t="s">
        <v>3704</v>
      </c>
      <c r="C1722" s="16">
        <v>0</v>
      </c>
      <c r="D1722" s="16">
        <v>0</v>
      </c>
      <c r="E1722" s="29" t="s">
        <v>42</v>
      </c>
      <c r="F1722" s="29" t="s">
        <v>43</v>
      </c>
      <c r="G1722" t="e">
        <v>#N/A</v>
      </c>
    </row>
    <row r="1723" spans="1:7" ht="11.5" hidden="1" customHeight="1" x14ac:dyDescent="0.35">
      <c r="A1723" s="29" t="s">
        <v>1950</v>
      </c>
      <c r="B1723" s="29" t="s">
        <v>3705</v>
      </c>
      <c r="C1723" s="16">
        <v>0</v>
      </c>
      <c r="D1723" s="16">
        <v>0</v>
      </c>
      <c r="E1723" s="29" t="s">
        <v>42</v>
      </c>
      <c r="F1723" s="29" t="s">
        <v>43</v>
      </c>
      <c r="G1723" t="e">
        <v>#N/A</v>
      </c>
    </row>
    <row r="1724" spans="1:7" ht="11.5" hidden="1" customHeight="1" x14ac:dyDescent="0.35">
      <c r="A1724" s="29" t="s">
        <v>1951</v>
      </c>
      <c r="B1724" s="29" t="s">
        <v>3706</v>
      </c>
      <c r="C1724" s="16">
        <v>0</v>
      </c>
      <c r="D1724" s="16">
        <v>0</v>
      </c>
      <c r="E1724" s="29" t="s">
        <v>42</v>
      </c>
      <c r="F1724" s="29" t="s">
        <v>43</v>
      </c>
      <c r="G1724" t="e">
        <v>#N/A</v>
      </c>
    </row>
    <row r="1725" spans="1:7" ht="11.5" hidden="1" customHeight="1" x14ac:dyDescent="0.35">
      <c r="A1725" s="29" t="s">
        <v>1952</v>
      </c>
      <c r="B1725" s="29" t="s">
        <v>3707</v>
      </c>
      <c r="C1725" s="16">
        <v>0</v>
      </c>
      <c r="D1725" s="16">
        <v>0</v>
      </c>
      <c r="E1725" s="29" t="s">
        <v>42</v>
      </c>
      <c r="F1725" s="29" t="s">
        <v>43</v>
      </c>
      <c r="G1725" t="e">
        <v>#N/A</v>
      </c>
    </row>
    <row r="1726" spans="1:7" ht="11.5" hidden="1" customHeight="1" x14ac:dyDescent="0.35">
      <c r="A1726" s="29" t="s">
        <v>1953</v>
      </c>
      <c r="B1726" s="29" t="s">
        <v>3708</v>
      </c>
      <c r="C1726" s="16">
        <v>0</v>
      </c>
      <c r="D1726" s="16">
        <v>0</v>
      </c>
      <c r="E1726" s="29" t="s">
        <v>42</v>
      </c>
      <c r="F1726" s="29" t="s">
        <v>43</v>
      </c>
      <c r="G1726" t="e">
        <v>#N/A</v>
      </c>
    </row>
    <row r="1727" spans="1:7" ht="11.5" hidden="1" customHeight="1" x14ac:dyDescent="0.35">
      <c r="A1727" s="29" t="s">
        <v>1954</v>
      </c>
      <c r="B1727" s="29" t="s">
        <v>3709</v>
      </c>
      <c r="C1727" s="16">
        <v>0</v>
      </c>
      <c r="D1727" s="16">
        <v>0</v>
      </c>
      <c r="E1727" s="29" t="s">
        <v>42</v>
      </c>
      <c r="F1727" s="29" t="s">
        <v>43</v>
      </c>
      <c r="G1727" t="e">
        <v>#N/A</v>
      </c>
    </row>
    <row r="1728" spans="1:7" ht="11.5" hidden="1" customHeight="1" x14ac:dyDescent="0.35">
      <c r="A1728" s="29" t="s">
        <v>1955</v>
      </c>
      <c r="B1728" s="29" t="s">
        <v>3710</v>
      </c>
      <c r="C1728" s="16">
        <v>0</v>
      </c>
      <c r="D1728" s="16">
        <v>0</v>
      </c>
      <c r="E1728" s="29" t="s">
        <v>42</v>
      </c>
      <c r="F1728" s="29" t="s">
        <v>43</v>
      </c>
      <c r="G1728" t="e">
        <v>#N/A</v>
      </c>
    </row>
    <row r="1729" spans="1:7" ht="11.5" hidden="1" customHeight="1" x14ac:dyDescent="0.35">
      <c r="A1729" s="29" t="s">
        <v>1956</v>
      </c>
      <c r="B1729" s="29" t="s">
        <v>3711</v>
      </c>
      <c r="C1729" s="16">
        <v>0</v>
      </c>
      <c r="D1729" s="16">
        <v>0</v>
      </c>
      <c r="E1729" s="29" t="s">
        <v>42</v>
      </c>
      <c r="F1729" s="29" t="s">
        <v>43</v>
      </c>
      <c r="G1729" t="e">
        <v>#N/A</v>
      </c>
    </row>
    <row r="1730" spans="1:7" ht="11.5" hidden="1" customHeight="1" x14ac:dyDescent="0.35">
      <c r="A1730" s="29" t="s">
        <v>1957</v>
      </c>
      <c r="B1730" s="29" t="s">
        <v>3712</v>
      </c>
      <c r="C1730" s="16">
        <v>0</v>
      </c>
      <c r="D1730" s="16">
        <v>0</v>
      </c>
      <c r="E1730" s="29" t="s">
        <v>42</v>
      </c>
      <c r="F1730" s="29" t="s">
        <v>43</v>
      </c>
      <c r="G1730" t="e">
        <v>#N/A</v>
      </c>
    </row>
    <row r="1731" spans="1:7" ht="11.5" hidden="1" customHeight="1" x14ac:dyDescent="0.35">
      <c r="A1731" s="29" t="s">
        <v>1958</v>
      </c>
      <c r="B1731" s="29" t="s">
        <v>3713</v>
      </c>
      <c r="C1731" s="16">
        <v>0</v>
      </c>
      <c r="D1731" s="16">
        <v>0</v>
      </c>
      <c r="E1731" s="29" t="s">
        <v>42</v>
      </c>
      <c r="F1731" s="29" t="s">
        <v>43</v>
      </c>
      <c r="G1731" t="e">
        <v>#N/A</v>
      </c>
    </row>
    <row r="1732" spans="1:7" ht="11.5" hidden="1" customHeight="1" x14ac:dyDescent="0.35">
      <c r="A1732" s="29" t="s">
        <v>1959</v>
      </c>
      <c r="B1732" s="29" t="s">
        <v>3714</v>
      </c>
      <c r="C1732" s="16">
        <v>0</v>
      </c>
      <c r="D1732" s="16">
        <v>0</v>
      </c>
      <c r="E1732" s="29" t="s">
        <v>42</v>
      </c>
      <c r="F1732" s="29" t="s">
        <v>43</v>
      </c>
      <c r="G1732" t="e">
        <v>#N/A</v>
      </c>
    </row>
    <row r="1733" spans="1:7" ht="11.5" hidden="1" customHeight="1" x14ac:dyDescent="0.35">
      <c r="A1733" s="29" t="s">
        <v>1960</v>
      </c>
      <c r="B1733" s="29" t="s">
        <v>3715</v>
      </c>
      <c r="C1733" s="16">
        <v>0</v>
      </c>
      <c r="D1733" s="16">
        <v>0</v>
      </c>
      <c r="E1733" s="29" t="s">
        <v>42</v>
      </c>
      <c r="F1733" s="29" t="s">
        <v>43</v>
      </c>
      <c r="G1733" t="e">
        <v>#N/A</v>
      </c>
    </row>
    <row r="1734" spans="1:7" ht="11.5" hidden="1" customHeight="1" x14ac:dyDescent="0.35">
      <c r="A1734" s="29" t="s">
        <v>1961</v>
      </c>
      <c r="B1734" s="29" t="s">
        <v>3715</v>
      </c>
      <c r="C1734" s="16">
        <v>0</v>
      </c>
      <c r="D1734" s="16">
        <v>0</v>
      </c>
      <c r="E1734" s="29" t="s">
        <v>42</v>
      </c>
      <c r="F1734" s="29" t="s">
        <v>43</v>
      </c>
      <c r="G1734" t="e">
        <v>#N/A</v>
      </c>
    </row>
    <row r="1735" spans="1:7" ht="11.5" hidden="1" customHeight="1" x14ac:dyDescent="0.35">
      <c r="A1735" s="29" t="s">
        <v>1962</v>
      </c>
      <c r="B1735" s="29" t="s">
        <v>3716</v>
      </c>
      <c r="C1735" s="16">
        <v>0</v>
      </c>
      <c r="D1735" s="16">
        <v>0</v>
      </c>
      <c r="E1735" s="29" t="s">
        <v>42</v>
      </c>
      <c r="F1735" s="29" t="s">
        <v>43</v>
      </c>
      <c r="G1735" t="e">
        <v>#N/A</v>
      </c>
    </row>
    <row r="1736" spans="1:7" ht="11.5" hidden="1" customHeight="1" x14ac:dyDescent="0.35">
      <c r="A1736" s="29" t="s">
        <v>1963</v>
      </c>
      <c r="B1736" s="29" t="s">
        <v>3717</v>
      </c>
      <c r="C1736" s="16">
        <v>0</v>
      </c>
      <c r="D1736" s="16">
        <v>0</v>
      </c>
      <c r="E1736" s="29" t="s">
        <v>42</v>
      </c>
      <c r="F1736" s="29" t="s">
        <v>43</v>
      </c>
      <c r="G1736" t="e">
        <v>#N/A</v>
      </c>
    </row>
    <row r="1737" spans="1:7" ht="11.5" hidden="1" customHeight="1" x14ac:dyDescent="0.35">
      <c r="A1737" s="29" t="s">
        <v>1964</v>
      </c>
      <c r="B1737" s="29" t="s">
        <v>3718</v>
      </c>
      <c r="C1737" s="16">
        <v>0</v>
      </c>
      <c r="D1737" s="16">
        <v>0</v>
      </c>
      <c r="E1737" s="29" t="s">
        <v>42</v>
      </c>
      <c r="F1737" s="29" t="s">
        <v>43</v>
      </c>
      <c r="G1737" t="e">
        <v>#N/A</v>
      </c>
    </row>
    <row r="1738" spans="1:7" ht="11.5" hidden="1" customHeight="1" x14ac:dyDescent="0.35">
      <c r="A1738" s="29" t="s">
        <v>1965</v>
      </c>
      <c r="B1738" s="29" t="s">
        <v>3719</v>
      </c>
      <c r="C1738" s="16">
        <v>0</v>
      </c>
      <c r="D1738" s="16">
        <v>0</v>
      </c>
      <c r="E1738" s="29" t="s">
        <v>42</v>
      </c>
      <c r="F1738" s="29" t="s">
        <v>43</v>
      </c>
      <c r="G1738" t="e">
        <v>#N/A</v>
      </c>
    </row>
    <row r="1739" spans="1:7" ht="11.5" hidden="1" customHeight="1" x14ac:dyDescent="0.35">
      <c r="A1739" s="29" t="s">
        <v>1966</v>
      </c>
      <c r="B1739" s="29" t="s">
        <v>3720</v>
      </c>
      <c r="C1739" s="16">
        <v>0</v>
      </c>
      <c r="D1739" s="16">
        <v>0</v>
      </c>
      <c r="E1739" s="29" t="s">
        <v>42</v>
      </c>
      <c r="F1739" s="29" t="s">
        <v>43</v>
      </c>
      <c r="G1739" t="e">
        <v>#N/A</v>
      </c>
    </row>
    <row r="1740" spans="1:7" ht="11.5" hidden="1" customHeight="1" x14ac:dyDescent="0.35">
      <c r="A1740" s="29" t="s">
        <v>1967</v>
      </c>
      <c r="B1740" s="29" t="s">
        <v>3721</v>
      </c>
      <c r="C1740" s="16">
        <v>0</v>
      </c>
      <c r="D1740" s="16">
        <v>0</v>
      </c>
      <c r="E1740" s="29" t="s">
        <v>42</v>
      </c>
      <c r="F1740" s="29" t="s">
        <v>43</v>
      </c>
      <c r="G1740" t="e">
        <v>#N/A</v>
      </c>
    </row>
    <row r="1741" spans="1:7" ht="11.5" hidden="1" customHeight="1" x14ac:dyDescent="0.35">
      <c r="A1741" s="29" t="s">
        <v>1968</v>
      </c>
      <c r="B1741" s="29" t="s">
        <v>3722</v>
      </c>
      <c r="C1741" s="16">
        <v>0</v>
      </c>
      <c r="D1741" s="16">
        <v>0</v>
      </c>
      <c r="E1741" s="29" t="s">
        <v>42</v>
      </c>
      <c r="F1741" s="29" t="s">
        <v>43</v>
      </c>
      <c r="G1741" t="e">
        <v>#N/A</v>
      </c>
    </row>
    <row r="1742" spans="1:7" ht="11.5" hidden="1" customHeight="1" x14ac:dyDescent="0.35">
      <c r="A1742" s="29" t="s">
        <v>1969</v>
      </c>
      <c r="B1742" s="29" t="s">
        <v>3723</v>
      </c>
      <c r="C1742" s="16">
        <v>0</v>
      </c>
      <c r="D1742" s="16">
        <v>0</v>
      </c>
      <c r="E1742" s="29" t="s">
        <v>42</v>
      </c>
      <c r="F1742" s="29" t="s">
        <v>43</v>
      </c>
      <c r="G1742" t="e">
        <v>#N/A</v>
      </c>
    </row>
    <row r="1743" spans="1:7" ht="11.5" hidden="1" customHeight="1" x14ac:dyDescent="0.35">
      <c r="A1743" s="29" t="s">
        <v>1970</v>
      </c>
      <c r="B1743" s="29" t="s">
        <v>3724</v>
      </c>
      <c r="C1743" s="16">
        <v>0</v>
      </c>
      <c r="D1743" s="16">
        <v>0</v>
      </c>
      <c r="E1743" s="29" t="s">
        <v>42</v>
      </c>
      <c r="F1743" s="29" t="s">
        <v>43</v>
      </c>
      <c r="G1743" t="e">
        <v>#N/A</v>
      </c>
    </row>
    <row r="1744" spans="1:7" ht="11.5" hidden="1" customHeight="1" x14ac:dyDescent="0.35">
      <c r="A1744" s="29" t="s">
        <v>1971</v>
      </c>
      <c r="B1744" s="29" t="s">
        <v>3725</v>
      </c>
      <c r="C1744" s="16">
        <v>0</v>
      </c>
      <c r="D1744" s="16">
        <v>0</v>
      </c>
      <c r="E1744" s="29" t="s">
        <v>42</v>
      </c>
      <c r="F1744" s="29" t="s">
        <v>43</v>
      </c>
      <c r="G1744" t="e">
        <v>#N/A</v>
      </c>
    </row>
    <row r="1745" spans="1:7" ht="11.5" hidden="1" customHeight="1" x14ac:dyDescent="0.35">
      <c r="A1745" s="29" t="s">
        <v>1972</v>
      </c>
      <c r="B1745" s="29" t="s">
        <v>3726</v>
      </c>
      <c r="C1745" s="16">
        <v>0</v>
      </c>
      <c r="D1745" s="16">
        <v>0</v>
      </c>
      <c r="E1745" s="29" t="s">
        <v>42</v>
      </c>
      <c r="F1745" s="29" t="s">
        <v>43</v>
      </c>
      <c r="G1745" t="e">
        <v>#N/A</v>
      </c>
    </row>
    <row r="1746" spans="1:7" ht="11.5" hidden="1" customHeight="1" x14ac:dyDescent="0.35">
      <c r="A1746" s="29" t="s">
        <v>1973</v>
      </c>
      <c r="B1746" s="29" t="s">
        <v>3727</v>
      </c>
      <c r="C1746" s="16">
        <v>0</v>
      </c>
      <c r="D1746" s="16">
        <v>0</v>
      </c>
      <c r="E1746" s="29" t="s">
        <v>42</v>
      </c>
      <c r="F1746" s="29" t="s">
        <v>43</v>
      </c>
      <c r="G1746" t="e">
        <v>#N/A</v>
      </c>
    </row>
    <row r="1747" spans="1:7" ht="11.5" hidden="1" customHeight="1" x14ac:dyDescent="0.35">
      <c r="A1747" s="29" t="s">
        <v>1974</v>
      </c>
      <c r="B1747" s="29" t="s">
        <v>3728</v>
      </c>
      <c r="C1747" s="16">
        <v>0</v>
      </c>
      <c r="D1747" s="16">
        <v>0</v>
      </c>
      <c r="E1747" s="29" t="s">
        <v>42</v>
      </c>
      <c r="F1747" s="29" t="s">
        <v>43</v>
      </c>
      <c r="G1747" t="e">
        <v>#N/A</v>
      </c>
    </row>
    <row r="1748" spans="1:7" ht="11.5" hidden="1" customHeight="1" x14ac:dyDescent="0.35">
      <c r="A1748" s="29" t="s">
        <v>1975</v>
      </c>
      <c r="B1748" s="29" t="s">
        <v>3729</v>
      </c>
      <c r="C1748" s="16">
        <v>0</v>
      </c>
      <c r="D1748" s="16">
        <v>0</v>
      </c>
      <c r="E1748" s="29" t="s">
        <v>42</v>
      </c>
      <c r="F1748" s="29" t="s">
        <v>43</v>
      </c>
      <c r="G1748" t="e">
        <v>#N/A</v>
      </c>
    </row>
    <row r="1749" spans="1:7" ht="11.5" hidden="1" customHeight="1" x14ac:dyDescent="0.35">
      <c r="A1749" s="29" t="s">
        <v>1976</v>
      </c>
      <c r="B1749" s="29" t="s">
        <v>3730</v>
      </c>
      <c r="C1749" s="16">
        <v>0</v>
      </c>
      <c r="D1749" s="16">
        <v>0</v>
      </c>
      <c r="E1749" s="29" t="s">
        <v>42</v>
      </c>
      <c r="F1749" s="29" t="s">
        <v>43</v>
      </c>
      <c r="G1749" t="e">
        <v>#N/A</v>
      </c>
    </row>
    <row r="1750" spans="1:7" ht="11.5" hidden="1" customHeight="1" x14ac:dyDescent="0.35">
      <c r="A1750" s="29" t="s">
        <v>1977</v>
      </c>
      <c r="B1750" s="29" t="s">
        <v>3731</v>
      </c>
      <c r="C1750" s="16">
        <v>0</v>
      </c>
      <c r="D1750" s="16">
        <v>0</v>
      </c>
      <c r="E1750" s="29" t="s">
        <v>42</v>
      </c>
      <c r="F1750" s="29" t="s">
        <v>43</v>
      </c>
      <c r="G1750" t="e">
        <v>#N/A</v>
      </c>
    </row>
    <row r="1751" spans="1:7" ht="11.5" hidden="1" customHeight="1" x14ac:dyDescent="0.35">
      <c r="A1751" s="29" t="s">
        <v>1978</v>
      </c>
      <c r="B1751" s="29" t="s">
        <v>3732</v>
      </c>
      <c r="C1751" s="16">
        <v>0</v>
      </c>
      <c r="D1751" s="16">
        <v>0</v>
      </c>
      <c r="E1751" s="29" t="s">
        <v>42</v>
      </c>
      <c r="F1751" s="29" t="s">
        <v>43</v>
      </c>
      <c r="G1751" t="e">
        <v>#N/A</v>
      </c>
    </row>
    <row r="1752" spans="1:7" ht="11.5" hidden="1" customHeight="1" x14ac:dyDescent="0.35">
      <c r="A1752" s="29" t="s">
        <v>1979</v>
      </c>
      <c r="B1752" s="29" t="s">
        <v>3733</v>
      </c>
      <c r="C1752" s="16">
        <v>0</v>
      </c>
      <c r="D1752" s="16">
        <v>0</v>
      </c>
      <c r="E1752" s="29" t="s">
        <v>42</v>
      </c>
      <c r="F1752" s="29" t="s">
        <v>43</v>
      </c>
      <c r="G1752" t="e">
        <v>#N/A</v>
      </c>
    </row>
    <row r="1753" spans="1:7" ht="11.5" hidden="1" customHeight="1" x14ac:dyDescent="0.35">
      <c r="A1753" s="29" t="s">
        <v>1980</v>
      </c>
      <c r="B1753" s="29" t="s">
        <v>3734</v>
      </c>
      <c r="C1753" s="16">
        <v>0</v>
      </c>
      <c r="D1753" s="16">
        <v>0</v>
      </c>
      <c r="E1753" s="29" t="s">
        <v>42</v>
      </c>
      <c r="F1753" s="29" t="s">
        <v>43</v>
      </c>
      <c r="G1753" t="e">
        <v>#N/A</v>
      </c>
    </row>
    <row r="1754" spans="1:7" ht="11.5" hidden="1" customHeight="1" x14ac:dyDescent="0.35">
      <c r="A1754" s="29" t="s">
        <v>1981</v>
      </c>
      <c r="B1754" s="29" t="s">
        <v>3735</v>
      </c>
      <c r="C1754" s="16">
        <v>0</v>
      </c>
      <c r="D1754" s="16">
        <v>0</v>
      </c>
      <c r="E1754" s="29" t="s">
        <v>42</v>
      </c>
      <c r="F1754" s="29" t="s">
        <v>43</v>
      </c>
      <c r="G1754" t="e">
        <v>#N/A</v>
      </c>
    </row>
    <row r="1755" spans="1:7" ht="11.5" hidden="1" customHeight="1" x14ac:dyDescent="0.35">
      <c r="A1755" s="29" t="s">
        <v>1982</v>
      </c>
      <c r="B1755" s="29" t="s">
        <v>3736</v>
      </c>
      <c r="C1755" s="16">
        <v>0</v>
      </c>
      <c r="D1755" s="16">
        <v>0</v>
      </c>
      <c r="E1755" s="29" t="s">
        <v>42</v>
      </c>
      <c r="F1755" s="29" t="s">
        <v>43</v>
      </c>
      <c r="G1755" t="e">
        <v>#N/A</v>
      </c>
    </row>
    <row r="1756" spans="1:7" ht="11.5" hidden="1" customHeight="1" x14ac:dyDescent="0.35">
      <c r="A1756" s="29" t="s">
        <v>1983</v>
      </c>
      <c r="B1756" s="29" t="s">
        <v>3737</v>
      </c>
      <c r="C1756" s="16">
        <v>0</v>
      </c>
      <c r="D1756" s="16">
        <v>0</v>
      </c>
      <c r="E1756" s="29" t="s">
        <v>42</v>
      </c>
      <c r="F1756" s="29" t="s">
        <v>43</v>
      </c>
      <c r="G1756" t="e">
        <v>#N/A</v>
      </c>
    </row>
    <row r="1757" spans="1:7" ht="11.5" hidden="1" customHeight="1" x14ac:dyDescent="0.35">
      <c r="A1757" s="29" t="s">
        <v>1984</v>
      </c>
      <c r="B1757" s="29" t="s">
        <v>3738</v>
      </c>
      <c r="C1757" s="16">
        <v>0</v>
      </c>
      <c r="D1757" s="16">
        <v>0</v>
      </c>
      <c r="E1757" s="29" t="s">
        <v>42</v>
      </c>
      <c r="F1757" s="29" t="s">
        <v>43</v>
      </c>
      <c r="G1757" t="e">
        <v>#N/A</v>
      </c>
    </row>
    <row r="1758" spans="1:7" ht="11.5" hidden="1" customHeight="1" x14ac:dyDescent="0.35">
      <c r="A1758" s="29" t="s">
        <v>1985</v>
      </c>
      <c r="B1758" s="29" t="s">
        <v>3739</v>
      </c>
      <c r="C1758" s="16">
        <v>0</v>
      </c>
      <c r="D1758" s="16">
        <v>0</v>
      </c>
      <c r="E1758" s="29" t="s">
        <v>42</v>
      </c>
      <c r="F1758" s="29" t="s">
        <v>43</v>
      </c>
      <c r="G1758" t="e">
        <v>#N/A</v>
      </c>
    </row>
    <row r="1759" spans="1:7" ht="11.5" hidden="1" customHeight="1" x14ac:dyDescent="0.35">
      <c r="A1759" s="29" t="s">
        <v>1986</v>
      </c>
      <c r="B1759" s="29" t="s">
        <v>3740</v>
      </c>
      <c r="C1759" s="16">
        <v>0</v>
      </c>
      <c r="D1759" s="16">
        <v>0</v>
      </c>
      <c r="E1759" s="29" t="s">
        <v>42</v>
      </c>
      <c r="F1759" s="29" t="s">
        <v>43</v>
      </c>
      <c r="G1759" t="e">
        <v>#N/A</v>
      </c>
    </row>
    <row r="1760" spans="1:7" ht="11.5" hidden="1" customHeight="1" x14ac:dyDescent="0.35">
      <c r="A1760" s="29" t="s">
        <v>1987</v>
      </c>
      <c r="B1760" s="29" t="s">
        <v>3741</v>
      </c>
      <c r="C1760" s="16">
        <v>0</v>
      </c>
      <c r="D1760" s="16">
        <v>0</v>
      </c>
      <c r="E1760" s="29" t="s">
        <v>42</v>
      </c>
      <c r="F1760" s="29" t="s">
        <v>43</v>
      </c>
      <c r="G1760" t="e">
        <v>#N/A</v>
      </c>
    </row>
    <row r="1761" spans="1:7" ht="11.5" hidden="1" customHeight="1" x14ac:dyDescent="0.35">
      <c r="A1761" s="29" t="s">
        <v>1988</v>
      </c>
      <c r="B1761" s="29" t="s">
        <v>3742</v>
      </c>
      <c r="C1761" s="16">
        <v>0</v>
      </c>
      <c r="D1761" s="16">
        <v>0</v>
      </c>
      <c r="E1761" s="29" t="s">
        <v>42</v>
      </c>
      <c r="F1761" s="29" t="s">
        <v>43</v>
      </c>
      <c r="G1761" t="e">
        <v>#N/A</v>
      </c>
    </row>
    <row r="1762" spans="1:7" ht="11.5" hidden="1" customHeight="1" x14ac:dyDescent="0.35">
      <c r="A1762" s="29" t="s">
        <v>1989</v>
      </c>
      <c r="B1762" s="29" t="s">
        <v>3743</v>
      </c>
      <c r="C1762" s="16">
        <v>0</v>
      </c>
      <c r="D1762" s="16">
        <v>0</v>
      </c>
      <c r="E1762" s="29" t="s">
        <v>42</v>
      </c>
      <c r="F1762" s="29" t="s">
        <v>43</v>
      </c>
      <c r="G1762" t="e">
        <v>#N/A</v>
      </c>
    </row>
    <row r="1763" spans="1:7" ht="11.5" hidden="1" customHeight="1" x14ac:dyDescent="0.35">
      <c r="A1763" s="29" t="s">
        <v>1990</v>
      </c>
      <c r="B1763" s="29" t="s">
        <v>3744</v>
      </c>
      <c r="C1763" s="16">
        <v>0</v>
      </c>
      <c r="D1763" s="16">
        <v>0</v>
      </c>
      <c r="E1763" s="29" t="s">
        <v>42</v>
      </c>
      <c r="F1763" s="29" t="s">
        <v>43</v>
      </c>
      <c r="G1763" t="e">
        <v>#N/A</v>
      </c>
    </row>
    <row r="1764" spans="1:7" ht="11.5" hidden="1" customHeight="1" x14ac:dyDescent="0.35">
      <c r="A1764" s="29" t="s">
        <v>1991</v>
      </c>
      <c r="B1764" s="29" t="s">
        <v>3745</v>
      </c>
      <c r="C1764" s="16">
        <v>0</v>
      </c>
      <c r="D1764" s="16">
        <v>0</v>
      </c>
      <c r="E1764" s="29" t="s">
        <v>42</v>
      </c>
      <c r="F1764" s="29" t="s">
        <v>43</v>
      </c>
      <c r="G1764" t="e">
        <v>#N/A</v>
      </c>
    </row>
    <row r="1765" spans="1:7" ht="11.5" hidden="1" customHeight="1" x14ac:dyDescent="0.35">
      <c r="A1765" s="29" t="s">
        <v>1992</v>
      </c>
      <c r="B1765" s="29" t="s">
        <v>3746</v>
      </c>
      <c r="C1765" s="16">
        <v>0</v>
      </c>
      <c r="D1765" s="16">
        <v>0</v>
      </c>
      <c r="E1765" s="29" t="s">
        <v>42</v>
      </c>
      <c r="F1765" s="29" t="s">
        <v>43</v>
      </c>
      <c r="G1765" t="e">
        <v>#N/A</v>
      </c>
    </row>
    <row r="1766" spans="1:7" ht="11.5" hidden="1" customHeight="1" x14ac:dyDescent="0.35">
      <c r="A1766" s="29" t="s">
        <v>1993</v>
      </c>
      <c r="B1766" s="29" t="s">
        <v>3747</v>
      </c>
      <c r="C1766" s="16">
        <v>0</v>
      </c>
      <c r="D1766" s="16">
        <v>0</v>
      </c>
      <c r="E1766" s="29" t="s">
        <v>42</v>
      </c>
      <c r="F1766" s="29" t="s">
        <v>43</v>
      </c>
      <c r="G1766" t="e">
        <v>#N/A</v>
      </c>
    </row>
    <row r="1767" spans="1:7" ht="11.5" hidden="1" customHeight="1" x14ac:dyDescent="0.35">
      <c r="A1767" s="29" t="s">
        <v>1994</v>
      </c>
      <c r="B1767" s="29" t="s">
        <v>3748</v>
      </c>
      <c r="C1767" s="16">
        <v>0</v>
      </c>
      <c r="D1767" s="16">
        <v>0</v>
      </c>
      <c r="E1767" s="29" t="s">
        <v>42</v>
      </c>
      <c r="F1767" s="29" t="s">
        <v>43</v>
      </c>
      <c r="G1767" t="e">
        <v>#N/A</v>
      </c>
    </row>
    <row r="1768" spans="1:7" ht="11.5" hidden="1" customHeight="1" x14ac:dyDescent="0.35">
      <c r="A1768" s="29" t="s">
        <v>1995</v>
      </c>
      <c r="B1768" s="29" t="s">
        <v>3749</v>
      </c>
      <c r="C1768" s="16">
        <v>0</v>
      </c>
      <c r="D1768" s="16">
        <v>0</v>
      </c>
      <c r="E1768" s="29" t="s">
        <v>42</v>
      </c>
      <c r="F1768" s="29" t="s">
        <v>43</v>
      </c>
      <c r="G1768" t="e">
        <v>#N/A</v>
      </c>
    </row>
    <row r="1769" spans="1:7" ht="11.5" hidden="1" customHeight="1" x14ac:dyDescent="0.35">
      <c r="A1769" s="29" t="s">
        <v>1996</v>
      </c>
      <c r="B1769" s="29" t="s">
        <v>3750</v>
      </c>
      <c r="C1769" s="16">
        <v>0</v>
      </c>
      <c r="D1769" s="16">
        <v>0</v>
      </c>
      <c r="E1769" s="29" t="s">
        <v>42</v>
      </c>
      <c r="F1769" s="29" t="s">
        <v>43</v>
      </c>
      <c r="G1769" t="e">
        <v>#N/A</v>
      </c>
    </row>
    <row r="1770" spans="1:7" ht="11.5" hidden="1" customHeight="1" x14ac:dyDescent="0.35">
      <c r="A1770" s="29" t="s">
        <v>1997</v>
      </c>
      <c r="B1770" s="29" t="s">
        <v>3751</v>
      </c>
      <c r="C1770" s="16">
        <v>0</v>
      </c>
      <c r="D1770" s="16">
        <v>0</v>
      </c>
      <c r="E1770" s="29" t="s">
        <v>42</v>
      </c>
      <c r="F1770" s="29" t="s">
        <v>43</v>
      </c>
      <c r="G1770" t="e">
        <v>#N/A</v>
      </c>
    </row>
    <row r="1771" spans="1:7" ht="11.5" hidden="1" customHeight="1" x14ac:dyDescent="0.35">
      <c r="A1771" s="29" t="s">
        <v>1998</v>
      </c>
      <c r="B1771" s="29" t="s">
        <v>3752</v>
      </c>
      <c r="C1771" s="16">
        <v>0</v>
      </c>
      <c r="D1771" s="16">
        <v>0</v>
      </c>
      <c r="E1771" s="29" t="s">
        <v>42</v>
      </c>
      <c r="F1771" s="29" t="s">
        <v>43</v>
      </c>
      <c r="G1771" t="e">
        <v>#N/A</v>
      </c>
    </row>
    <row r="1772" spans="1:7" ht="11.5" hidden="1" customHeight="1" x14ac:dyDescent="0.35">
      <c r="A1772" s="29" t="s">
        <v>1999</v>
      </c>
      <c r="B1772" s="29" t="s">
        <v>3753</v>
      </c>
      <c r="C1772" s="16">
        <v>0</v>
      </c>
      <c r="D1772" s="16">
        <v>0</v>
      </c>
      <c r="E1772" s="29" t="s">
        <v>42</v>
      </c>
      <c r="F1772" s="29" t="s">
        <v>43</v>
      </c>
      <c r="G1772" t="e">
        <v>#N/A</v>
      </c>
    </row>
    <row r="1773" spans="1:7" ht="11.5" hidden="1" customHeight="1" x14ac:dyDescent="0.35">
      <c r="A1773" s="29" t="s">
        <v>2000</v>
      </c>
      <c r="B1773" s="29" t="s">
        <v>3754</v>
      </c>
      <c r="C1773" s="16">
        <v>0</v>
      </c>
      <c r="D1773" s="16">
        <v>0</v>
      </c>
      <c r="E1773" s="29" t="s">
        <v>42</v>
      </c>
      <c r="F1773" s="29" t="s">
        <v>43</v>
      </c>
      <c r="G1773" t="e">
        <v>#N/A</v>
      </c>
    </row>
    <row r="1774" spans="1:7" ht="11.5" hidden="1" customHeight="1" x14ac:dyDescent="0.35">
      <c r="A1774" s="29" t="s">
        <v>2001</v>
      </c>
      <c r="B1774" s="29" t="s">
        <v>3755</v>
      </c>
      <c r="C1774" s="16">
        <v>0</v>
      </c>
      <c r="D1774" s="16">
        <v>0</v>
      </c>
      <c r="E1774" s="29" t="s">
        <v>42</v>
      </c>
      <c r="F1774" s="29" t="s">
        <v>43</v>
      </c>
      <c r="G1774" t="e">
        <v>#N/A</v>
      </c>
    </row>
    <row r="1775" spans="1:7" ht="11.5" hidden="1" customHeight="1" x14ac:dyDescent="0.35">
      <c r="A1775" s="29" t="s">
        <v>2002</v>
      </c>
      <c r="B1775" s="29" t="s">
        <v>3756</v>
      </c>
      <c r="C1775" s="16">
        <v>0</v>
      </c>
      <c r="D1775" s="16">
        <v>0</v>
      </c>
      <c r="E1775" s="29" t="s">
        <v>42</v>
      </c>
      <c r="F1775" s="29" t="s">
        <v>43</v>
      </c>
      <c r="G1775" t="e">
        <v>#N/A</v>
      </c>
    </row>
    <row r="1776" spans="1:7" ht="11.5" hidden="1" customHeight="1" x14ac:dyDescent="0.35">
      <c r="A1776" s="29" t="s">
        <v>2003</v>
      </c>
      <c r="B1776" s="29" t="s">
        <v>3757</v>
      </c>
      <c r="C1776" s="16">
        <v>0</v>
      </c>
      <c r="D1776" s="16">
        <v>0</v>
      </c>
      <c r="E1776" s="29" t="s">
        <v>42</v>
      </c>
      <c r="F1776" s="29" t="s">
        <v>43</v>
      </c>
      <c r="G1776" t="e">
        <v>#N/A</v>
      </c>
    </row>
    <row r="1777" spans="1:7" ht="11.5" hidden="1" customHeight="1" x14ac:dyDescent="0.35">
      <c r="A1777" s="29" t="s">
        <v>2004</v>
      </c>
      <c r="B1777" s="29" t="s">
        <v>3758</v>
      </c>
      <c r="C1777" s="16">
        <v>0</v>
      </c>
      <c r="D1777" s="16">
        <v>0</v>
      </c>
      <c r="E1777" s="29" t="s">
        <v>42</v>
      </c>
      <c r="F1777" s="29" t="s">
        <v>43</v>
      </c>
      <c r="G1777" t="e">
        <v>#N/A</v>
      </c>
    </row>
    <row r="1778" spans="1:7" ht="11.5" hidden="1" customHeight="1" x14ac:dyDescent="0.35">
      <c r="A1778" s="29" t="s">
        <v>2005</v>
      </c>
      <c r="B1778" s="29" t="s">
        <v>3759</v>
      </c>
      <c r="C1778" s="16">
        <v>0</v>
      </c>
      <c r="D1778" s="16">
        <v>0</v>
      </c>
      <c r="E1778" s="29" t="s">
        <v>42</v>
      </c>
      <c r="F1778" s="29" t="s">
        <v>43</v>
      </c>
      <c r="G1778" t="e">
        <v>#N/A</v>
      </c>
    </row>
    <row r="1779" spans="1:7" ht="11.5" hidden="1" customHeight="1" x14ac:dyDescent="0.35">
      <c r="A1779" s="29" t="s">
        <v>2006</v>
      </c>
      <c r="B1779" s="29" t="s">
        <v>3760</v>
      </c>
      <c r="C1779" s="16">
        <v>0</v>
      </c>
      <c r="D1779" s="16">
        <v>0</v>
      </c>
      <c r="E1779" s="29" t="s">
        <v>42</v>
      </c>
      <c r="F1779" s="29" t="s">
        <v>43</v>
      </c>
      <c r="G1779" t="e">
        <v>#N/A</v>
      </c>
    </row>
    <row r="1780" spans="1:7" ht="11.5" hidden="1" customHeight="1" x14ac:dyDescent="0.35">
      <c r="A1780" s="29" t="s">
        <v>2007</v>
      </c>
      <c r="B1780" s="29" t="s">
        <v>3761</v>
      </c>
      <c r="C1780" s="16">
        <v>0</v>
      </c>
      <c r="D1780" s="16">
        <v>0</v>
      </c>
      <c r="E1780" s="29" t="s">
        <v>42</v>
      </c>
      <c r="F1780" s="29" t="s">
        <v>43</v>
      </c>
      <c r="G1780" t="e">
        <v>#N/A</v>
      </c>
    </row>
    <row r="1781" spans="1:7" ht="11.5" hidden="1" customHeight="1" x14ac:dyDescent="0.35">
      <c r="A1781" s="29" t="s">
        <v>2008</v>
      </c>
      <c r="B1781" s="29" t="s">
        <v>3762</v>
      </c>
      <c r="C1781" s="16">
        <v>0</v>
      </c>
      <c r="D1781" s="16">
        <v>0</v>
      </c>
      <c r="E1781" s="29" t="s">
        <v>42</v>
      </c>
      <c r="F1781" s="29" t="s">
        <v>43</v>
      </c>
      <c r="G1781" t="e">
        <v>#N/A</v>
      </c>
    </row>
    <row r="1782" spans="1:7" ht="11.5" hidden="1" customHeight="1" x14ac:dyDescent="0.35">
      <c r="A1782" s="29" t="s">
        <v>2009</v>
      </c>
      <c r="B1782" s="29" t="s">
        <v>3763</v>
      </c>
      <c r="C1782" s="16">
        <v>0</v>
      </c>
      <c r="D1782" s="16">
        <v>0</v>
      </c>
      <c r="E1782" s="29" t="s">
        <v>42</v>
      </c>
      <c r="F1782" s="29" t="s">
        <v>43</v>
      </c>
      <c r="G1782" t="e">
        <v>#N/A</v>
      </c>
    </row>
    <row r="1783" spans="1:7" ht="11.5" hidden="1" customHeight="1" x14ac:dyDescent="0.35">
      <c r="A1783" s="29" t="s">
        <v>2010</v>
      </c>
      <c r="B1783" s="29" t="s">
        <v>3764</v>
      </c>
      <c r="C1783" s="16">
        <v>0</v>
      </c>
      <c r="D1783" s="16">
        <v>0</v>
      </c>
      <c r="E1783" s="29" t="s">
        <v>42</v>
      </c>
      <c r="F1783" s="29" t="s">
        <v>43</v>
      </c>
      <c r="G1783" t="e">
        <v>#N/A</v>
      </c>
    </row>
    <row r="1784" spans="1:7" ht="11.5" hidden="1" customHeight="1" x14ac:dyDescent="0.35">
      <c r="A1784" s="29" t="s">
        <v>2011</v>
      </c>
      <c r="B1784" s="29" t="s">
        <v>3765</v>
      </c>
      <c r="C1784" s="16">
        <v>0</v>
      </c>
      <c r="D1784" s="16">
        <v>0</v>
      </c>
      <c r="E1784" s="29" t="s">
        <v>42</v>
      </c>
      <c r="F1784" s="29" t="s">
        <v>43</v>
      </c>
      <c r="G1784" t="e">
        <v>#N/A</v>
      </c>
    </row>
    <row r="1785" spans="1:7" ht="11.5" hidden="1" customHeight="1" x14ac:dyDescent="0.35">
      <c r="A1785" s="29" t="s">
        <v>2012</v>
      </c>
      <c r="B1785" s="29" t="s">
        <v>3766</v>
      </c>
      <c r="C1785" s="16">
        <v>0</v>
      </c>
      <c r="D1785" s="16">
        <v>0</v>
      </c>
      <c r="E1785" s="29" t="s">
        <v>42</v>
      </c>
      <c r="F1785" s="29" t="s">
        <v>43</v>
      </c>
      <c r="G1785" t="e">
        <v>#N/A</v>
      </c>
    </row>
    <row r="1786" spans="1:7" ht="11.5" hidden="1" customHeight="1" x14ac:dyDescent="0.35">
      <c r="A1786" s="29" t="s">
        <v>2013</v>
      </c>
      <c r="B1786" s="29" t="s">
        <v>3767</v>
      </c>
      <c r="C1786" s="16">
        <v>0</v>
      </c>
      <c r="D1786" s="16">
        <v>0</v>
      </c>
      <c r="E1786" s="29" t="s">
        <v>42</v>
      </c>
      <c r="F1786" s="29" t="s">
        <v>43</v>
      </c>
      <c r="G1786" t="e">
        <v>#N/A</v>
      </c>
    </row>
    <row r="1787" spans="1:7" ht="11.5" hidden="1" customHeight="1" x14ac:dyDescent="0.35">
      <c r="A1787" s="29" t="s">
        <v>2014</v>
      </c>
      <c r="B1787" s="29" t="s">
        <v>3768</v>
      </c>
      <c r="C1787" s="16">
        <v>0</v>
      </c>
      <c r="D1787" s="16">
        <v>0</v>
      </c>
      <c r="E1787" s="29" t="s">
        <v>42</v>
      </c>
      <c r="F1787" s="29" t="s">
        <v>43</v>
      </c>
      <c r="G1787" t="e">
        <v>#N/A</v>
      </c>
    </row>
    <row r="1788" spans="1:7" ht="11.5" hidden="1" customHeight="1" x14ac:dyDescent="0.35">
      <c r="A1788" s="29" t="s">
        <v>2015</v>
      </c>
      <c r="B1788" s="29" t="s">
        <v>3769</v>
      </c>
      <c r="C1788" s="16">
        <v>0</v>
      </c>
      <c r="D1788" s="16">
        <v>0</v>
      </c>
      <c r="E1788" s="29" t="s">
        <v>42</v>
      </c>
      <c r="F1788" s="29" t="s">
        <v>43</v>
      </c>
      <c r="G1788" t="e">
        <v>#N/A</v>
      </c>
    </row>
    <row r="1789" spans="1:7" ht="11.5" hidden="1" customHeight="1" x14ac:dyDescent="0.35">
      <c r="A1789" s="29" t="s">
        <v>2016</v>
      </c>
      <c r="B1789" s="29" t="s">
        <v>3770</v>
      </c>
      <c r="C1789" s="16">
        <v>0</v>
      </c>
      <c r="D1789" s="16">
        <v>0</v>
      </c>
      <c r="E1789" s="29" t="s">
        <v>42</v>
      </c>
      <c r="F1789" s="29" t="s">
        <v>43</v>
      </c>
      <c r="G1789" t="e">
        <v>#N/A</v>
      </c>
    </row>
    <row r="1790" spans="1:7" ht="11.5" hidden="1" customHeight="1" x14ac:dyDescent="0.35">
      <c r="A1790" s="29" t="s">
        <v>2017</v>
      </c>
      <c r="B1790" s="29" t="s">
        <v>3771</v>
      </c>
      <c r="C1790" s="16">
        <v>0</v>
      </c>
      <c r="D1790" s="16">
        <v>0</v>
      </c>
      <c r="E1790" s="29" t="s">
        <v>42</v>
      </c>
      <c r="F1790" s="29" t="s">
        <v>43</v>
      </c>
      <c r="G1790" t="e">
        <v>#N/A</v>
      </c>
    </row>
    <row r="1791" spans="1:7" ht="11.5" hidden="1" customHeight="1" x14ac:dyDescent="0.35">
      <c r="A1791" s="29" t="s">
        <v>2018</v>
      </c>
      <c r="B1791" s="29" t="s">
        <v>3772</v>
      </c>
      <c r="C1791" s="16">
        <v>0</v>
      </c>
      <c r="D1791" s="16">
        <v>0</v>
      </c>
      <c r="E1791" s="29" t="s">
        <v>42</v>
      </c>
      <c r="F1791" s="29" t="s">
        <v>43</v>
      </c>
      <c r="G1791" t="e">
        <v>#N/A</v>
      </c>
    </row>
    <row r="1792" spans="1:7" ht="11.5" hidden="1" customHeight="1" x14ac:dyDescent="0.35">
      <c r="A1792" s="29" t="s">
        <v>2019</v>
      </c>
      <c r="B1792" s="29" t="s">
        <v>3773</v>
      </c>
      <c r="C1792" s="16">
        <v>0</v>
      </c>
      <c r="D1792" s="16">
        <v>0</v>
      </c>
      <c r="E1792" s="29" t="s">
        <v>42</v>
      </c>
      <c r="F1792" s="29" t="s">
        <v>43</v>
      </c>
      <c r="G1792" t="e">
        <v>#N/A</v>
      </c>
    </row>
    <row r="1793" spans="1:7" ht="11.5" hidden="1" customHeight="1" x14ac:dyDescent="0.35">
      <c r="A1793" s="29" t="s">
        <v>2020</v>
      </c>
      <c r="B1793" s="29" t="s">
        <v>3774</v>
      </c>
      <c r="C1793" s="16">
        <v>0</v>
      </c>
      <c r="D1793" s="16">
        <v>0</v>
      </c>
      <c r="E1793" s="29" t="s">
        <v>42</v>
      </c>
      <c r="F1793" s="29" t="s">
        <v>43</v>
      </c>
      <c r="G1793" t="e">
        <v>#N/A</v>
      </c>
    </row>
    <row r="1794" spans="1:7" ht="11.5" hidden="1" customHeight="1" x14ac:dyDescent="0.35">
      <c r="A1794" s="29" t="s">
        <v>2021</v>
      </c>
      <c r="B1794" s="29" t="s">
        <v>3775</v>
      </c>
      <c r="C1794" s="16">
        <v>0</v>
      </c>
      <c r="D1794" s="16">
        <v>0</v>
      </c>
      <c r="E1794" s="29" t="s">
        <v>42</v>
      </c>
      <c r="F1794" s="29" t="s">
        <v>43</v>
      </c>
      <c r="G1794" t="e">
        <v>#N/A</v>
      </c>
    </row>
    <row r="1795" spans="1:7" ht="11.5" hidden="1" customHeight="1" x14ac:dyDescent="0.35">
      <c r="A1795" s="29" t="s">
        <v>2022</v>
      </c>
      <c r="B1795" s="29" t="s">
        <v>3776</v>
      </c>
      <c r="C1795" s="16">
        <v>0</v>
      </c>
      <c r="D1795" s="16">
        <v>0</v>
      </c>
      <c r="E1795" s="29" t="s">
        <v>42</v>
      </c>
      <c r="F1795" s="29" t="s">
        <v>43</v>
      </c>
      <c r="G1795" t="e">
        <v>#N/A</v>
      </c>
    </row>
    <row r="1796" spans="1:7" ht="11.5" hidden="1" customHeight="1" x14ac:dyDescent="0.35">
      <c r="A1796" s="29" t="s">
        <v>2023</v>
      </c>
      <c r="B1796" s="29" t="s">
        <v>3777</v>
      </c>
      <c r="C1796" s="16">
        <v>0</v>
      </c>
      <c r="D1796" s="16">
        <v>0</v>
      </c>
      <c r="E1796" s="29" t="s">
        <v>42</v>
      </c>
      <c r="F1796" s="29" t="s">
        <v>43</v>
      </c>
      <c r="G1796" t="e">
        <v>#N/A</v>
      </c>
    </row>
    <row r="1797" spans="1:7" ht="11.5" hidden="1" customHeight="1" x14ac:dyDescent="0.35">
      <c r="A1797" s="29" t="s">
        <v>2024</v>
      </c>
      <c r="B1797" s="29" t="s">
        <v>3778</v>
      </c>
      <c r="C1797" s="16">
        <v>0</v>
      </c>
      <c r="D1797" s="16">
        <v>0</v>
      </c>
      <c r="E1797" s="29" t="s">
        <v>42</v>
      </c>
      <c r="F1797" s="29" t="s">
        <v>43</v>
      </c>
      <c r="G1797" t="e">
        <v>#N/A</v>
      </c>
    </row>
    <row r="1798" spans="1:7" ht="11.5" hidden="1" customHeight="1" x14ac:dyDescent="0.35">
      <c r="A1798" s="29" t="s">
        <v>2025</v>
      </c>
      <c r="B1798" s="29" t="s">
        <v>2026</v>
      </c>
      <c r="C1798" s="16">
        <v>0</v>
      </c>
      <c r="D1798" s="16">
        <v>0</v>
      </c>
      <c r="E1798" s="29" t="s">
        <v>42</v>
      </c>
      <c r="F1798" s="29" t="s">
        <v>43</v>
      </c>
      <c r="G1798" t="e">
        <v>#N/A</v>
      </c>
    </row>
    <row r="1799" spans="1:7" ht="11.5" hidden="1" customHeight="1" x14ac:dyDescent="0.35">
      <c r="A1799" s="29" t="s">
        <v>2027</v>
      </c>
      <c r="B1799" s="29" t="s">
        <v>2028</v>
      </c>
      <c r="C1799" s="16">
        <v>0</v>
      </c>
      <c r="D1799" s="16">
        <v>0</v>
      </c>
      <c r="E1799" s="29" t="s">
        <v>42</v>
      </c>
      <c r="F1799" s="29" t="s">
        <v>43</v>
      </c>
      <c r="G1799" t="e">
        <v>#N/A</v>
      </c>
    </row>
    <row r="1800" spans="1:7" ht="11.5" hidden="1" customHeight="1" x14ac:dyDescent="0.35">
      <c r="A1800" s="29" t="s">
        <v>2029</v>
      </c>
      <c r="B1800" s="29" t="s">
        <v>2030</v>
      </c>
      <c r="C1800" s="16">
        <v>0</v>
      </c>
      <c r="D1800" s="16">
        <v>0</v>
      </c>
      <c r="E1800" s="29" t="s">
        <v>42</v>
      </c>
      <c r="F1800" s="29" t="s">
        <v>43</v>
      </c>
      <c r="G1800" t="e">
        <v>#N/A</v>
      </c>
    </row>
    <row r="1801" spans="1:7" ht="11.5" hidden="1" customHeight="1" x14ac:dyDescent="0.35">
      <c r="A1801" s="29" t="s">
        <v>2031</v>
      </c>
      <c r="B1801" s="29" t="s">
        <v>2032</v>
      </c>
      <c r="C1801" s="16">
        <v>0</v>
      </c>
      <c r="D1801" s="16">
        <v>0</v>
      </c>
      <c r="E1801" s="29" t="s">
        <v>42</v>
      </c>
      <c r="F1801" s="29" t="s">
        <v>43</v>
      </c>
      <c r="G1801" t="e">
        <v>#N/A</v>
      </c>
    </row>
    <row r="1802" spans="1:7" ht="11.5" hidden="1" customHeight="1" x14ac:dyDescent="0.35">
      <c r="A1802" s="29" t="s">
        <v>2033</v>
      </c>
      <c r="B1802" s="29" t="s">
        <v>2034</v>
      </c>
      <c r="C1802" s="16">
        <v>0</v>
      </c>
      <c r="D1802" s="16">
        <v>0</v>
      </c>
      <c r="E1802" s="29" t="s">
        <v>42</v>
      </c>
      <c r="F1802" s="29" t="s">
        <v>43</v>
      </c>
      <c r="G1802" t="e">
        <v>#N/A</v>
      </c>
    </row>
    <row r="1803" spans="1:7" ht="11.5" hidden="1" customHeight="1" x14ac:dyDescent="0.35">
      <c r="A1803" s="29" t="s">
        <v>2035</v>
      </c>
      <c r="B1803" s="29" t="s">
        <v>2036</v>
      </c>
      <c r="C1803" s="16">
        <v>0</v>
      </c>
      <c r="D1803" s="16">
        <v>0</v>
      </c>
      <c r="E1803" s="29" t="s">
        <v>42</v>
      </c>
      <c r="F1803" s="29" t="s">
        <v>43</v>
      </c>
      <c r="G1803" t="e">
        <v>#N/A</v>
      </c>
    </row>
    <row r="1804" spans="1:7" ht="11.5" hidden="1" customHeight="1" x14ac:dyDescent="0.35">
      <c r="A1804" s="29" t="s">
        <v>2037</v>
      </c>
      <c r="B1804" s="29" t="s">
        <v>2038</v>
      </c>
      <c r="C1804" s="16">
        <v>0</v>
      </c>
      <c r="D1804" s="16">
        <v>0</v>
      </c>
      <c r="E1804" s="29" t="s">
        <v>42</v>
      </c>
      <c r="F1804" s="29" t="s">
        <v>43</v>
      </c>
      <c r="G1804" t="e">
        <v>#N/A</v>
      </c>
    </row>
    <row r="1805" spans="1:7" ht="11.5" hidden="1" customHeight="1" x14ac:dyDescent="0.35">
      <c r="A1805" s="29" t="s">
        <v>2039</v>
      </c>
      <c r="B1805" s="29" t="s">
        <v>2040</v>
      </c>
      <c r="C1805" s="16">
        <v>0</v>
      </c>
      <c r="D1805" s="16">
        <v>0</v>
      </c>
      <c r="E1805" s="29" t="s">
        <v>42</v>
      </c>
      <c r="F1805" s="29" t="s">
        <v>43</v>
      </c>
      <c r="G1805" t="e">
        <v>#N/A</v>
      </c>
    </row>
    <row r="1806" spans="1:7" ht="11.5" hidden="1" customHeight="1" x14ac:dyDescent="0.35">
      <c r="A1806" s="29" t="s">
        <v>2041</v>
      </c>
      <c r="B1806" s="29" t="s">
        <v>2042</v>
      </c>
      <c r="C1806" s="16">
        <v>0</v>
      </c>
      <c r="D1806" s="16">
        <v>0</v>
      </c>
      <c r="E1806" s="29" t="s">
        <v>42</v>
      </c>
      <c r="F1806" s="29" t="s">
        <v>43</v>
      </c>
      <c r="G1806" t="e">
        <v>#N/A</v>
      </c>
    </row>
    <row r="1807" spans="1:7" ht="11.5" hidden="1" customHeight="1" x14ac:dyDescent="0.35">
      <c r="A1807" s="29" t="s">
        <v>2043</v>
      </c>
      <c r="B1807" s="29" t="s">
        <v>2044</v>
      </c>
      <c r="C1807" s="16">
        <v>0</v>
      </c>
      <c r="D1807" s="16">
        <v>0</v>
      </c>
      <c r="E1807" s="29" t="s">
        <v>42</v>
      </c>
      <c r="F1807" s="29" t="s">
        <v>43</v>
      </c>
      <c r="G1807" t="e">
        <v>#N/A</v>
      </c>
    </row>
    <row r="1808" spans="1:7" ht="11.5" hidden="1" customHeight="1" x14ac:dyDescent="0.35">
      <c r="A1808" s="29" t="s">
        <v>2045</v>
      </c>
      <c r="B1808" s="29" t="s">
        <v>2046</v>
      </c>
      <c r="C1808" s="16">
        <v>0</v>
      </c>
      <c r="D1808" s="16">
        <v>0</v>
      </c>
      <c r="E1808" s="29" t="s">
        <v>42</v>
      </c>
      <c r="F1808" s="29" t="s">
        <v>43</v>
      </c>
      <c r="G1808" t="e">
        <v>#N/A</v>
      </c>
    </row>
    <row r="1809" spans="1:7" ht="11.5" hidden="1" customHeight="1" x14ac:dyDescent="0.35">
      <c r="A1809" s="29" t="s">
        <v>2047</v>
      </c>
      <c r="B1809" s="29" t="s">
        <v>2048</v>
      </c>
      <c r="C1809" s="16">
        <v>0</v>
      </c>
      <c r="D1809" s="16">
        <v>0</v>
      </c>
      <c r="E1809" s="29" t="s">
        <v>42</v>
      </c>
      <c r="F1809" s="29" t="s">
        <v>43</v>
      </c>
      <c r="G1809" t="e">
        <v>#N/A</v>
      </c>
    </row>
    <row r="1810" spans="1:7" ht="11.5" hidden="1" customHeight="1" x14ac:dyDescent="0.35">
      <c r="A1810" s="29" t="s">
        <v>2049</v>
      </c>
      <c r="B1810" s="29" t="s">
        <v>2050</v>
      </c>
      <c r="C1810" s="16">
        <v>0</v>
      </c>
      <c r="D1810" s="16">
        <v>0</v>
      </c>
      <c r="E1810" s="29" t="s">
        <v>42</v>
      </c>
      <c r="F1810" s="29" t="s">
        <v>43</v>
      </c>
      <c r="G1810" t="e">
        <v>#N/A</v>
      </c>
    </row>
    <row r="1811" spans="1:7" ht="11.5" hidden="1" customHeight="1" x14ac:dyDescent="0.35">
      <c r="A1811" s="29" t="s">
        <v>2051</v>
      </c>
      <c r="B1811" s="29" t="s">
        <v>2052</v>
      </c>
      <c r="C1811" s="16">
        <v>0</v>
      </c>
      <c r="D1811" s="16">
        <v>0</v>
      </c>
      <c r="E1811" s="29" t="s">
        <v>42</v>
      </c>
      <c r="F1811" s="29" t="s">
        <v>43</v>
      </c>
      <c r="G1811" t="e">
        <v>#N/A</v>
      </c>
    </row>
    <row r="1812" spans="1:7" ht="11.5" hidden="1" customHeight="1" x14ac:dyDescent="0.35">
      <c r="A1812" s="29" t="s">
        <v>2053</v>
      </c>
      <c r="B1812" s="29" t="s">
        <v>2054</v>
      </c>
      <c r="C1812" s="16">
        <v>0</v>
      </c>
      <c r="D1812" s="16">
        <v>0</v>
      </c>
      <c r="E1812" s="29" t="s">
        <v>42</v>
      </c>
      <c r="F1812" s="29" t="s">
        <v>43</v>
      </c>
      <c r="G1812" t="e">
        <v>#N/A</v>
      </c>
    </row>
    <row r="1813" spans="1:7" ht="11.5" hidden="1" customHeight="1" x14ac:dyDescent="0.35">
      <c r="A1813" s="29" t="s">
        <v>2055</v>
      </c>
      <c r="B1813" s="29" t="s">
        <v>2056</v>
      </c>
      <c r="C1813" s="16">
        <v>0</v>
      </c>
      <c r="D1813" s="16">
        <v>0</v>
      </c>
      <c r="E1813" s="29" t="s">
        <v>42</v>
      </c>
      <c r="F1813" s="29" t="s">
        <v>43</v>
      </c>
      <c r="G1813" t="e">
        <v>#N/A</v>
      </c>
    </row>
    <row r="1814" spans="1:7" ht="11.5" hidden="1" customHeight="1" x14ac:dyDescent="0.35">
      <c r="A1814" s="29" t="s">
        <v>2057</v>
      </c>
      <c r="B1814" s="29" t="s">
        <v>2058</v>
      </c>
      <c r="C1814" s="16">
        <v>0</v>
      </c>
      <c r="D1814" s="16">
        <v>0</v>
      </c>
      <c r="E1814" s="29" t="s">
        <v>42</v>
      </c>
      <c r="F1814" s="29" t="s">
        <v>43</v>
      </c>
      <c r="G1814" t="e">
        <v>#N/A</v>
      </c>
    </row>
    <row r="1815" spans="1:7" ht="11.5" hidden="1" customHeight="1" x14ac:dyDescent="0.35">
      <c r="A1815" s="29" t="s">
        <v>2059</v>
      </c>
      <c r="B1815" s="29" t="s">
        <v>2060</v>
      </c>
      <c r="C1815" s="16">
        <v>0</v>
      </c>
      <c r="D1815" s="16">
        <v>0</v>
      </c>
      <c r="E1815" s="29" t="s">
        <v>42</v>
      </c>
      <c r="F1815" s="29" t="s">
        <v>43</v>
      </c>
      <c r="G1815" t="e">
        <v>#N/A</v>
      </c>
    </row>
    <row r="1816" spans="1:7" ht="11.5" hidden="1" customHeight="1" x14ac:dyDescent="0.35">
      <c r="A1816" s="29" t="s">
        <v>2061</v>
      </c>
      <c r="B1816" s="29" t="s">
        <v>2062</v>
      </c>
      <c r="C1816" s="16">
        <v>0</v>
      </c>
      <c r="D1816" s="16">
        <v>0</v>
      </c>
      <c r="E1816" s="29" t="s">
        <v>42</v>
      </c>
      <c r="F1816" s="29" t="s">
        <v>43</v>
      </c>
      <c r="G1816" t="e">
        <v>#N/A</v>
      </c>
    </row>
    <row r="1817" spans="1:7" ht="11.5" hidden="1" customHeight="1" x14ac:dyDescent="0.35">
      <c r="A1817" s="29" t="s">
        <v>2063</v>
      </c>
      <c r="B1817" s="29" t="s">
        <v>2064</v>
      </c>
      <c r="C1817" s="16">
        <v>0</v>
      </c>
      <c r="D1817" s="16">
        <v>0</v>
      </c>
      <c r="E1817" s="29" t="s">
        <v>42</v>
      </c>
      <c r="F1817" s="29" t="s">
        <v>43</v>
      </c>
      <c r="G1817" t="e">
        <v>#N/A</v>
      </c>
    </row>
    <row r="1818" spans="1:7" ht="11.5" hidden="1" customHeight="1" x14ac:dyDescent="0.35">
      <c r="A1818" s="29" t="s">
        <v>2065</v>
      </c>
      <c r="B1818" s="29" t="s">
        <v>2066</v>
      </c>
      <c r="C1818" s="16">
        <v>0</v>
      </c>
      <c r="D1818" s="16">
        <v>0</v>
      </c>
      <c r="E1818" s="29" t="s">
        <v>42</v>
      </c>
      <c r="F1818" s="29" t="s">
        <v>43</v>
      </c>
      <c r="G1818" t="e">
        <v>#N/A</v>
      </c>
    </row>
    <row r="1819" spans="1:7" ht="11.5" hidden="1" customHeight="1" x14ac:dyDescent="0.35">
      <c r="A1819" s="29" t="s">
        <v>2067</v>
      </c>
      <c r="B1819" s="29" t="s">
        <v>2068</v>
      </c>
      <c r="C1819" s="16">
        <v>0</v>
      </c>
      <c r="D1819" s="16">
        <v>0</v>
      </c>
      <c r="E1819" s="29" t="s">
        <v>42</v>
      </c>
      <c r="F1819" s="29" t="s">
        <v>43</v>
      </c>
      <c r="G1819" t="e">
        <v>#N/A</v>
      </c>
    </row>
    <row r="1820" spans="1:7" ht="11.5" hidden="1" customHeight="1" x14ac:dyDescent="0.35">
      <c r="A1820" s="29" t="s">
        <v>2069</v>
      </c>
      <c r="B1820" s="29" t="s">
        <v>2070</v>
      </c>
      <c r="C1820" s="16">
        <v>0</v>
      </c>
      <c r="D1820" s="16">
        <v>0</v>
      </c>
      <c r="E1820" s="29" t="s">
        <v>42</v>
      </c>
      <c r="F1820" s="29" t="s">
        <v>43</v>
      </c>
      <c r="G1820" t="e">
        <v>#N/A</v>
      </c>
    </row>
    <row r="1821" spans="1:7" ht="11.5" hidden="1" customHeight="1" x14ac:dyDescent="0.35">
      <c r="A1821" s="29" t="s">
        <v>2071</v>
      </c>
      <c r="B1821" s="29" t="s">
        <v>2072</v>
      </c>
      <c r="C1821" s="16">
        <v>0</v>
      </c>
      <c r="D1821" s="16">
        <v>0</v>
      </c>
      <c r="E1821" s="29" t="s">
        <v>42</v>
      </c>
      <c r="F1821" s="29" t="s">
        <v>43</v>
      </c>
      <c r="G1821" t="e">
        <v>#N/A</v>
      </c>
    </row>
    <row r="1822" spans="1:7" ht="11.5" hidden="1" customHeight="1" x14ac:dyDescent="0.35">
      <c r="A1822" s="29" t="s">
        <v>2073</v>
      </c>
      <c r="B1822" s="29" t="s">
        <v>2074</v>
      </c>
      <c r="C1822" s="16">
        <v>0</v>
      </c>
      <c r="D1822" s="16">
        <v>0</v>
      </c>
      <c r="E1822" s="29" t="s">
        <v>42</v>
      </c>
      <c r="F1822" s="29" t="s">
        <v>43</v>
      </c>
      <c r="G1822" t="e">
        <v>#N/A</v>
      </c>
    </row>
    <row r="1823" spans="1:7" ht="11.5" hidden="1" customHeight="1" x14ac:dyDescent="0.35">
      <c r="A1823" s="29" t="s">
        <v>2075</v>
      </c>
      <c r="B1823" s="29" t="s">
        <v>2076</v>
      </c>
      <c r="C1823" s="16">
        <v>0</v>
      </c>
      <c r="D1823" s="16">
        <v>0</v>
      </c>
      <c r="E1823" s="29" t="s">
        <v>42</v>
      </c>
      <c r="F1823" s="29" t="s">
        <v>43</v>
      </c>
      <c r="G1823" t="e">
        <v>#N/A</v>
      </c>
    </row>
    <row r="1824" spans="1:7" ht="11.5" hidden="1" customHeight="1" x14ac:dyDescent="0.35">
      <c r="A1824" s="29" t="s">
        <v>2077</v>
      </c>
      <c r="B1824" s="29" t="s">
        <v>2078</v>
      </c>
      <c r="C1824" s="16">
        <v>0</v>
      </c>
      <c r="D1824" s="16">
        <v>0</v>
      </c>
      <c r="E1824" s="29" t="s">
        <v>42</v>
      </c>
      <c r="F1824" s="29" t="s">
        <v>43</v>
      </c>
      <c r="G1824" t="e">
        <v>#N/A</v>
      </c>
    </row>
    <row r="1825" spans="1:7" ht="11.5" hidden="1" customHeight="1" x14ac:dyDescent="0.35">
      <c r="A1825" s="29" t="s">
        <v>2079</v>
      </c>
      <c r="B1825" s="29" t="s">
        <v>2080</v>
      </c>
      <c r="C1825" s="16">
        <v>0</v>
      </c>
      <c r="D1825" s="16">
        <v>0</v>
      </c>
      <c r="E1825" s="29" t="s">
        <v>42</v>
      </c>
      <c r="F1825" s="29" t="s">
        <v>43</v>
      </c>
      <c r="G1825" t="e">
        <v>#N/A</v>
      </c>
    </row>
    <row r="1826" spans="1:7" ht="11.5" hidden="1" customHeight="1" x14ac:dyDescent="0.35">
      <c r="A1826" s="29" t="s">
        <v>2081</v>
      </c>
      <c r="B1826" s="29" t="s">
        <v>2082</v>
      </c>
      <c r="C1826" s="16">
        <v>0</v>
      </c>
      <c r="D1826" s="16">
        <v>0</v>
      </c>
      <c r="E1826" s="29" t="s">
        <v>42</v>
      </c>
      <c r="F1826" s="29" t="s">
        <v>43</v>
      </c>
      <c r="G1826" t="e">
        <v>#N/A</v>
      </c>
    </row>
    <row r="1827" spans="1:7" ht="11.5" hidden="1" customHeight="1" x14ac:dyDescent="0.35">
      <c r="A1827" s="29" t="s">
        <v>2083</v>
      </c>
      <c r="B1827" s="29" t="s">
        <v>2084</v>
      </c>
      <c r="C1827" s="16">
        <v>0</v>
      </c>
      <c r="D1827" s="16">
        <v>0</v>
      </c>
      <c r="E1827" s="29" t="s">
        <v>42</v>
      </c>
      <c r="F1827" s="29" t="s">
        <v>43</v>
      </c>
      <c r="G1827" t="e">
        <v>#N/A</v>
      </c>
    </row>
    <row r="1828" spans="1:7" ht="11.5" hidden="1" customHeight="1" x14ac:dyDescent="0.35">
      <c r="A1828" s="29" t="s">
        <v>2085</v>
      </c>
      <c r="B1828" s="29" t="s">
        <v>2086</v>
      </c>
      <c r="C1828" s="16">
        <v>0</v>
      </c>
      <c r="D1828" s="16">
        <v>0</v>
      </c>
      <c r="E1828" s="29" t="s">
        <v>42</v>
      </c>
      <c r="F1828" s="29" t="s">
        <v>43</v>
      </c>
      <c r="G1828" t="e">
        <v>#N/A</v>
      </c>
    </row>
    <row r="1829" spans="1:7" ht="11.5" hidden="1" customHeight="1" x14ac:dyDescent="0.35">
      <c r="A1829" s="29" t="s">
        <v>2087</v>
      </c>
      <c r="B1829" s="29" t="s">
        <v>2088</v>
      </c>
      <c r="C1829" s="16">
        <v>0</v>
      </c>
      <c r="D1829" s="16">
        <v>0</v>
      </c>
      <c r="E1829" s="29" t="s">
        <v>42</v>
      </c>
      <c r="F1829" s="29" t="s">
        <v>43</v>
      </c>
      <c r="G1829" t="e">
        <v>#N/A</v>
      </c>
    </row>
    <row r="1830" spans="1:7" ht="11.5" hidden="1" customHeight="1" x14ac:dyDescent="0.35">
      <c r="A1830" s="29" t="s">
        <v>2089</v>
      </c>
      <c r="B1830" s="29" t="s">
        <v>2090</v>
      </c>
      <c r="C1830" s="16">
        <v>0</v>
      </c>
      <c r="D1830" s="16">
        <v>0</v>
      </c>
      <c r="E1830" s="29" t="s">
        <v>42</v>
      </c>
      <c r="F1830" s="29" t="s">
        <v>43</v>
      </c>
      <c r="G1830" t="e">
        <v>#N/A</v>
      </c>
    </row>
    <row r="1831" spans="1:7" ht="11.5" hidden="1" customHeight="1" x14ac:dyDescent="0.35">
      <c r="A1831" s="29" t="s">
        <v>2091</v>
      </c>
      <c r="B1831" s="29" t="s">
        <v>2092</v>
      </c>
      <c r="C1831" s="16">
        <v>0</v>
      </c>
      <c r="D1831" s="16">
        <v>0</v>
      </c>
      <c r="E1831" s="29" t="s">
        <v>42</v>
      </c>
      <c r="F1831" s="29" t="s">
        <v>43</v>
      </c>
      <c r="G1831" t="e">
        <v>#N/A</v>
      </c>
    </row>
    <row r="1832" spans="1:7" ht="11.5" hidden="1" customHeight="1" x14ac:dyDescent="0.35">
      <c r="A1832" s="29" t="s">
        <v>2093</v>
      </c>
      <c r="B1832" s="29" t="s">
        <v>2094</v>
      </c>
      <c r="C1832" s="16">
        <v>0</v>
      </c>
      <c r="D1832" s="16">
        <v>0</v>
      </c>
      <c r="E1832" s="29" t="s">
        <v>42</v>
      </c>
      <c r="F1832" s="29" t="s">
        <v>43</v>
      </c>
      <c r="G1832" t="e">
        <v>#N/A</v>
      </c>
    </row>
    <row r="1833" spans="1:7" ht="11.5" hidden="1" customHeight="1" x14ac:dyDescent="0.35">
      <c r="A1833" s="29" t="s">
        <v>2095</v>
      </c>
      <c r="B1833" s="29" t="s">
        <v>2096</v>
      </c>
      <c r="C1833" s="16">
        <v>0</v>
      </c>
      <c r="D1833" s="16">
        <v>0</v>
      </c>
      <c r="E1833" s="29" t="s">
        <v>42</v>
      </c>
      <c r="F1833" s="29" t="s">
        <v>43</v>
      </c>
      <c r="G1833" t="e">
        <v>#N/A</v>
      </c>
    </row>
    <row r="1834" spans="1:7" ht="11.5" hidden="1" customHeight="1" x14ac:dyDescent="0.35">
      <c r="A1834" s="29" t="s">
        <v>2097</v>
      </c>
      <c r="B1834" s="29" t="s">
        <v>2098</v>
      </c>
      <c r="C1834" s="16">
        <v>0</v>
      </c>
      <c r="D1834" s="16">
        <v>0</v>
      </c>
      <c r="E1834" s="29" t="s">
        <v>42</v>
      </c>
      <c r="F1834" s="29" t="s">
        <v>43</v>
      </c>
      <c r="G1834" t="e">
        <v>#N/A</v>
      </c>
    </row>
    <row r="1835" spans="1:7" ht="11.5" hidden="1" customHeight="1" x14ac:dyDescent="0.35">
      <c r="A1835" s="29" t="s">
        <v>2099</v>
      </c>
      <c r="B1835" s="29" t="s">
        <v>2100</v>
      </c>
      <c r="C1835" s="16">
        <v>0</v>
      </c>
      <c r="D1835" s="16">
        <v>0</v>
      </c>
      <c r="E1835" s="29" t="s">
        <v>42</v>
      </c>
      <c r="F1835" s="29" t="s">
        <v>43</v>
      </c>
      <c r="G1835" t="e">
        <v>#N/A</v>
      </c>
    </row>
    <row r="1836" spans="1:7" ht="11.5" hidden="1" customHeight="1" x14ac:dyDescent="0.35">
      <c r="A1836" s="29" t="s">
        <v>2101</v>
      </c>
      <c r="B1836" s="29" t="s">
        <v>2102</v>
      </c>
      <c r="C1836" s="16">
        <v>0</v>
      </c>
      <c r="D1836" s="16">
        <v>0</v>
      </c>
      <c r="E1836" s="29" t="s">
        <v>42</v>
      </c>
      <c r="F1836" s="29" t="s">
        <v>43</v>
      </c>
      <c r="G1836" t="e">
        <v>#N/A</v>
      </c>
    </row>
    <row r="1837" spans="1:7" ht="11.5" hidden="1" customHeight="1" x14ac:dyDescent="0.35">
      <c r="A1837" s="29" t="s">
        <v>2103</v>
      </c>
      <c r="B1837" s="29" t="s">
        <v>2104</v>
      </c>
      <c r="C1837" s="16">
        <v>0</v>
      </c>
      <c r="D1837" s="16">
        <v>0</v>
      </c>
      <c r="E1837" s="29" t="s">
        <v>42</v>
      </c>
      <c r="F1837" s="29" t="s">
        <v>43</v>
      </c>
      <c r="G1837" t="e">
        <v>#N/A</v>
      </c>
    </row>
    <row r="1838" spans="1:7" ht="11.5" hidden="1" customHeight="1" x14ac:dyDescent="0.35">
      <c r="A1838" s="29" t="s">
        <v>2105</v>
      </c>
      <c r="B1838" s="29" t="s">
        <v>2106</v>
      </c>
      <c r="C1838" s="16">
        <v>0</v>
      </c>
      <c r="D1838" s="16">
        <v>0</v>
      </c>
      <c r="E1838" s="29" t="s">
        <v>42</v>
      </c>
      <c r="F1838" s="29" t="s">
        <v>43</v>
      </c>
      <c r="G1838" t="e">
        <v>#N/A</v>
      </c>
    </row>
    <row r="1839" spans="1:7" ht="11.5" hidden="1" customHeight="1" x14ac:dyDescent="0.35">
      <c r="A1839" s="29" t="s">
        <v>2107</v>
      </c>
      <c r="B1839" s="29" t="s">
        <v>2108</v>
      </c>
      <c r="C1839" s="16">
        <v>0</v>
      </c>
      <c r="D1839" s="16">
        <v>0</v>
      </c>
      <c r="E1839" s="29" t="s">
        <v>42</v>
      </c>
      <c r="F1839" s="29" t="s">
        <v>43</v>
      </c>
      <c r="G1839" t="e">
        <v>#N/A</v>
      </c>
    </row>
    <row r="1840" spans="1:7" ht="11.5" hidden="1" customHeight="1" x14ac:dyDescent="0.35">
      <c r="A1840" s="29" t="s">
        <v>2109</v>
      </c>
      <c r="B1840" s="29" t="s">
        <v>2110</v>
      </c>
      <c r="C1840" s="16">
        <v>0</v>
      </c>
      <c r="D1840" s="16">
        <v>0</v>
      </c>
      <c r="E1840" s="29" t="s">
        <v>42</v>
      </c>
      <c r="F1840" s="29" t="s">
        <v>43</v>
      </c>
      <c r="G1840" t="e">
        <v>#N/A</v>
      </c>
    </row>
    <row r="1841" spans="1:7" ht="11.5" hidden="1" customHeight="1" x14ac:dyDescent="0.35">
      <c r="A1841" s="29" t="s">
        <v>2111</v>
      </c>
      <c r="B1841" s="29" t="s">
        <v>2112</v>
      </c>
      <c r="C1841" s="16">
        <v>0</v>
      </c>
      <c r="D1841" s="16">
        <v>0</v>
      </c>
      <c r="E1841" s="29" t="s">
        <v>42</v>
      </c>
      <c r="F1841" s="29" t="s">
        <v>43</v>
      </c>
      <c r="G1841" t="e">
        <v>#N/A</v>
      </c>
    </row>
    <row r="1842" spans="1:7" ht="11.5" hidden="1" customHeight="1" x14ac:dyDescent="0.35">
      <c r="A1842" s="29" t="s">
        <v>2113</v>
      </c>
      <c r="B1842" s="29" t="s">
        <v>2114</v>
      </c>
      <c r="C1842" s="16">
        <v>0</v>
      </c>
      <c r="D1842" s="16">
        <v>0</v>
      </c>
      <c r="E1842" s="29" t="s">
        <v>42</v>
      </c>
      <c r="F1842" s="29" t="s">
        <v>43</v>
      </c>
      <c r="G1842" t="e">
        <v>#N/A</v>
      </c>
    </row>
    <row r="1843" spans="1:7" ht="11.5" hidden="1" customHeight="1" x14ac:dyDescent="0.35">
      <c r="A1843" s="29" t="s">
        <v>2115</v>
      </c>
      <c r="B1843" s="29" t="s">
        <v>2116</v>
      </c>
      <c r="C1843" s="16">
        <v>0</v>
      </c>
      <c r="D1843" s="16">
        <v>0</v>
      </c>
      <c r="E1843" s="29" t="s">
        <v>42</v>
      </c>
      <c r="F1843" s="29" t="s">
        <v>43</v>
      </c>
      <c r="G1843" t="e">
        <v>#N/A</v>
      </c>
    </row>
    <row r="1844" spans="1:7" ht="11.5" hidden="1" customHeight="1" x14ac:dyDescent="0.35">
      <c r="A1844" s="29" t="s">
        <v>2117</v>
      </c>
      <c r="B1844" s="29" t="s">
        <v>2118</v>
      </c>
      <c r="C1844" s="16">
        <v>0</v>
      </c>
      <c r="D1844" s="16">
        <v>0</v>
      </c>
      <c r="E1844" s="29" t="s">
        <v>42</v>
      </c>
      <c r="F1844" s="29" t="s">
        <v>43</v>
      </c>
      <c r="G1844" t="e">
        <v>#N/A</v>
      </c>
    </row>
    <row r="1845" spans="1:7" ht="11.5" hidden="1" customHeight="1" x14ac:dyDescent="0.35">
      <c r="A1845" s="29" t="s">
        <v>2119</v>
      </c>
      <c r="B1845" s="29" t="s">
        <v>2120</v>
      </c>
      <c r="C1845" s="16">
        <v>0</v>
      </c>
      <c r="D1845" s="16">
        <v>0</v>
      </c>
      <c r="E1845" s="29" t="s">
        <v>42</v>
      </c>
      <c r="F1845" s="29" t="s">
        <v>43</v>
      </c>
      <c r="G1845" t="e">
        <v>#N/A</v>
      </c>
    </row>
    <row r="1846" spans="1:7" ht="11.5" hidden="1" customHeight="1" x14ac:dyDescent="0.35">
      <c r="A1846" s="29" t="s">
        <v>2121</v>
      </c>
      <c r="B1846" s="29" t="s">
        <v>2122</v>
      </c>
      <c r="C1846" s="16">
        <v>0</v>
      </c>
      <c r="D1846" s="16">
        <v>0</v>
      </c>
      <c r="E1846" s="29" t="s">
        <v>42</v>
      </c>
      <c r="F1846" s="29" t="s">
        <v>43</v>
      </c>
      <c r="G1846" t="e">
        <v>#N/A</v>
      </c>
    </row>
    <row r="1847" spans="1:7" ht="11.5" hidden="1" customHeight="1" x14ac:dyDescent="0.35">
      <c r="A1847" s="29" t="s">
        <v>2123</v>
      </c>
      <c r="B1847" s="29" t="s">
        <v>2124</v>
      </c>
      <c r="C1847" s="16">
        <v>0</v>
      </c>
      <c r="D1847" s="16">
        <v>0</v>
      </c>
      <c r="E1847" s="29" t="s">
        <v>42</v>
      </c>
      <c r="F1847" s="29" t="s">
        <v>43</v>
      </c>
      <c r="G1847" t="e">
        <v>#N/A</v>
      </c>
    </row>
    <row r="1848" spans="1:7" ht="11.5" hidden="1" customHeight="1" x14ac:dyDescent="0.35">
      <c r="A1848" s="29" t="s">
        <v>2125</v>
      </c>
      <c r="B1848" s="29" t="s">
        <v>2126</v>
      </c>
      <c r="C1848" s="16">
        <v>0</v>
      </c>
      <c r="D1848" s="16">
        <v>0</v>
      </c>
      <c r="E1848" s="29" t="s">
        <v>42</v>
      </c>
      <c r="F1848" s="29" t="s">
        <v>43</v>
      </c>
      <c r="G1848" t="e">
        <v>#N/A</v>
      </c>
    </row>
    <row r="1849" spans="1:7" ht="11.5" hidden="1" customHeight="1" x14ac:dyDescent="0.35">
      <c r="A1849" s="29" t="s">
        <v>2127</v>
      </c>
      <c r="B1849" s="29" t="s">
        <v>2128</v>
      </c>
      <c r="C1849" s="16">
        <v>0</v>
      </c>
      <c r="D1849" s="16">
        <v>0</v>
      </c>
      <c r="E1849" s="29" t="s">
        <v>42</v>
      </c>
      <c r="F1849" s="29" t="s">
        <v>43</v>
      </c>
      <c r="G1849" t="e">
        <v>#N/A</v>
      </c>
    </row>
    <row r="1850" spans="1:7" ht="11.5" hidden="1" customHeight="1" x14ac:dyDescent="0.35">
      <c r="A1850" s="29" t="s">
        <v>2129</v>
      </c>
      <c r="B1850" s="29" t="s">
        <v>2130</v>
      </c>
      <c r="C1850" s="16">
        <v>0</v>
      </c>
      <c r="D1850" s="16">
        <v>0</v>
      </c>
      <c r="E1850" s="29" t="s">
        <v>42</v>
      </c>
      <c r="F1850" s="29" t="s">
        <v>43</v>
      </c>
      <c r="G1850" t="e">
        <v>#N/A</v>
      </c>
    </row>
    <row r="1851" spans="1:7" ht="11.5" hidden="1" customHeight="1" x14ac:dyDescent="0.35">
      <c r="A1851" s="29" t="s">
        <v>2131</v>
      </c>
      <c r="B1851" s="29" t="s">
        <v>2132</v>
      </c>
      <c r="C1851" s="16">
        <v>0</v>
      </c>
      <c r="D1851" s="16">
        <v>0</v>
      </c>
      <c r="E1851" s="29" t="s">
        <v>42</v>
      </c>
      <c r="F1851" s="29" t="s">
        <v>43</v>
      </c>
      <c r="G1851" t="e">
        <v>#N/A</v>
      </c>
    </row>
    <row r="1852" spans="1:7" ht="11.5" hidden="1" customHeight="1" x14ac:dyDescent="0.35">
      <c r="A1852" s="29" t="s">
        <v>2133</v>
      </c>
      <c r="B1852" s="29" t="s">
        <v>2134</v>
      </c>
      <c r="C1852" s="16">
        <v>0</v>
      </c>
      <c r="D1852" s="16">
        <v>0</v>
      </c>
      <c r="E1852" s="29" t="s">
        <v>42</v>
      </c>
      <c r="F1852" s="29" t="s">
        <v>43</v>
      </c>
      <c r="G1852" t="e">
        <v>#N/A</v>
      </c>
    </row>
    <row r="1853" spans="1:7" ht="11.5" hidden="1" customHeight="1" x14ac:dyDescent="0.35">
      <c r="A1853" s="29" t="s">
        <v>2135</v>
      </c>
      <c r="B1853" s="29" t="s">
        <v>2136</v>
      </c>
      <c r="C1853" s="16">
        <v>0</v>
      </c>
      <c r="D1853" s="16">
        <v>0</v>
      </c>
      <c r="E1853" s="29" t="s">
        <v>42</v>
      </c>
      <c r="F1853" s="29" t="s">
        <v>43</v>
      </c>
      <c r="G1853" t="e">
        <v>#N/A</v>
      </c>
    </row>
    <row r="1854" spans="1:7" ht="11.5" hidden="1" customHeight="1" x14ac:dyDescent="0.35">
      <c r="A1854" s="29" t="s">
        <v>2137</v>
      </c>
      <c r="B1854" s="29" t="s">
        <v>2138</v>
      </c>
      <c r="C1854" s="16">
        <v>0</v>
      </c>
      <c r="D1854" s="16">
        <v>0</v>
      </c>
      <c r="E1854" s="29" t="s">
        <v>42</v>
      </c>
      <c r="F1854" s="29" t="s">
        <v>43</v>
      </c>
      <c r="G1854" t="e">
        <v>#N/A</v>
      </c>
    </row>
    <row r="1855" spans="1:7" ht="11.5" hidden="1" customHeight="1" x14ac:dyDescent="0.35">
      <c r="A1855" s="29" t="s">
        <v>2139</v>
      </c>
      <c r="B1855" s="29" t="s">
        <v>2140</v>
      </c>
      <c r="C1855" s="16">
        <v>0</v>
      </c>
      <c r="D1855" s="16">
        <v>0</v>
      </c>
      <c r="E1855" s="29" t="s">
        <v>42</v>
      </c>
      <c r="F1855" s="29" t="s">
        <v>43</v>
      </c>
      <c r="G1855" t="e">
        <v>#N/A</v>
      </c>
    </row>
    <row r="1856" spans="1:7" ht="11.5" hidden="1" customHeight="1" x14ac:dyDescent="0.35">
      <c r="A1856" s="29" t="s">
        <v>2141</v>
      </c>
      <c r="B1856" s="29" t="s">
        <v>2142</v>
      </c>
      <c r="C1856" s="16">
        <v>0</v>
      </c>
      <c r="D1856" s="16">
        <v>0</v>
      </c>
      <c r="E1856" s="29" t="s">
        <v>42</v>
      </c>
      <c r="F1856" s="29" t="s">
        <v>43</v>
      </c>
      <c r="G1856" t="e">
        <v>#N/A</v>
      </c>
    </row>
    <row r="1857" spans="1:7" ht="11.5" hidden="1" customHeight="1" x14ac:dyDescent="0.35">
      <c r="A1857" s="29" t="s">
        <v>2143</v>
      </c>
      <c r="B1857" s="29" t="s">
        <v>2144</v>
      </c>
      <c r="C1857" s="16">
        <v>0</v>
      </c>
      <c r="D1857" s="16">
        <v>0</v>
      </c>
      <c r="E1857" s="29" t="s">
        <v>42</v>
      </c>
      <c r="F1857" s="29" t="s">
        <v>43</v>
      </c>
      <c r="G1857" t="e">
        <v>#N/A</v>
      </c>
    </row>
    <row r="1858" spans="1:7" ht="11.5" hidden="1" customHeight="1" x14ac:dyDescent="0.35">
      <c r="A1858" s="29" t="s">
        <v>2145</v>
      </c>
      <c r="B1858" s="29" t="s">
        <v>2146</v>
      </c>
      <c r="C1858" s="16">
        <v>0</v>
      </c>
      <c r="D1858" s="16">
        <v>0</v>
      </c>
      <c r="E1858" s="29" t="s">
        <v>42</v>
      </c>
      <c r="F1858" s="29" t="s">
        <v>43</v>
      </c>
      <c r="G1858" t="e">
        <v>#N/A</v>
      </c>
    </row>
    <row r="1859" spans="1:7" ht="11.5" hidden="1" customHeight="1" x14ac:dyDescent="0.35">
      <c r="A1859" s="29" t="s">
        <v>2147</v>
      </c>
      <c r="B1859" s="29" t="s">
        <v>2148</v>
      </c>
      <c r="C1859" s="16">
        <v>0</v>
      </c>
      <c r="D1859" s="16">
        <v>0</v>
      </c>
      <c r="E1859" s="29" t="s">
        <v>42</v>
      </c>
      <c r="F1859" s="29" t="s">
        <v>43</v>
      </c>
      <c r="G1859" t="e">
        <v>#N/A</v>
      </c>
    </row>
    <row r="1860" spans="1:7" ht="11.5" hidden="1" customHeight="1" x14ac:dyDescent="0.35">
      <c r="A1860" s="29" t="s">
        <v>2149</v>
      </c>
      <c r="B1860" s="29" t="s">
        <v>2150</v>
      </c>
      <c r="C1860" s="16">
        <v>0</v>
      </c>
      <c r="D1860" s="16">
        <v>0</v>
      </c>
      <c r="E1860" s="29" t="s">
        <v>42</v>
      </c>
      <c r="F1860" s="29" t="s">
        <v>43</v>
      </c>
      <c r="G1860" t="e">
        <v>#N/A</v>
      </c>
    </row>
    <row r="1861" spans="1:7" ht="11.5" hidden="1" customHeight="1" x14ac:dyDescent="0.35">
      <c r="A1861" s="29" t="s">
        <v>2151</v>
      </c>
      <c r="B1861" s="29" t="s">
        <v>2152</v>
      </c>
      <c r="C1861" s="16">
        <v>0</v>
      </c>
      <c r="D1861" s="16">
        <v>0</v>
      </c>
      <c r="E1861" s="29" t="s">
        <v>42</v>
      </c>
      <c r="F1861" s="29" t="s">
        <v>43</v>
      </c>
      <c r="G1861" t="e">
        <v>#N/A</v>
      </c>
    </row>
    <row r="1862" spans="1:7" ht="11.5" hidden="1" customHeight="1" x14ac:dyDescent="0.35">
      <c r="A1862" s="29" t="s">
        <v>3779</v>
      </c>
      <c r="B1862" s="29" t="s">
        <v>3780</v>
      </c>
      <c r="C1862" s="16">
        <v>0</v>
      </c>
      <c r="D1862" s="16">
        <v>0</v>
      </c>
      <c r="E1862" s="29" t="s">
        <v>42</v>
      </c>
      <c r="F1862" s="29" t="s">
        <v>43</v>
      </c>
      <c r="G1862" t="e">
        <v>#N/A</v>
      </c>
    </row>
    <row r="1863" spans="1:7" ht="11.5" customHeight="1" x14ac:dyDescent="0.35">
      <c r="A1863" s="29" t="s">
        <v>2223</v>
      </c>
      <c r="B1863" s="29" t="s">
        <v>3781</v>
      </c>
      <c r="C1863" s="16">
        <v>0</v>
      </c>
      <c r="D1863" s="16">
        <v>0</v>
      </c>
      <c r="E1863" s="29" t="s">
        <v>42</v>
      </c>
      <c r="F1863" s="29" t="s">
        <v>43</v>
      </c>
      <c r="G1863" t="s">
        <v>3879</v>
      </c>
    </row>
    <row r="1864" spans="1:7" ht="11.5" hidden="1" customHeight="1" x14ac:dyDescent="0.35">
      <c r="A1864" s="29" t="s">
        <v>2222</v>
      </c>
      <c r="B1864" s="29" t="s">
        <v>3782</v>
      </c>
      <c r="C1864" s="16">
        <v>0</v>
      </c>
      <c r="D1864" s="16">
        <v>0</v>
      </c>
      <c r="E1864" s="29" t="s">
        <v>42</v>
      </c>
      <c r="F1864" s="29" t="s">
        <v>43</v>
      </c>
      <c r="G1864" t="s">
        <v>3878</v>
      </c>
    </row>
    <row r="1865" spans="1:7" ht="11.5" hidden="1" customHeight="1" x14ac:dyDescent="0.35">
      <c r="A1865" s="29" t="s">
        <v>3783</v>
      </c>
      <c r="B1865" s="29" t="s">
        <v>2174</v>
      </c>
      <c r="C1865" s="16">
        <v>0</v>
      </c>
      <c r="D1865" s="16">
        <v>0</v>
      </c>
      <c r="E1865" s="29" t="s">
        <v>42</v>
      </c>
      <c r="F1865" s="29" t="s">
        <v>43</v>
      </c>
      <c r="G1865" t="e">
        <v>#N/A</v>
      </c>
    </row>
    <row r="1866" spans="1:7" ht="11.5" hidden="1" customHeight="1" x14ac:dyDescent="0.35">
      <c r="A1866" s="29" t="s">
        <v>3784</v>
      </c>
      <c r="B1866" s="29" t="s">
        <v>3785</v>
      </c>
      <c r="C1866" s="16">
        <v>0</v>
      </c>
      <c r="D1866" s="16">
        <v>0</v>
      </c>
      <c r="E1866" s="29" t="s">
        <v>42</v>
      </c>
      <c r="F1866" s="29" t="s">
        <v>43</v>
      </c>
      <c r="G1866" t="e">
        <v>#N/A</v>
      </c>
    </row>
    <row r="1867" spans="1:7" ht="11.5" hidden="1" customHeight="1" x14ac:dyDescent="0.35">
      <c r="A1867" s="29" t="s">
        <v>2175</v>
      </c>
      <c r="B1867" s="29" t="s">
        <v>3786</v>
      </c>
      <c r="C1867" s="16">
        <v>0</v>
      </c>
      <c r="D1867" s="16">
        <v>0</v>
      </c>
      <c r="E1867" s="29" t="s">
        <v>42</v>
      </c>
      <c r="F1867" s="29" t="s">
        <v>43</v>
      </c>
      <c r="G1867" t="e">
        <v>#N/A</v>
      </c>
    </row>
    <row r="1868" spans="1:7" ht="11.5" hidden="1" customHeight="1" x14ac:dyDescent="0.35">
      <c r="A1868" s="29" t="s">
        <v>3787</v>
      </c>
      <c r="B1868" s="29" t="s">
        <v>3788</v>
      </c>
      <c r="C1868" s="16">
        <v>0</v>
      </c>
      <c r="D1868" s="16">
        <v>0</v>
      </c>
      <c r="E1868" s="29" t="s">
        <v>42</v>
      </c>
      <c r="F1868" s="29" t="s">
        <v>43</v>
      </c>
      <c r="G1868" t="e">
        <v>#N/A</v>
      </c>
    </row>
    <row r="1869" spans="1:7" ht="11.5" hidden="1" customHeight="1" x14ac:dyDescent="0.35">
      <c r="A1869" s="29" t="s">
        <v>3789</v>
      </c>
      <c r="B1869" s="29" t="s">
        <v>3790</v>
      </c>
      <c r="C1869" s="16">
        <v>0</v>
      </c>
      <c r="D1869" s="16">
        <v>0</v>
      </c>
      <c r="E1869" s="29" t="s">
        <v>42</v>
      </c>
      <c r="F1869" s="29" t="s">
        <v>43</v>
      </c>
      <c r="G1869" t="e">
        <v>#N/A</v>
      </c>
    </row>
    <row r="1870" spans="1:7" ht="11.5" hidden="1" customHeight="1" x14ac:dyDescent="0.35">
      <c r="A1870" s="29" t="s">
        <v>2219</v>
      </c>
      <c r="B1870" s="29" t="s">
        <v>3791</v>
      </c>
      <c r="C1870" s="16">
        <v>0</v>
      </c>
      <c r="D1870" s="16">
        <v>0</v>
      </c>
      <c r="E1870" s="29" t="s">
        <v>42</v>
      </c>
      <c r="F1870" s="29" t="s">
        <v>43</v>
      </c>
      <c r="G1870" t="s">
        <v>3875</v>
      </c>
    </row>
    <row r="1871" spans="1:7" ht="11.5" hidden="1" customHeight="1" x14ac:dyDescent="0.35">
      <c r="A1871" s="29" t="s">
        <v>2220</v>
      </c>
      <c r="B1871" s="29" t="s">
        <v>3792</v>
      </c>
      <c r="C1871" s="16">
        <v>0</v>
      </c>
      <c r="D1871" s="16">
        <v>0</v>
      </c>
      <c r="E1871" s="29" t="s">
        <v>42</v>
      </c>
      <c r="F1871" s="29" t="s">
        <v>43</v>
      </c>
      <c r="G1871" t="s">
        <v>3876</v>
      </c>
    </row>
    <row r="1872" spans="1:7" ht="11.5" hidden="1" customHeight="1" x14ac:dyDescent="0.35">
      <c r="A1872" s="29" t="s">
        <v>2221</v>
      </c>
      <c r="B1872" s="29" t="s">
        <v>3793</v>
      </c>
      <c r="C1872" s="16">
        <v>0</v>
      </c>
      <c r="D1872" s="16">
        <v>0</v>
      </c>
      <c r="E1872" s="29" t="s">
        <v>42</v>
      </c>
      <c r="F1872" s="29" t="s">
        <v>43</v>
      </c>
      <c r="G1872" t="s">
        <v>3877</v>
      </c>
    </row>
    <row r="1873" spans="1:7" ht="11.5" hidden="1" customHeight="1" x14ac:dyDescent="0.35">
      <c r="A1873" s="29" t="s">
        <v>2153</v>
      </c>
      <c r="B1873" s="29" t="s">
        <v>2154</v>
      </c>
      <c r="C1873" s="16">
        <v>0</v>
      </c>
      <c r="D1873" s="16">
        <v>0</v>
      </c>
      <c r="E1873" s="29" t="s">
        <v>42</v>
      </c>
      <c r="F1873" s="29" t="s">
        <v>43</v>
      </c>
      <c r="G1873" t="e">
        <v>#N/A</v>
      </c>
    </row>
    <row r="1874" spans="1:7" ht="11.5" hidden="1" customHeight="1" x14ac:dyDescent="0.35">
      <c r="A1874" s="29" t="s">
        <v>2155</v>
      </c>
      <c r="B1874" s="29" t="s">
        <v>2156</v>
      </c>
      <c r="C1874" s="16">
        <v>0</v>
      </c>
      <c r="D1874" s="16">
        <v>0</v>
      </c>
      <c r="E1874" s="29" t="s">
        <v>42</v>
      </c>
      <c r="F1874" s="29" t="s">
        <v>43</v>
      </c>
      <c r="G1874" t="e">
        <v>#N/A</v>
      </c>
    </row>
    <row r="1875" spans="1:7" ht="11.5" hidden="1" customHeight="1" x14ac:dyDescent="0.35">
      <c r="A1875" s="29" t="s">
        <v>2157</v>
      </c>
      <c r="B1875" s="29" t="s">
        <v>2158</v>
      </c>
      <c r="C1875" s="16">
        <v>0</v>
      </c>
      <c r="D1875" s="16">
        <v>0</v>
      </c>
      <c r="E1875" s="29" t="s">
        <v>42</v>
      </c>
      <c r="F1875" s="29" t="s">
        <v>43</v>
      </c>
      <c r="G1875" t="e">
        <v>#N/A</v>
      </c>
    </row>
    <row r="1876" spans="1:7" ht="11.5" hidden="1" customHeight="1" x14ac:dyDescent="0.35">
      <c r="A1876" s="29" t="s">
        <v>3794</v>
      </c>
      <c r="B1876" s="29" t="s">
        <v>3795</v>
      </c>
      <c r="C1876" s="16">
        <v>0</v>
      </c>
      <c r="D1876" s="16">
        <v>0</v>
      </c>
      <c r="E1876" s="29" t="s">
        <v>42</v>
      </c>
      <c r="F1876" s="29" t="s">
        <v>43</v>
      </c>
      <c r="G1876" t="e">
        <v>#N/A</v>
      </c>
    </row>
    <row r="1877" spans="1:7" ht="11.5" hidden="1" customHeight="1" x14ac:dyDescent="0.35">
      <c r="A1877" s="29" t="s">
        <v>3796</v>
      </c>
      <c r="B1877" s="29" t="s">
        <v>3797</v>
      </c>
      <c r="C1877" s="16">
        <v>0</v>
      </c>
      <c r="D1877" s="16">
        <v>0</v>
      </c>
      <c r="E1877" s="29" t="s">
        <v>42</v>
      </c>
      <c r="F1877" s="29" t="s">
        <v>43</v>
      </c>
      <c r="G1877" t="e">
        <v>#N/A</v>
      </c>
    </row>
    <row r="1878" spans="1:7" ht="11.5" hidden="1" customHeight="1" x14ac:dyDescent="0.35">
      <c r="A1878" s="29" t="s">
        <v>3798</v>
      </c>
      <c r="B1878" s="29" t="s">
        <v>3799</v>
      </c>
      <c r="C1878" s="16">
        <v>0</v>
      </c>
      <c r="D1878" s="16">
        <v>0</v>
      </c>
      <c r="E1878" s="29" t="s">
        <v>42</v>
      </c>
      <c r="F1878" s="29" t="s">
        <v>43</v>
      </c>
      <c r="G1878" t="e">
        <v>#N/A</v>
      </c>
    </row>
    <row r="1879" spans="1:7" ht="11.5" hidden="1" customHeight="1" x14ac:dyDescent="0.35">
      <c r="A1879" s="29" t="s">
        <v>3800</v>
      </c>
      <c r="B1879" s="29" t="s">
        <v>3801</v>
      </c>
      <c r="C1879" s="16">
        <v>0</v>
      </c>
      <c r="D1879" s="16">
        <v>0</v>
      </c>
      <c r="E1879" s="29" t="s">
        <v>42</v>
      </c>
      <c r="F1879" s="29" t="s">
        <v>43</v>
      </c>
      <c r="G1879" t="e">
        <v>#N/A</v>
      </c>
    </row>
    <row r="1880" spans="1:7" ht="11.5" hidden="1" customHeight="1" x14ac:dyDescent="0.35">
      <c r="A1880" s="29" t="s">
        <v>3802</v>
      </c>
      <c r="B1880" s="29" t="s">
        <v>3803</v>
      </c>
      <c r="C1880" s="16">
        <v>0</v>
      </c>
      <c r="D1880" s="16">
        <v>0</v>
      </c>
      <c r="E1880" s="29" t="s">
        <v>42</v>
      </c>
      <c r="F1880" s="29" t="s">
        <v>43</v>
      </c>
      <c r="G1880" t="e">
        <v>#N/A</v>
      </c>
    </row>
    <row r="1881" spans="1:7" ht="11.5" hidden="1" customHeight="1" x14ac:dyDescent="0.35">
      <c r="A1881" s="29" t="s">
        <v>3804</v>
      </c>
      <c r="B1881" s="29" t="s">
        <v>3805</v>
      </c>
      <c r="C1881" s="16">
        <v>0</v>
      </c>
      <c r="D1881" s="16">
        <v>0</v>
      </c>
      <c r="E1881" s="29" t="s">
        <v>42</v>
      </c>
      <c r="F1881" s="29" t="s">
        <v>43</v>
      </c>
      <c r="G1881" t="e">
        <v>#N/A</v>
      </c>
    </row>
    <row r="1882" spans="1:7" ht="11.5" hidden="1" customHeight="1" x14ac:dyDescent="0.35">
      <c r="A1882" s="29" t="s">
        <v>3806</v>
      </c>
      <c r="B1882" s="29" t="s">
        <v>3807</v>
      </c>
      <c r="C1882" s="16">
        <v>0</v>
      </c>
      <c r="D1882" s="16">
        <v>0</v>
      </c>
      <c r="E1882" s="29" t="s">
        <v>42</v>
      </c>
      <c r="F1882" s="29" t="s">
        <v>43</v>
      </c>
      <c r="G1882" t="e">
        <v>#N/A</v>
      </c>
    </row>
    <row r="1883" spans="1:7" ht="11.5" hidden="1" customHeight="1" x14ac:dyDescent="0.35">
      <c r="A1883" s="29" t="s">
        <v>3808</v>
      </c>
      <c r="B1883" s="29" t="s">
        <v>3809</v>
      </c>
      <c r="C1883" s="16">
        <v>0</v>
      </c>
      <c r="D1883" s="16">
        <v>0</v>
      </c>
      <c r="E1883" s="29" t="s">
        <v>42</v>
      </c>
      <c r="F1883" s="29" t="s">
        <v>43</v>
      </c>
      <c r="G1883" t="e">
        <v>#N/A</v>
      </c>
    </row>
    <row r="1884" spans="1:7" ht="11.5" hidden="1" customHeight="1" x14ac:dyDescent="0.35">
      <c r="A1884" s="29" t="s">
        <v>3810</v>
      </c>
      <c r="B1884" s="29" t="s">
        <v>3811</v>
      </c>
      <c r="C1884" s="16">
        <v>0</v>
      </c>
      <c r="D1884" s="16">
        <v>0</v>
      </c>
      <c r="E1884" s="29" t="s">
        <v>42</v>
      </c>
      <c r="F1884" s="29" t="s">
        <v>43</v>
      </c>
      <c r="G1884" t="e">
        <v>#N/A</v>
      </c>
    </row>
    <row r="1885" spans="1:7" ht="11.5" hidden="1" customHeight="1" x14ac:dyDescent="0.35">
      <c r="A1885" s="29" t="s">
        <v>3812</v>
      </c>
      <c r="B1885" s="29" t="s">
        <v>3813</v>
      </c>
      <c r="C1885" s="16">
        <v>0</v>
      </c>
      <c r="D1885" s="16">
        <v>0</v>
      </c>
      <c r="E1885" s="29" t="s">
        <v>42</v>
      </c>
      <c r="F1885" s="29" t="s">
        <v>43</v>
      </c>
      <c r="G1885" t="e">
        <v>#N/A</v>
      </c>
    </row>
    <row r="1886" spans="1:7" ht="11.5" hidden="1" customHeight="1" x14ac:dyDescent="0.35">
      <c r="A1886" s="29" t="s">
        <v>3814</v>
      </c>
      <c r="B1886" s="29" t="s">
        <v>3815</v>
      </c>
      <c r="C1886" s="16">
        <v>0</v>
      </c>
      <c r="D1886" s="16">
        <v>0</v>
      </c>
      <c r="E1886" s="29" t="s">
        <v>42</v>
      </c>
      <c r="F1886" s="29" t="s">
        <v>43</v>
      </c>
      <c r="G1886" t="e">
        <v>#N/A</v>
      </c>
    </row>
    <row r="1887" spans="1:7" ht="11.5" hidden="1" customHeight="1" x14ac:dyDescent="0.35">
      <c r="A1887" s="29" t="s">
        <v>3816</v>
      </c>
      <c r="B1887" s="29" t="s">
        <v>3817</v>
      </c>
      <c r="C1887" s="16">
        <v>0</v>
      </c>
      <c r="D1887" s="16">
        <v>0</v>
      </c>
      <c r="E1887" s="29" t="s">
        <v>42</v>
      </c>
      <c r="F1887" s="29" t="s">
        <v>43</v>
      </c>
      <c r="G1887" t="e">
        <v>#N/A</v>
      </c>
    </row>
    <row r="1888" spans="1:7" ht="11.5" hidden="1" customHeight="1" x14ac:dyDescent="0.35">
      <c r="A1888" s="29" t="s">
        <v>3818</v>
      </c>
      <c r="B1888" s="29" t="s">
        <v>3819</v>
      </c>
      <c r="C1888" s="16">
        <v>0</v>
      </c>
      <c r="D1888" s="16">
        <v>0</v>
      </c>
      <c r="E1888" s="29" t="s">
        <v>42</v>
      </c>
      <c r="F1888" s="29" t="s">
        <v>43</v>
      </c>
      <c r="G1888" t="e">
        <v>#N/A</v>
      </c>
    </row>
    <row r="1889" spans="1:7" ht="11.5" hidden="1" customHeight="1" x14ac:dyDescent="0.35">
      <c r="A1889" s="29" t="s">
        <v>3820</v>
      </c>
      <c r="B1889" s="29" t="s">
        <v>3821</v>
      </c>
      <c r="C1889" s="16">
        <v>0</v>
      </c>
      <c r="D1889" s="16">
        <v>0</v>
      </c>
      <c r="E1889" s="29" t="s">
        <v>42</v>
      </c>
      <c r="F1889" s="29" t="s">
        <v>43</v>
      </c>
      <c r="G1889" t="e">
        <v>#N/A</v>
      </c>
    </row>
    <row r="1890" spans="1:7" ht="11.5" hidden="1" customHeight="1" x14ac:dyDescent="0.35">
      <c r="A1890" s="29" t="s">
        <v>3822</v>
      </c>
      <c r="B1890" s="29" t="s">
        <v>3823</v>
      </c>
      <c r="C1890" s="16">
        <v>0</v>
      </c>
      <c r="D1890" s="16">
        <v>0</v>
      </c>
      <c r="E1890" s="29" t="s">
        <v>42</v>
      </c>
      <c r="F1890" s="29" t="s">
        <v>43</v>
      </c>
      <c r="G1890" t="e">
        <v>#N/A</v>
      </c>
    </row>
    <row r="1891" spans="1:7" ht="11.5" hidden="1" customHeight="1" x14ac:dyDescent="0.35">
      <c r="A1891" s="29" t="s">
        <v>3951</v>
      </c>
      <c r="B1891" s="29" t="s">
        <v>3952</v>
      </c>
      <c r="C1891" s="16">
        <v>0</v>
      </c>
      <c r="D1891" s="16">
        <v>0</v>
      </c>
      <c r="E1891" s="29" t="s">
        <v>42</v>
      </c>
      <c r="F1891" s="29" t="s">
        <v>43</v>
      </c>
      <c r="G1891" t="e">
        <v>#N/A</v>
      </c>
    </row>
    <row r="1892" spans="1:7" hidden="1" x14ac:dyDescent="0.35">
      <c r="A1892" s="29" t="s">
        <v>3953</v>
      </c>
      <c r="B1892" s="29" t="s">
        <v>3954</v>
      </c>
      <c r="C1892" s="16">
        <v>0</v>
      </c>
      <c r="D1892" s="16">
        <v>0</v>
      </c>
      <c r="E1892" s="29" t="s">
        <v>42</v>
      </c>
      <c r="F1892" s="29" t="s">
        <v>43</v>
      </c>
      <c r="G1892" t="e">
        <v>#N/A</v>
      </c>
    </row>
    <row r="1893" spans="1:7" hidden="1" x14ac:dyDescent="0.35">
      <c r="A1893" s="29" t="s">
        <v>3955</v>
      </c>
      <c r="B1893" s="29" t="s">
        <v>3956</v>
      </c>
      <c r="C1893" s="16">
        <v>0</v>
      </c>
      <c r="D1893" s="16">
        <v>0</v>
      </c>
      <c r="E1893" s="29" t="s">
        <v>42</v>
      </c>
      <c r="F1893" s="29" t="s">
        <v>43</v>
      </c>
      <c r="G1893" t="e">
        <v>#N/A</v>
      </c>
    </row>
    <row r="1894" spans="1:7" x14ac:dyDescent="0.35">
      <c r="A1894" s="29" t="s">
        <v>3957</v>
      </c>
      <c r="B1894" s="29" t="s">
        <v>3958</v>
      </c>
      <c r="C1894" s="16">
        <v>0</v>
      </c>
      <c r="D1894" s="16">
        <v>0</v>
      </c>
      <c r="E1894" s="29" t="s">
        <v>42</v>
      </c>
      <c r="F1894" s="29" t="s">
        <v>43</v>
      </c>
      <c r="G1894" t="e">
        <v>#N/A</v>
      </c>
    </row>
    <row r="1895" spans="1:7" hidden="1" x14ac:dyDescent="0.35">
      <c r="A1895" s="29" t="s">
        <v>3959</v>
      </c>
      <c r="B1895" s="29" t="s">
        <v>3960</v>
      </c>
      <c r="C1895" s="16">
        <v>0</v>
      </c>
      <c r="D1895" s="16">
        <v>0</v>
      </c>
      <c r="E1895" s="29" t="s">
        <v>42</v>
      </c>
      <c r="F1895" s="29" t="s">
        <v>43</v>
      </c>
      <c r="G1895" t="e">
        <v>#N/A</v>
      </c>
    </row>
    <row r="1896" spans="1:7" hidden="1" x14ac:dyDescent="0.35">
      <c r="A1896" s="29" t="s">
        <v>3961</v>
      </c>
      <c r="B1896" s="29" t="s">
        <v>3962</v>
      </c>
      <c r="C1896" s="16">
        <v>0</v>
      </c>
      <c r="D1896" s="16">
        <v>0</v>
      </c>
      <c r="E1896" s="29" t="s">
        <v>42</v>
      </c>
      <c r="F1896" s="29" t="s">
        <v>43</v>
      </c>
      <c r="G1896" t="e">
        <v>#N/A</v>
      </c>
    </row>
    <row r="1897" spans="1:7" hidden="1" x14ac:dyDescent="0.35">
      <c r="A1897" s="29" t="s">
        <v>3963</v>
      </c>
      <c r="B1897" s="29" t="s">
        <v>3964</v>
      </c>
      <c r="C1897" s="16">
        <v>0</v>
      </c>
      <c r="D1897" s="16">
        <v>0</v>
      </c>
      <c r="E1897" s="29" t="s">
        <v>42</v>
      </c>
      <c r="F1897" s="29" t="s">
        <v>43</v>
      </c>
      <c r="G1897" t="e">
        <v>#N/A</v>
      </c>
    </row>
    <row r="1898" spans="1:7" hidden="1" x14ac:dyDescent="0.35">
      <c r="A1898" s="29" t="s">
        <v>3965</v>
      </c>
      <c r="B1898" s="29" t="s">
        <v>3966</v>
      </c>
      <c r="C1898" s="16">
        <v>0</v>
      </c>
      <c r="D1898" s="16">
        <v>0</v>
      </c>
      <c r="E1898" s="29" t="s">
        <v>42</v>
      </c>
      <c r="F1898" s="29" t="s">
        <v>43</v>
      </c>
      <c r="G1898" t="e">
        <v>#N/A</v>
      </c>
    </row>
    <row r="1899" spans="1:7" hidden="1" x14ac:dyDescent="0.35">
      <c r="A1899" s="29" t="s">
        <v>3967</v>
      </c>
      <c r="B1899" s="29" t="s">
        <v>3968</v>
      </c>
      <c r="C1899" s="16">
        <v>0</v>
      </c>
      <c r="D1899" s="16">
        <v>0</v>
      </c>
      <c r="E1899" s="29" t="s">
        <v>42</v>
      </c>
      <c r="F1899" s="29" t="s">
        <v>43</v>
      </c>
      <c r="G1899" t="e">
        <v>#N/A</v>
      </c>
    </row>
    <row r="1900" spans="1:7" hidden="1" x14ac:dyDescent="0.35">
      <c r="A1900" s="29" t="s">
        <v>3969</v>
      </c>
      <c r="B1900" s="29" t="s">
        <v>3970</v>
      </c>
      <c r="C1900" s="16">
        <v>0</v>
      </c>
      <c r="D1900" s="16">
        <v>0</v>
      </c>
      <c r="E1900" s="29" t="s">
        <v>42</v>
      </c>
      <c r="F1900" s="29" t="s">
        <v>43</v>
      </c>
      <c r="G1900" t="e">
        <v>#N/A</v>
      </c>
    </row>
    <row r="1901" spans="1:7" hidden="1" x14ac:dyDescent="0.35">
      <c r="A1901" s="29" t="s">
        <v>3971</v>
      </c>
      <c r="B1901" s="29" t="s">
        <v>3972</v>
      </c>
      <c r="C1901" s="16">
        <v>0</v>
      </c>
      <c r="D1901" s="16">
        <v>0</v>
      </c>
      <c r="E1901" s="29" t="s">
        <v>42</v>
      </c>
      <c r="F1901" s="29" t="s">
        <v>43</v>
      </c>
      <c r="G1901" t="e">
        <v>#N/A</v>
      </c>
    </row>
    <row r="1902" spans="1:7" hidden="1" x14ac:dyDescent="0.35">
      <c r="A1902" s="29" t="s">
        <v>3973</v>
      </c>
      <c r="B1902" s="29" t="s">
        <v>3974</v>
      </c>
      <c r="C1902" s="16">
        <v>0</v>
      </c>
      <c r="D1902" s="16">
        <v>0</v>
      </c>
      <c r="E1902" s="29" t="s">
        <v>42</v>
      </c>
      <c r="F1902" s="29" t="s">
        <v>43</v>
      </c>
      <c r="G1902" t="e">
        <v>#N/A</v>
      </c>
    </row>
    <row r="1903" spans="1:7" hidden="1" x14ac:dyDescent="0.35">
      <c r="A1903" s="29" t="s">
        <v>3975</v>
      </c>
      <c r="B1903" s="29" t="s">
        <v>3976</v>
      </c>
      <c r="C1903" s="16">
        <v>0</v>
      </c>
      <c r="D1903" s="16">
        <v>0</v>
      </c>
      <c r="E1903" s="29" t="s">
        <v>42</v>
      </c>
      <c r="F1903" s="29" t="s">
        <v>43</v>
      </c>
      <c r="G1903" t="e">
        <v>#N/A</v>
      </c>
    </row>
    <row r="1904" spans="1:7" hidden="1" x14ac:dyDescent="0.35">
      <c r="A1904" s="29" t="s">
        <v>3977</v>
      </c>
      <c r="B1904" s="29" t="s">
        <v>3978</v>
      </c>
      <c r="C1904" s="16">
        <v>0</v>
      </c>
      <c r="D1904" s="16">
        <v>0</v>
      </c>
      <c r="E1904" s="29" t="s">
        <v>42</v>
      </c>
      <c r="F1904" s="29" t="s">
        <v>43</v>
      </c>
      <c r="G1904" t="e">
        <v>#N/A</v>
      </c>
    </row>
    <row r="1905" spans="1:7" hidden="1" x14ac:dyDescent="0.35">
      <c r="A1905" s="29" t="s">
        <v>3979</v>
      </c>
      <c r="B1905" s="29" t="s">
        <v>3980</v>
      </c>
      <c r="C1905" s="16">
        <v>0</v>
      </c>
      <c r="D1905" s="16">
        <v>0</v>
      </c>
      <c r="E1905" s="29" t="s">
        <v>42</v>
      </c>
      <c r="F1905" s="29" t="s">
        <v>43</v>
      </c>
      <c r="G1905" t="e">
        <v>#N/A</v>
      </c>
    </row>
    <row r="1906" spans="1:7" hidden="1" x14ac:dyDescent="0.35">
      <c r="A1906" s="29" t="s">
        <v>3981</v>
      </c>
      <c r="B1906" s="29" t="s">
        <v>3982</v>
      </c>
      <c r="C1906" s="16">
        <v>0</v>
      </c>
      <c r="D1906" s="16">
        <v>0</v>
      </c>
      <c r="E1906" s="29" t="s">
        <v>42</v>
      </c>
      <c r="F1906" s="29" t="s">
        <v>43</v>
      </c>
      <c r="G1906" t="e">
        <v>#N/A</v>
      </c>
    </row>
    <row r="1907" spans="1:7" hidden="1" x14ac:dyDescent="0.35">
      <c r="A1907" s="29" t="s">
        <v>3983</v>
      </c>
      <c r="B1907" s="29" t="s">
        <v>10</v>
      </c>
      <c r="C1907" s="16">
        <v>0</v>
      </c>
      <c r="D1907" s="16">
        <v>0</v>
      </c>
      <c r="E1907" s="29" t="s">
        <v>42</v>
      </c>
      <c r="F1907" s="29" t="s">
        <v>43</v>
      </c>
      <c r="G1907" t="e">
        <v>#N/A</v>
      </c>
    </row>
    <row r="1908" spans="1:7" hidden="1" x14ac:dyDescent="0.35">
      <c r="A1908" s="29" t="s">
        <v>3984</v>
      </c>
      <c r="B1908" s="29" t="s">
        <v>3985</v>
      </c>
      <c r="C1908" s="16">
        <v>0</v>
      </c>
      <c r="D1908" s="16">
        <v>0</v>
      </c>
      <c r="E1908" s="29" t="s">
        <v>42</v>
      </c>
      <c r="F1908" s="29" t="s">
        <v>43</v>
      </c>
      <c r="G1908" t="e">
        <v>#N/A</v>
      </c>
    </row>
    <row r="1909" spans="1:7" hidden="1" x14ac:dyDescent="0.35">
      <c r="A1909" s="29" t="s">
        <v>3986</v>
      </c>
      <c r="B1909" s="29" t="s">
        <v>3987</v>
      </c>
      <c r="C1909" s="16">
        <v>0</v>
      </c>
      <c r="D1909" s="16">
        <v>0</v>
      </c>
      <c r="E1909" s="29" t="s">
        <v>42</v>
      </c>
      <c r="F1909" s="29" t="s">
        <v>43</v>
      </c>
      <c r="G1909" t="e">
        <v>#N/A</v>
      </c>
    </row>
    <row r="1910" spans="1:7" hidden="1" x14ac:dyDescent="0.35">
      <c r="A1910" s="29" t="s">
        <v>3988</v>
      </c>
      <c r="B1910" s="29" t="s">
        <v>3989</v>
      </c>
      <c r="C1910" s="16">
        <v>0</v>
      </c>
      <c r="D1910" s="16">
        <v>0</v>
      </c>
      <c r="E1910" s="29" t="s">
        <v>42</v>
      </c>
      <c r="F1910" s="29" t="s">
        <v>43</v>
      </c>
      <c r="G1910" t="e">
        <v>#N/A</v>
      </c>
    </row>
    <row r="1911" spans="1:7" hidden="1" x14ac:dyDescent="0.35">
      <c r="A1911" s="29" t="s">
        <v>3990</v>
      </c>
      <c r="B1911" s="29" t="s">
        <v>2179</v>
      </c>
      <c r="C1911" s="16">
        <v>0</v>
      </c>
      <c r="D1911" s="16">
        <v>0</v>
      </c>
      <c r="E1911" s="29" t="s">
        <v>42</v>
      </c>
      <c r="F1911" s="29" t="s">
        <v>43</v>
      </c>
      <c r="G1911" t="e">
        <v>#N/A</v>
      </c>
    </row>
  </sheetData>
  <autoFilter ref="A5:G1911" xr:uid="{6660F902-6C9A-463D-88F4-F77E7A3E106C}">
    <filterColumn colId="1">
      <filters>
        <filter val="Karkas Uk 0.9"/>
        <filter val="Karkas Uk 0.9 Frozen Premium"/>
        <filter val="Karkas Uk 0.9 Karaks Uk 0.9 Frozen Kepala - Selang Leher Grade D"/>
        <filter val="Karkas Uk 0.9 Karkas Uk 0.9 Fresh Ceker"/>
        <filter val="Karkas Uk 0.9 Karkas Uk 0.9 Fresh Ceker Grade D"/>
        <filter val="Karkas Uk 0.9 Karkas Uk 0.9 Fresh Grade A"/>
        <filter val="Karkas Uk 0.9 Karkas Uk 0.9 Fresh Grade B"/>
        <filter val="Karkas Uk 0.9 Karkas Uk 0.9 Fresh Grade C"/>
        <filter val="Karkas Uk 0.9 Karkas Uk 0.9 Fresh Grade D"/>
        <filter val="Karkas Uk 0.9 Karkas Uk 0.9 Fresh HJA"/>
        <filter val="Karkas Uk 0.9 Karkas Uk 0.9 Fresh Hja - Ampela"/>
        <filter val="Karkas Uk 0.9 Karkas Uk 0.9 Fresh HJA - Ampela Grade"/>
        <filter val="Karkas Uk 0.9 Karkas Uk 0.9 Fresh HJA - Ampela Grade D"/>
        <filter val="Karkas Uk 0.9 Karkas Uk 0.9 Fresh HJA - Hati"/>
        <filter val="Karkas Uk 0.9 Karkas Uk 0.9 Fresh HJA - Hati Grade"/>
        <filter val="Karkas Uk 0.9 Karkas Uk 0.9 Fresh HJA - Hati Grade D"/>
        <filter val="Karkas Uk 0.9 Karkas Uk 0.9 Fresh HJA - Jantung"/>
        <filter val="Karkas Uk 0.9 Karkas Uk 0.9 Fresh HJA - Jantung Grade"/>
        <filter val="Karkas Uk 0.9 Karkas Uk 0.9 Fresh HJA - Jantung Grade D"/>
        <filter val="Karkas Uk 0.9 Karkas Uk 0.9 Fresh HJA Grade"/>
        <filter val="Karkas Uk 0.9 Karkas Uk 0.9 Fresh HJA Grade D"/>
        <filter val="Karkas Uk 0.9 Karkas Uk 0.9 Fresh Kepala"/>
        <filter val="Karkas Uk 0.9 Karkas Uk 0.9 fresh kepala - Batok kepala"/>
        <filter val="Karkas Uk 0.9 Karkas Uk 0.9 Fresh Kepala - Batok Kepala Grade D"/>
        <filter val="Karkas Uk 0.9 Karkas Uk 0.9 fresh kepala - Kulit Leher"/>
        <filter val="Karkas Uk 0.9 Karkas Uk 0.9 fresh kepala - Kulit Leher Grade D"/>
        <filter val="Karkas Uk 0.9 Karkas Uk 0.9 fresh kepala - Selang Leher"/>
        <filter val="Karkas Uk 0.9 Karkas Uk 0.9 Fresh kepala - Trimming Leher"/>
        <filter val="Karkas Uk 0.9 Karkas Uk 0.9 Fresh Kepala - Trimming Leher Grade D"/>
        <filter val="Karkas Uk 0.9 Karkas Uk 0.9 Fresh kepala - Tulang Leher"/>
        <filter val="Karkas Uk 0.9 Karkas Uk 0.9 fresh Kepala - Tulang Leher Grade D"/>
        <filter val="Karkas Uk 0.9 Karkas Uk 0.9 Fresh Kepala Grade D"/>
        <filter val="Karkas Uk 0.9 Karkas Uk 0.9 Fresh Kepala -Selang leher grade D"/>
        <filter val="Karkas Uk 0.9 Karkas Uk 0.9 Fresh Premium"/>
        <filter val="Karkas Uk 0.9 Karkas Uk 0.9 Fresh Usus Kotor"/>
        <filter val="Karkas Uk 0.9 Karkas Uk 0.9 Fresh Usus Kotor Grade D"/>
        <filter val="Karkas Uk 0.9 Karkas Uk 0.9 Frozen Ceker"/>
        <filter val="Karkas Uk 0.9 Karkas Uk 0.9 Frozen Ceker Grade D"/>
        <filter val="Karkas Uk 0.9 Karkas Uk 0.9 Frozen Grade A"/>
        <filter val="Karkas Uk 0.9 Karkas Uk 0.9 Frozen Grade B"/>
        <filter val="Karkas Uk 0.9 Karkas Uk 0.9 Frozen Grade C"/>
        <filter val="Karkas Uk 0.9 Karkas Uk 0.9 Frozen Grade D"/>
        <filter val="Karkas Uk 0.9 Karkas Uk 0.9 Frozen HJA"/>
        <filter val="Karkas Uk 0.9 Karkas Uk 0.9 Frozen HJA - Ampela"/>
        <filter val="Karkas Uk 0.9 Karkas Uk 0.9 Frozen HJA - Ampela Grade"/>
        <filter val="Karkas Uk 0.9 Karkas Uk 0.9 Frozen HJA - Hati"/>
        <filter val="Karkas Uk 0.9 Karkas Uk 0.9 Frozen HJA - Hati Grade"/>
        <filter val="Karkas Uk 0.9 Karkas Uk 0.9 Frozen HJA - Hati Grade D"/>
        <filter val="Karkas Uk 0.9 Karkas Uk 0.9 Frozen HJA - Jantung"/>
        <filter val="Karkas Uk 0.9 Karkas Uk 0.9 Frozen HJA - Jantung Grade"/>
        <filter val="Karkas Uk 0.9 Karkas Uk 0.9 Frozen HJA - Jantung Grade D"/>
        <filter val="Karkas Uk 0.9 Karkas Uk 0.9 Frozen Hja Grade"/>
        <filter val="Karkas Uk 0.9 Karkas Uk 0.9 Frozen HJA Grade D"/>
        <filter val="Karkas Uk 0.9 Karkas Uk 0.9 Frozen Kepala"/>
        <filter val="Karkas Uk 0.9 Karkas Uk 0.9 Frozen Kepala - Batok Kepala"/>
        <filter val="Karkas Uk 0.9 Karkas Uk 0.9 Frozen Kepala - Batok Kepala Grade D"/>
        <filter val="Karkas Uk 0.9 Karkas Uk 0.9 Frozen Kepala - Kulit Leher"/>
        <filter val="Karkas Uk 0.9 Karkas Uk 0.9 Frozen Kepala - Kulit Leher Grade D"/>
        <filter val="Karkas Uk 0.9 Karkas UK 0.9 Frozen Kepala - Selang Leher"/>
        <filter val="Karkas Uk 0.9 Karkas UK 0.9 Frozen Kepala - Trimming Leher"/>
        <filter val="Karkas Uk 0.9 Karkas Uk 0.9 Frozen Kepala - Trimming Leher Grade D"/>
        <filter val="Karkas Uk 0.9 Karkas Uk 0.9 Frozen Kepala - Tulang Leher"/>
        <filter val="Karkas Uk 0.9 Karkas Uk 0.9 Frozen Kepala - Tulang Leher Grade D"/>
        <filter val="Karkas Uk 0.9 Karkas UK 0.9 Frozen Kepala Grade D"/>
        <filter val="Karkas Uk 0.9 Karkas Uk 0.9 Frozen Usus Kotor"/>
        <filter val="Karkas Uk 0.9 Karkas Uk 0.9 Frozen Usus Kotor Grade D"/>
      </filters>
    </filterColumn>
  </autoFilter>
  <pageMargins left="0.3611111111111111" right="0.3611111111111111" top="0.3611111111111111" bottom="0.3611111111111111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82B3-B279-499A-9741-AEE869534E4A}">
  <sheetPr>
    <outlinePr summaryBelow="0" summaryRight="0"/>
  </sheetPr>
  <dimension ref="A1:K1002"/>
  <sheetViews>
    <sheetView topLeftCell="C23" workbookViewId="0">
      <selection activeCell="J36" sqref="J36"/>
    </sheetView>
  </sheetViews>
  <sheetFormatPr defaultColWidth="12.54296875" defaultRowHeight="15.75" customHeight="1" x14ac:dyDescent="0.3"/>
  <cols>
    <col min="1" max="1" width="24.54296875" style="22" customWidth="1"/>
    <col min="2" max="2" width="12.54296875" style="21"/>
    <col min="3" max="3" width="12.54296875" style="22"/>
    <col min="4" max="4" width="24.54296875" style="22" customWidth="1"/>
    <col min="5" max="5" width="12.54296875" style="21"/>
    <col min="6" max="6" width="12.54296875" style="22"/>
    <col min="7" max="7" width="24.54296875" style="22" customWidth="1"/>
    <col min="8" max="8" width="12.54296875" style="21"/>
    <col min="9" max="9" width="12.54296875" style="22"/>
    <col min="10" max="10" width="13.6328125" style="22" bestFit="1" customWidth="1"/>
    <col min="11" max="16384" width="12.54296875" style="22"/>
  </cols>
  <sheetData>
    <row r="1" spans="1:11" ht="15.75" customHeight="1" x14ac:dyDescent="0.3">
      <c r="A1" s="20" t="s">
        <v>2164</v>
      </c>
      <c r="D1" s="20" t="s">
        <v>3933</v>
      </c>
      <c r="G1" s="20" t="s">
        <v>3934</v>
      </c>
      <c r="J1" s="22" t="s">
        <v>4061</v>
      </c>
    </row>
    <row r="2" spans="1:11" ht="15.75" customHeight="1" thickBot="1" x14ac:dyDescent="0.35">
      <c r="A2" s="20"/>
      <c r="D2" s="20"/>
      <c r="G2" s="20"/>
    </row>
    <row r="3" spans="1:11" ht="15.75" customHeight="1" x14ac:dyDescent="0.3">
      <c r="A3" s="97" t="s">
        <v>2165</v>
      </c>
      <c r="B3" s="98" t="s">
        <v>2166</v>
      </c>
      <c r="D3" s="97" t="s">
        <v>2165</v>
      </c>
      <c r="E3" s="98" t="s">
        <v>2166</v>
      </c>
      <c r="G3" s="97" t="s">
        <v>2165</v>
      </c>
      <c r="H3" s="98" t="s">
        <v>2166</v>
      </c>
      <c r="J3" s="152" t="s">
        <v>3844</v>
      </c>
      <c r="K3" s="152" t="s">
        <v>2166</v>
      </c>
    </row>
    <row r="4" spans="1:11" ht="15.75" customHeight="1" x14ac:dyDescent="0.35">
      <c r="A4" s="63" t="s">
        <v>3873</v>
      </c>
      <c r="B4" s="99">
        <v>0</v>
      </c>
      <c r="D4" s="63" t="s">
        <v>3873</v>
      </c>
      <c r="E4" s="99">
        <v>0</v>
      </c>
      <c r="G4" s="63" t="s">
        <v>3873</v>
      </c>
      <c r="H4" s="99">
        <v>0</v>
      </c>
      <c r="J4" s="63" t="s">
        <v>3873</v>
      </c>
      <c r="K4" s="99">
        <v>0</v>
      </c>
    </row>
    <row r="5" spans="1:11" ht="15.75" customHeight="1" thickBot="1" x14ac:dyDescent="0.4">
      <c r="A5" s="63" t="s">
        <v>3874</v>
      </c>
      <c r="B5" s="99">
        <v>0</v>
      </c>
      <c r="D5" s="63" t="s">
        <v>3874</v>
      </c>
      <c r="E5" s="99">
        <v>0</v>
      </c>
      <c r="G5" s="63" t="s">
        <v>3874</v>
      </c>
      <c r="H5" s="99">
        <v>0</v>
      </c>
      <c r="J5" s="63" t="s">
        <v>3874</v>
      </c>
      <c r="K5" s="99">
        <v>0</v>
      </c>
    </row>
    <row r="6" spans="1:11" ht="15.75" customHeight="1" thickBot="1" x14ac:dyDescent="0.4">
      <c r="A6" s="63" t="s">
        <v>3875</v>
      </c>
      <c r="B6" s="99">
        <v>36500</v>
      </c>
      <c r="D6" s="63" t="s">
        <v>3875</v>
      </c>
      <c r="E6" s="99">
        <v>36500</v>
      </c>
      <c r="G6" s="63" t="s">
        <v>3875</v>
      </c>
      <c r="H6" s="99">
        <v>36500</v>
      </c>
      <c r="J6" s="150" t="s">
        <v>3875</v>
      </c>
      <c r="K6" s="153">
        <v>37000</v>
      </c>
    </row>
    <row r="7" spans="1:11" ht="15.75" customHeight="1" thickBot="1" x14ac:dyDescent="0.4">
      <c r="A7" s="63" t="s">
        <v>3876</v>
      </c>
      <c r="B7" s="99">
        <v>36500</v>
      </c>
      <c r="D7" s="63" t="s">
        <v>3876</v>
      </c>
      <c r="E7" s="99">
        <v>36500</v>
      </c>
      <c r="G7" s="63" t="s">
        <v>3876</v>
      </c>
      <c r="H7" s="99">
        <v>36500</v>
      </c>
      <c r="J7" s="150" t="s">
        <v>3876</v>
      </c>
      <c r="K7" s="153">
        <v>37000</v>
      </c>
    </row>
    <row r="8" spans="1:11" ht="15.75" customHeight="1" thickBot="1" x14ac:dyDescent="0.4">
      <c r="A8" s="63" t="s">
        <v>3877</v>
      </c>
      <c r="B8" s="99">
        <v>36500</v>
      </c>
      <c r="D8" s="63" t="s">
        <v>3877</v>
      </c>
      <c r="E8" s="99">
        <v>36500</v>
      </c>
      <c r="G8" s="63" t="s">
        <v>3877</v>
      </c>
      <c r="H8" s="99">
        <v>36500</v>
      </c>
      <c r="J8" s="150" t="s">
        <v>3877</v>
      </c>
      <c r="K8" s="153">
        <v>37000</v>
      </c>
    </row>
    <row r="9" spans="1:11" ht="15.75" customHeight="1" thickBot="1" x14ac:dyDescent="0.4">
      <c r="A9" s="63" t="s">
        <v>3878</v>
      </c>
      <c r="B9" s="99">
        <v>36500</v>
      </c>
      <c r="D9" s="63" t="s">
        <v>3878</v>
      </c>
      <c r="E9" s="99">
        <v>36500</v>
      </c>
      <c r="G9" s="63" t="s">
        <v>3878</v>
      </c>
      <c r="H9" s="99">
        <v>36500</v>
      </c>
      <c r="J9" s="150" t="s">
        <v>3878</v>
      </c>
      <c r="K9" s="153">
        <v>37000</v>
      </c>
    </row>
    <row r="10" spans="1:11" ht="15.75" customHeight="1" thickBot="1" x14ac:dyDescent="0.4">
      <c r="A10" s="63" t="s">
        <v>3879</v>
      </c>
      <c r="B10" s="99">
        <v>36500</v>
      </c>
      <c r="D10" s="63" t="s">
        <v>3879</v>
      </c>
      <c r="E10" s="99">
        <v>36500</v>
      </c>
      <c r="G10" s="63" t="s">
        <v>3879</v>
      </c>
      <c r="H10" s="99">
        <v>36500</v>
      </c>
      <c r="J10" s="150" t="s">
        <v>3879</v>
      </c>
      <c r="K10" s="153">
        <v>37000</v>
      </c>
    </row>
    <row r="11" spans="1:11" ht="15.75" customHeight="1" thickBot="1" x14ac:dyDescent="0.4">
      <c r="A11" s="63" t="s">
        <v>3880</v>
      </c>
      <c r="B11" s="99">
        <v>36500</v>
      </c>
      <c r="D11" s="63" t="s">
        <v>3880</v>
      </c>
      <c r="E11" s="99">
        <v>36500</v>
      </c>
      <c r="G11" s="63" t="s">
        <v>3880</v>
      </c>
      <c r="H11" s="99">
        <v>36500</v>
      </c>
      <c r="J11" s="150" t="s">
        <v>3880</v>
      </c>
      <c r="K11" s="153">
        <v>37000</v>
      </c>
    </row>
    <row r="12" spans="1:11" ht="15.75" customHeight="1" thickBot="1" x14ac:dyDescent="0.4">
      <c r="A12" s="63" t="s">
        <v>3881</v>
      </c>
      <c r="B12" s="99">
        <v>36500</v>
      </c>
      <c r="D12" s="63" t="s">
        <v>3881</v>
      </c>
      <c r="E12" s="99">
        <v>36500</v>
      </c>
      <c r="G12" s="63" t="s">
        <v>3881</v>
      </c>
      <c r="H12" s="99">
        <v>36500</v>
      </c>
      <c r="J12" s="150" t="s">
        <v>3881</v>
      </c>
      <c r="K12" s="153">
        <v>37000</v>
      </c>
    </row>
    <row r="13" spans="1:11" ht="15.75" customHeight="1" thickBot="1" x14ac:dyDescent="0.4">
      <c r="A13" s="63" t="s">
        <v>3882</v>
      </c>
      <c r="B13" s="99">
        <v>36500</v>
      </c>
      <c r="D13" s="63" t="s">
        <v>3882</v>
      </c>
      <c r="E13" s="99">
        <v>36500</v>
      </c>
      <c r="G13" s="63" t="s">
        <v>3882</v>
      </c>
      <c r="H13" s="99">
        <v>36500</v>
      </c>
      <c r="J13" s="150" t="s">
        <v>3882</v>
      </c>
      <c r="K13" s="153">
        <v>37000</v>
      </c>
    </row>
    <row r="14" spans="1:11" ht="15.75" customHeight="1" thickBot="1" x14ac:dyDescent="0.4">
      <c r="A14" s="63" t="s">
        <v>3883</v>
      </c>
      <c r="B14" s="99">
        <v>36500</v>
      </c>
      <c r="D14" s="63" t="s">
        <v>3883</v>
      </c>
      <c r="E14" s="99">
        <v>36500</v>
      </c>
      <c r="G14" s="63" t="s">
        <v>3883</v>
      </c>
      <c r="H14" s="99">
        <v>36500</v>
      </c>
      <c r="J14" s="150" t="s">
        <v>3883</v>
      </c>
      <c r="K14" s="153">
        <v>37000</v>
      </c>
    </row>
    <row r="15" spans="1:11" ht="15.75" customHeight="1" thickBot="1" x14ac:dyDescent="0.4">
      <c r="A15" s="63" t="s">
        <v>3884</v>
      </c>
      <c r="B15" s="99">
        <v>36500</v>
      </c>
      <c r="D15" s="63" t="s">
        <v>3884</v>
      </c>
      <c r="E15" s="99">
        <v>36500</v>
      </c>
      <c r="G15" s="63" t="s">
        <v>3884</v>
      </c>
      <c r="H15" s="99">
        <v>36500</v>
      </c>
      <c r="J15" s="150" t="s">
        <v>3884</v>
      </c>
      <c r="K15" s="153">
        <v>37000</v>
      </c>
    </row>
    <row r="16" spans="1:11" ht="15.75" customHeight="1" thickBot="1" x14ac:dyDescent="0.4">
      <c r="A16" s="63" t="s">
        <v>3849</v>
      </c>
      <c r="B16" s="99">
        <v>36500</v>
      </c>
      <c r="D16" s="63" t="s">
        <v>3849</v>
      </c>
      <c r="E16" s="99">
        <v>36500</v>
      </c>
      <c r="G16" s="63" t="s">
        <v>3849</v>
      </c>
      <c r="H16" s="99">
        <v>36500</v>
      </c>
      <c r="J16" s="150" t="s">
        <v>3849</v>
      </c>
      <c r="K16" s="153">
        <v>37000</v>
      </c>
    </row>
    <row r="17" spans="1:11" ht="15.75" customHeight="1" thickBot="1" x14ac:dyDescent="0.4">
      <c r="A17" s="63" t="s">
        <v>3885</v>
      </c>
      <c r="B17" s="99">
        <v>36500</v>
      </c>
      <c r="D17" s="63" t="s">
        <v>3885</v>
      </c>
      <c r="E17" s="99">
        <v>36500</v>
      </c>
      <c r="G17" s="63" t="s">
        <v>3885</v>
      </c>
      <c r="H17" s="99">
        <v>36500</v>
      </c>
      <c r="J17" s="150" t="s">
        <v>3885</v>
      </c>
      <c r="K17" s="153">
        <v>37000</v>
      </c>
    </row>
    <row r="18" spans="1:11" ht="15.75" customHeight="1" thickBot="1" x14ac:dyDescent="0.4">
      <c r="A18" s="63" t="s">
        <v>3886</v>
      </c>
      <c r="B18" s="99">
        <v>36500</v>
      </c>
      <c r="D18" s="63" t="s">
        <v>3886</v>
      </c>
      <c r="E18" s="99">
        <v>36500</v>
      </c>
      <c r="G18" s="63" t="s">
        <v>3886</v>
      </c>
      <c r="H18" s="99">
        <v>36500</v>
      </c>
      <c r="J18" s="150" t="s">
        <v>3886</v>
      </c>
      <c r="K18" s="153">
        <v>37000</v>
      </c>
    </row>
    <row r="19" spans="1:11" ht="15.75" customHeight="1" thickBot="1" x14ac:dyDescent="0.4">
      <c r="A19" s="63" t="s">
        <v>3887</v>
      </c>
      <c r="B19" s="99">
        <v>36500</v>
      </c>
      <c r="D19" s="63" t="s">
        <v>3887</v>
      </c>
      <c r="E19" s="99">
        <v>36500</v>
      </c>
      <c r="G19" s="63" t="s">
        <v>3887</v>
      </c>
      <c r="H19" s="99">
        <v>36500</v>
      </c>
      <c r="J19" s="150" t="s">
        <v>3887</v>
      </c>
      <c r="K19" s="153">
        <v>37000</v>
      </c>
    </row>
    <row r="20" spans="1:11" ht="15.75" customHeight="1" thickBot="1" x14ac:dyDescent="0.4">
      <c r="A20" s="63" t="s">
        <v>3888</v>
      </c>
      <c r="B20" s="99">
        <v>36500</v>
      </c>
      <c r="D20" s="63" t="s">
        <v>3888</v>
      </c>
      <c r="E20" s="99">
        <v>36500</v>
      </c>
      <c r="G20" s="63" t="s">
        <v>3888</v>
      </c>
      <c r="H20" s="99">
        <v>36500</v>
      </c>
      <c r="J20" s="150" t="s">
        <v>3888</v>
      </c>
      <c r="K20" s="153">
        <v>37000</v>
      </c>
    </row>
    <row r="21" spans="1:11" ht="15.75" customHeight="1" thickBot="1" x14ac:dyDescent="0.4">
      <c r="A21" s="63" t="s">
        <v>3889</v>
      </c>
      <c r="B21" s="100">
        <v>36500</v>
      </c>
      <c r="D21" s="63" t="s">
        <v>3889</v>
      </c>
      <c r="E21" s="100">
        <v>36500</v>
      </c>
      <c r="G21" s="63" t="s">
        <v>3889</v>
      </c>
      <c r="H21" s="100">
        <v>36500</v>
      </c>
      <c r="J21" s="150" t="s">
        <v>3889</v>
      </c>
      <c r="K21" s="153">
        <v>37000</v>
      </c>
    </row>
    <row r="22" spans="1:11" ht="15.75" customHeight="1" thickBot="1" x14ac:dyDescent="0.4">
      <c r="A22" s="63" t="s">
        <v>3890</v>
      </c>
      <c r="B22" s="99">
        <v>0</v>
      </c>
      <c r="D22" s="63" t="s">
        <v>3890</v>
      </c>
      <c r="E22" s="99">
        <v>0</v>
      </c>
      <c r="G22" s="63" t="s">
        <v>3890</v>
      </c>
      <c r="H22" s="99">
        <v>0</v>
      </c>
      <c r="J22" s="150" t="s">
        <v>3849</v>
      </c>
      <c r="K22" s="153">
        <v>37000</v>
      </c>
    </row>
    <row r="23" spans="1:11" ht="15.75" customHeight="1" thickBot="1" x14ac:dyDescent="0.4">
      <c r="A23" s="63" t="s">
        <v>8</v>
      </c>
      <c r="B23" s="100">
        <v>50000</v>
      </c>
      <c r="D23" s="63" t="s">
        <v>8</v>
      </c>
      <c r="E23" s="100">
        <v>50000</v>
      </c>
      <c r="G23" s="63" t="s">
        <v>8</v>
      </c>
      <c r="H23" s="100">
        <v>50000</v>
      </c>
      <c r="J23" s="150" t="s">
        <v>8</v>
      </c>
      <c r="K23" s="153">
        <v>50000</v>
      </c>
    </row>
    <row r="24" spans="1:11" ht="15.75" customHeight="1" thickBot="1" x14ac:dyDescent="0.4">
      <c r="A24" s="63" t="s">
        <v>10</v>
      </c>
      <c r="B24" s="100">
        <v>48000</v>
      </c>
      <c r="D24" s="63" t="s">
        <v>10</v>
      </c>
      <c r="E24" s="100">
        <v>48000</v>
      </c>
      <c r="G24" s="63" t="s">
        <v>10</v>
      </c>
      <c r="H24" s="100">
        <v>48000</v>
      </c>
      <c r="J24" s="150" t="s">
        <v>10</v>
      </c>
      <c r="K24" s="153">
        <v>48000</v>
      </c>
    </row>
    <row r="25" spans="1:11" ht="15.75" customHeight="1" thickBot="1" x14ac:dyDescent="0.4">
      <c r="A25" s="63" t="s">
        <v>12</v>
      </c>
      <c r="B25" s="99">
        <v>49000</v>
      </c>
      <c r="D25" s="63" t="s">
        <v>12</v>
      </c>
      <c r="E25" s="99">
        <v>49000</v>
      </c>
      <c r="G25" s="63" t="s">
        <v>12</v>
      </c>
      <c r="H25" s="99">
        <v>49000</v>
      </c>
      <c r="J25" s="150" t="s">
        <v>12</v>
      </c>
      <c r="K25" s="153">
        <v>49000</v>
      </c>
    </row>
    <row r="26" spans="1:11" ht="15.75" customHeight="1" thickBot="1" x14ac:dyDescent="0.4">
      <c r="A26" s="63" t="s">
        <v>2159</v>
      </c>
      <c r="B26" s="100">
        <v>5500</v>
      </c>
      <c r="D26" s="63" t="s">
        <v>2159</v>
      </c>
      <c r="E26" s="100">
        <v>5500</v>
      </c>
      <c r="G26" s="63" t="s">
        <v>2159</v>
      </c>
      <c r="H26" s="100">
        <v>5500</v>
      </c>
      <c r="J26" s="150" t="s">
        <v>4063</v>
      </c>
      <c r="K26" s="153">
        <v>12500</v>
      </c>
    </row>
    <row r="27" spans="1:11" ht="15.75" customHeight="1" thickBot="1" x14ac:dyDescent="0.4">
      <c r="A27" s="63" t="s">
        <v>3891</v>
      </c>
      <c r="B27" s="100">
        <v>20000</v>
      </c>
      <c r="D27" s="63" t="s">
        <v>3891</v>
      </c>
      <c r="E27" s="100">
        <v>20000</v>
      </c>
      <c r="G27" s="63" t="s">
        <v>3891</v>
      </c>
      <c r="H27" s="100">
        <v>20000</v>
      </c>
      <c r="J27" s="63" t="s">
        <v>3891</v>
      </c>
      <c r="K27" s="153">
        <v>32000</v>
      </c>
    </row>
    <row r="28" spans="1:11" ht="15.75" customHeight="1" thickBot="1" x14ac:dyDescent="0.4">
      <c r="A28" s="63" t="s">
        <v>3892</v>
      </c>
      <c r="B28" s="99">
        <v>22000</v>
      </c>
      <c r="D28" s="63" t="s">
        <v>3892</v>
      </c>
      <c r="E28" s="99">
        <v>22000</v>
      </c>
      <c r="G28" s="63" t="s">
        <v>3892</v>
      </c>
      <c r="H28" s="99">
        <v>22000</v>
      </c>
      <c r="J28" s="150" t="s">
        <v>2179</v>
      </c>
      <c r="K28" s="153">
        <v>36000</v>
      </c>
    </row>
    <row r="29" spans="1:11" ht="15.75" customHeight="1" thickBot="1" x14ac:dyDescent="0.4">
      <c r="A29" s="63" t="s">
        <v>3852</v>
      </c>
      <c r="B29" s="99">
        <v>18000</v>
      </c>
      <c r="D29" s="63" t="s">
        <v>3852</v>
      </c>
      <c r="E29" s="99">
        <v>18000</v>
      </c>
      <c r="G29" s="63" t="s">
        <v>3852</v>
      </c>
      <c r="H29" s="99">
        <v>18000</v>
      </c>
      <c r="J29" s="150" t="s">
        <v>3852</v>
      </c>
      <c r="K29" s="153">
        <v>32000</v>
      </c>
    </row>
    <row r="30" spans="1:11" ht="15.75" customHeight="1" thickBot="1" x14ac:dyDescent="0.4">
      <c r="A30" s="63" t="s">
        <v>17</v>
      </c>
      <c r="B30" s="99">
        <v>3500</v>
      </c>
      <c r="D30" s="63" t="s">
        <v>17</v>
      </c>
      <c r="E30" s="99">
        <v>3500</v>
      </c>
      <c r="G30" s="63" t="s">
        <v>17</v>
      </c>
      <c r="H30" s="99">
        <v>3500</v>
      </c>
      <c r="J30" s="150" t="s">
        <v>17</v>
      </c>
      <c r="K30" s="153">
        <v>5000</v>
      </c>
    </row>
    <row r="31" spans="1:11" ht="15.75" customHeight="1" thickBot="1" x14ac:dyDescent="0.4">
      <c r="A31" s="63" t="s">
        <v>2199</v>
      </c>
      <c r="B31" s="99">
        <v>38000</v>
      </c>
      <c r="D31" s="63" t="s">
        <v>2199</v>
      </c>
      <c r="E31" s="99">
        <v>38000</v>
      </c>
      <c r="G31" s="63" t="s">
        <v>2199</v>
      </c>
      <c r="H31" s="99">
        <v>38000</v>
      </c>
      <c r="J31" s="150" t="s">
        <v>2199</v>
      </c>
      <c r="K31" s="153">
        <v>35000</v>
      </c>
    </row>
    <row r="32" spans="1:11" ht="15.75" customHeight="1" thickBot="1" x14ac:dyDescent="0.4">
      <c r="A32" s="63" t="s">
        <v>2161</v>
      </c>
      <c r="B32" s="99">
        <v>18000</v>
      </c>
      <c r="D32" s="63" t="s">
        <v>2161</v>
      </c>
      <c r="E32" s="99">
        <v>18000</v>
      </c>
      <c r="G32" s="63" t="s">
        <v>2161</v>
      </c>
      <c r="H32" s="99">
        <v>18000</v>
      </c>
      <c r="J32" s="150" t="s">
        <v>2161</v>
      </c>
      <c r="K32" s="153">
        <v>24000</v>
      </c>
    </row>
    <row r="33" spans="1:11" ht="15.75" customHeight="1" thickBot="1" x14ac:dyDescent="0.4">
      <c r="A33" s="63" t="s">
        <v>2162</v>
      </c>
      <c r="B33" s="100">
        <v>8000</v>
      </c>
      <c r="D33" s="63" t="s">
        <v>2162</v>
      </c>
      <c r="E33" s="100">
        <v>8000</v>
      </c>
      <c r="G33" s="63" t="s">
        <v>2162</v>
      </c>
      <c r="H33" s="100">
        <v>8000</v>
      </c>
      <c r="J33" s="150" t="s">
        <v>2162</v>
      </c>
      <c r="K33" s="153">
        <v>9500</v>
      </c>
    </row>
    <row r="34" spans="1:11" ht="15.75" customHeight="1" thickBot="1" x14ac:dyDescent="0.4">
      <c r="A34" s="63" t="s">
        <v>0</v>
      </c>
      <c r="B34" s="99">
        <v>10000</v>
      </c>
      <c r="D34" s="63" t="s">
        <v>0</v>
      </c>
      <c r="E34" s="99">
        <v>10000</v>
      </c>
      <c r="G34" s="63" t="s">
        <v>0</v>
      </c>
      <c r="H34" s="99">
        <v>10000</v>
      </c>
      <c r="J34" s="150" t="s">
        <v>0</v>
      </c>
      <c r="K34" s="153">
        <v>16000</v>
      </c>
    </row>
    <row r="35" spans="1:11" ht="15.75" customHeight="1" thickBot="1" x14ac:dyDescent="0.4">
      <c r="A35" s="63" t="s">
        <v>24</v>
      </c>
      <c r="B35" s="99">
        <v>4000</v>
      </c>
      <c r="D35" s="63" t="s">
        <v>24</v>
      </c>
      <c r="E35" s="99">
        <v>4000</v>
      </c>
      <c r="G35" s="63" t="s">
        <v>24</v>
      </c>
      <c r="H35" s="99">
        <v>4000</v>
      </c>
      <c r="J35" s="150" t="s">
        <v>24</v>
      </c>
      <c r="K35" s="153">
        <v>4500</v>
      </c>
    </row>
    <row r="36" spans="1:11" ht="15.75" customHeight="1" thickBot="1" x14ac:dyDescent="0.4">
      <c r="A36" s="63" t="s">
        <v>3893</v>
      </c>
      <c r="B36" s="99">
        <v>5000</v>
      </c>
      <c r="D36" s="63" t="s">
        <v>3893</v>
      </c>
      <c r="E36" s="99">
        <v>5000</v>
      </c>
      <c r="G36" s="63" t="s">
        <v>3893</v>
      </c>
      <c r="H36" s="99">
        <v>5000</v>
      </c>
      <c r="J36" s="63" t="s">
        <v>3893</v>
      </c>
      <c r="K36" s="153">
        <v>1500</v>
      </c>
    </row>
    <row r="37" spans="1:11" ht="15.75" customHeight="1" thickBot="1" x14ac:dyDescent="0.4">
      <c r="A37" s="63" t="s">
        <v>2167</v>
      </c>
      <c r="B37" s="99">
        <v>16000</v>
      </c>
      <c r="D37" s="63" t="s">
        <v>2167</v>
      </c>
      <c r="E37" s="99">
        <v>16000</v>
      </c>
      <c r="G37" s="63" t="s">
        <v>2167</v>
      </c>
      <c r="H37" s="99">
        <v>16000</v>
      </c>
      <c r="J37" s="150" t="s">
        <v>2167</v>
      </c>
      <c r="K37" s="153">
        <v>22000</v>
      </c>
    </row>
    <row r="38" spans="1:11" ht="15.75" customHeight="1" thickBot="1" x14ac:dyDescent="0.4">
      <c r="A38" s="63" t="s">
        <v>2168</v>
      </c>
      <c r="B38" s="99">
        <v>10000</v>
      </c>
      <c r="D38" s="63" t="s">
        <v>2168</v>
      </c>
      <c r="E38" s="99">
        <v>10000</v>
      </c>
      <c r="G38" s="63" t="s">
        <v>2168</v>
      </c>
      <c r="H38" s="99">
        <v>10000</v>
      </c>
      <c r="J38" s="150" t="s">
        <v>2168</v>
      </c>
      <c r="K38" s="153">
        <v>16000</v>
      </c>
    </row>
    <row r="39" spans="1:11" ht="15.75" customHeight="1" thickBot="1" x14ac:dyDescent="0.4">
      <c r="A39" s="63" t="s">
        <v>2169</v>
      </c>
      <c r="B39" s="99">
        <v>5000</v>
      </c>
      <c r="D39" s="63" t="s">
        <v>2169</v>
      </c>
      <c r="E39" s="99">
        <v>5000</v>
      </c>
      <c r="G39" s="63" t="s">
        <v>2169</v>
      </c>
      <c r="H39" s="99">
        <v>5000</v>
      </c>
      <c r="J39" s="150" t="s">
        <v>2169</v>
      </c>
      <c r="K39" s="153">
        <v>5000</v>
      </c>
    </row>
    <row r="40" spans="1:11" ht="15.75" customHeight="1" thickBot="1" x14ac:dyDescent="0.4">
      <c r="A40" s="63" t="s">
        <v>3894</v>
      </c>
      <c r="B40" s="99">
        <v>5000</v>
      </c>
      <c r="D40" s="63" t="s">
        <v>3894</v>
      </c>
      <c r="E40" s="99">
        <v>5000</v>
      </c>
      <c r="G40" s="63" t="s">
        <v>3894</v>
      </c>
      <c r="H40" s="99">
        <v>5000</v>
      </c>
      <c r="J40" s="63" t="s">
        <v>3894</v>
      </c>
      <c r="K40" s="153">
        <v>4500</v>
      </c>
    </row>
    <row r="41" spans="1:11" ht="15.75" customHeight="1" thickBot="1" x14ac:dyDescent="0.4">
      <c r="A41" s="63" t="s">
        <v>2170</v>
      </c>
      <c r="B41" s="99">
        <v>45000</v>
      </c>
      <c r="D41" s="63" t="s">
        <v>2170</v>
      </c>
      <c r="E41" s="99">
        <v>45000</v>
      </c>
      <c r="G41" s="63" t="s">
        <v>2170</v>
      </c>
      <c r="H41" s="99">
        <v>45000</v>
      </c>
      <c r="J41" s="150" t="s">
        <v>4055</v>
      </c>
      <c r="K41" s="153">
        <v>45000</v>
      </c>
    </row>
    <row r="42" spans="1:11" ht="15.75" customHeight="1" thickBot="1" x14ac:dyDescent="0.4">
      <c r="A42" s="63" t="s">
        <v>2171</v>
      </c>
      <c r="B42" s="99">
        <v>44000</v>
      </c>
      <c r="D42" s="63" t="s">
        <v>2171</v>
      </c>
      <c r="E42" s="99">
        <v>44000</v>
      </c>
      <c r="G42" s="63" t="s">
        <v>2171</v>
      </c>
      <c r="H42" s="99">
        <v>44000</v>
      </c>
      <c r="J42" s="150" t="s">
        <v>4062</v>
      </c>
      <c r="K42" s="153">
        <v>44000</v>
      </c>
    </row>
    <row r="43" spans="1:11" ht="15.75" customHeight="1" thickBot="1" x14ac:dyDescent="0.4">
      <c r="A43" s="63" t="s">
        <v>3895</v>
      </c>
      <c r="B43" s="99">
        <v>0</v>
      </c>
      <c r="D43" s="63" t="s">
        <v>3895</v>
      </c>
      <c r="E43" s="99">
        <v>0</v>
      </c>
      <c r="G43" s="63" t="s">
        <v>3895</v>
      </c>
      <c r="H43" s="99">
        <v>0</v>
      </c>
      <c r="J43" s="63" t="s">
        <v>3895</v>
      </c>
      <c r="K43" s="99">
        <v>0</v>
      </c>
    </row>
    <row r="44" spans="1:11" ht="15.75" customHeight="1" thickBot="1" x14ac:dyDescent="0.4">
      <c r="A44" s="63" t="s">
        <v>3896</v>
      </c>
      <c r="B44" s="99">
        <v>35000</v>
      </c>
      <c r="D44" s="63" t="s">
        <v>3896</v>
      </c>
      <c r="E44" s="99">
        <v>35000</v>
      </c>
      <c r="G44" s="63" t="s">
        <v>3896</v>
      </c>
      <c r="H44" s="99">
        <v>35000</v>
      </c>
      <c r="J44" s="150" t="s">
        <v>3896</v>
      </c>
      <c r="K44" s="153">
        <v>34000</v>
      </c>
    </row>
    <row r="45" spans="1:11" ht="15.75" customHeight="1" thickBot="1" x14ac:dyDescent="0.4">
      <c r="A45" s="63" t="s">
        <v>3897</v>
      </c>
      <c r="B45" s="99">
        <v>35000</v>
      </c>
      <c r="D45" s="63" t="s">
        <v>3897</v>
      </c>
      <c r="E45" s="99">
        <v>35000</v>
      </c>
      <c r="G45" s="63" t="s">
        <v>3897</v>
      </c>
      <c r="H45" s="99">
        <v>35000</v>
      </c>
      <c r="J45" s="150" t="s">
        <v>3897</v>
      </c>
      <c r="K45" s="153">
        <v>34000</v>
      </c>
    </row>
    <row r="46" spans="1:11" ht="15.75" customHeight="1" thickBot="1" x14ac:dyDescent="0.4">
      <c r="A46" s="63" t="s">
        <v>3898</v>
      </c>
      <c r="B46" s="99">
        <v>35000</v>
      </c>
      <c r="D46" s="63" t="s">
        <v>3898</v>
      </c>
      <c r="E46" s="99">
        <v>35000</v>
      </c>
      <c r="G46" s="63" t="s">
        <v>3898</v>
      </c>
      <c r="H46" s="99">
        <v>35000</v>
      </c>
      <c r="J46" s="150" t="s">
        <v>3898</v>
      </c>
      <c r="K46" s="153">
        <v>34000</v>
      </c>
    </row>
    <row r="47" spans="1:11" ht="15.75" customHeight="1" thickBot="1" x14ac:dyDescent="0.4">
      <c r="A47" s="63" t="s">
        <v>3899</v>
      </c>
      <c r="B47" s="99">
        <v>35000</v>
      </c>
      <c r="D47" s="63" t="s">
        <v>3899</v>
      </c>
      <c r="E47" s="99">
        <v>35000</v>
      </c>
      <c r="G47" s="63" t="s">
        <v>3899</v>
      </c>
      <c r="H47" s="99">
        <v>35000</v>
      </c>
      <c r="J47" s="150" t="s">
        <v>3899</v>
      </c>
      <c r="K47" s="153">
        <v>34000</v>
      </c>
    </row>
    <row r="48" spans="1:11" ht="15.75" customHeight="1" thickBot="1" x14ac:dyDescent="0.4">
      <c r="A48" s="63" t="s">
        <v>3900</v>
      </c>
      <c r="B48" s="99">
        <v>35000</v>
      </c>
      <c r="D48" s="63" t="s">
        <v>3900</v>
      </c>
      <c r="E48" s="99">
        <v>35000</v>
      </c>
      <c r="G48" s="63" t="s">
        <v>3900</v>
      </c>
      <c r="H48" s="99">
        <v>35000</v>
      </c>
      <c r="J48" s="150" t="s">
        <v>3900</v>
      </c>
      <c r="K48" s="153">
        <v>34000</v>
      </c>
    </row>
    <row r="49" spans="1:11" ht="15.75" customHeight="1" thickBot="1" x14ac:dyDescent="0.4">
      <c r="A49" s="63" t="s">
        <v>3901</v>
      </c>
      <c r="B49" s="99">
        <v>35000</v>
      </c>
      <c r="D49" s="63" t="s">
        <v>3901</v>
      </c>
      <c r="E49" s="99">
        <v>35000</v>
      </c>
      <c r="G49" s="63" t="s">
        <v>3901</v>
      </c>
      <c r="H49" s="99">
        <v>35000</v>
      </c>
      <c r="J49" s="150" t="s">
        <v>3901</v>
      </c>
      <c r="K49" s="153">
        <v>34000</v>
      </c>
    </row>
    <row r="50" spans="1:11" ht="15.75" customHeight="1" thickBot="1" x14ac:dyDescent="0.4">
      <c r="A50" s="63" t="s">
        <v>3902</v>
      </c>
      <c r="B50" s="99">
        <v>35000</v>
      </c>
      <c r="D50" s="63" t="s">
        <v>3902</v>
      </c>
      <c r="E50" s="99">
        <v>35000</v>
      </c>
      <c r="G50" s="63" t="s">
        <v>3902</v>
      </c>
      <c r="H50" s="99">
        <v>35000</v>
      </c>
      <c r="J50" s="150" t="s">
        <v>3902</v>
      </c>
      <c r="K50" s="153">
        <v>34000</v>
      </c>
    </row>
    <row r="51" spans="1:11" ht="15.75" customHeight="1" thickBot="1" x14ac:dyDescent="0.4">
      <c r="A51" s="63" t="s">
        <v>3903</v>
      </c>
      <c r="B51" s="99">
        <v>35000</v>
      </c>
      <c r="D51" s="63" t="s">
        <v>3903</v>
      </c>
      <c r="E51" s="99">
        <v>35000</v>
      </c>
      <c r="G51" s="63" t="s">
        <v>3903</v>
      </c>
      <c r="H51" s="99">
        <v>35000</v>
      </c>
      <c r="J51" s="150" t="s">
        <v>3903</v>
      </c>
      <c r="K51" s="153">
        <v>34000</v>
      </c>
    </row>
    <row r="52" spans="1:11" ht="15.75" customHeight="1" thickBot="1" x14ac:dyDescent="0.4">
      <c r="A52" s="63" t="s">
        <v>3904</v>
      </c>
      <c r="B52" s="99">
        <v>35000</v>
      </c>
      <c r="D52" s="63" t="s">
        <v>3904</v>
      </c>
      <c r="E52" s="99">
        <v>35000</v>
      </c>
      <c r="G52" s="63" t="s">
        <v>3904</v>
      </c>
      <c r="H52" s="99">
        <v>35000</v>
      </c>
      <c r="J52" s="150" t="s">
        <v>3904</v>
      </c>
      <c r="K52" s="153">
        <v>34000</v>
      </c>
    </row>
    <row r="53" spans="1:11" ht="15.75" customHeight="1" thickBot="1" x14ac:dyDescent="0.4">
      <c r="A53" s="63" t="s">
        <v>3905</v>
      </c>
      <c r="B53" s="99">
        <v>35000</v>
      </c>
      <c r="D53" s="63" t="s">
        <v>3905</v>
      </c>
      <c r="E53" s="99">
        <v>35000</v>
      </c>
      <c r="G53" s="63" t="s">
        <v>3905</v>
      </c>
      <c r="H53" s="99">
        <v>35000</v>
      </c>
      <c r="J53" s="150" t="s">
        <v>3905</v>
      </c>
      <c r="K53" s="153">
        <v>34000</v>
      </c>
    </row>
    <row r="54" spans="1:11" ht="15.75" customHeight="1" thickBot="1" x14ac:dyDescent="0.4">
      <c r="A54" s="63" t="s">
        <v>3906</v>
      </c>
      <c r="B54" s="99">
        <v>35000</v>
      </c>
      <c r="D54" s="63" t="s">
        <v>3906</v>
      </c>
      <c r="E54" s="99">
        <v>35000</v>
      </c>
      <c r="G54" s="63" t="s">
        <v>3906</v>
      </c>
      <c r="H54" s="99">
        <v>35000</v>
      </c>
      <c r="J54" s="150" t="s">
        <v>3906</v>
      </c>
      <c r="K54" s="153">
        <v>34000</v>
      </c>
    </row>
    <row r="55" spans="1:11" ht="15.75" customHeight="1" thickBot="1" x14ac:dyDescent="0.4">
      <c r="A55" s="63" t="s">
        <v>3907</v>
      </c>
      <c r="B55" s="99">
        <v>35000</v>
      </c>
      <c r="D55" s="63" t="s">
        <v>3907</v>
      </c>
      <c r="E55" s="99">
        <v>35000</v>
      </c>
      <c r="G55" s="63" t="s">
        <v>3907</v>
      </c>
      <c r="H55" s="99">
        <v>35000</v>
      </c>
      <c r="J55" s="150" t="s">
        <v>3907</v>
      </c>
      <c r="K55" s="153">
        <v>34000</v>
      </c>
    </row>
    <row r="56" spans="1:11" ht="15.75" customHeight="1" thickBot="1" x14ac:dyDescent="0.4">
      <c r="A56" s="63" t="s">
        <v>3908</v>
      </c>
      <c r="B56" s="99">
        <v>35000</v>
      </c>
      <c r="D56" s="63" t="s">
        <v>3908</v>
      </c>
      <c r="E56" s="99">
        <v>35000</v>
      </c>
      <c r="G56" s="63" t="s">
        <v>3908</v>
      </c>
      <c r="H56" s="99">
        <v>35000</v>
      </c>
      <c r="J56" s="150" t="s">
        <v>3908</v>
      </c>
      <c r="K56" s="153">
        <v>34000</v>
      </c>
    </row>
    <row r="57" spans="1:11" ht="15.75" customHeight="1" thickBot="1" x14ac:dyDescent="0.4">
      <c r="A57" s="63" t="s">
        <v>3909</v>
      </c>
      <c r="B57" s="99">
        <v>35000</v>
      </c>
      <c r="D57" s="63" t="s">
        <v>3909</v>
      </c>
      <c r="E57" s="99">
        <v>35000</v>
      </c>
      <c r="G57" s="63" t="s">
        <v>3909</v>
      </c>
      <c r="H57" s="99">
        <v>35000</v>
      </c>
      <c r="J57" s="150" t="s">
        <v>3909</v>
      </c>
      <c r="K57" s="153">
        <v>34000</v>
      </c>
    </row>
    <row r="58" spans="1:11" ht="15.75" customHeight="1" thickBot="1" x14ac:dyDescent="0.4">
      <c r="A58" s="63" t="s">
        <v>3945</v>
      </c>
      <c r="B58" s="99">
        <v>35000</v>
      </c>
      <c r="D58" s="63" t="s">
        <v>3945</v>
      </c>
      <c r="E58" s="99">
        <v>35000</v>
      </c>
      <c r="G58" s="63" t="s">
        <v>3945</v>
      </c>
      <c r="H58" s="99">
        <v>35000</v>
      </c>
      <c r="J58" s="150" t="s">
        <v>3945</v>
      </c>
      <c r="K58" s="153">
        <v>34000</v>
      </c>
    </row>
    <row r="59" spans="1:11" ht="15.75" customHeight="1" thickBot="1" x14ac:dyDescent="0.4">
      <c r="A59" s="63" t="s">
        <v>3911</v>
      </c>
      <c r="B59" s="99">
        <v>35000</v>
      </c>
      <c r="D59" s="63" t="s">
        <v>3911</v>
      </c>
      <c r="E59" s="99">
        <v>35000</v>
      </c>
      <c r="G59" s="63" t="s">
        <v>3911</v>
      </c>
      <c r="H59" s="99">
        <v>35000</v>
      </c>
      <c r="J59" s="150" t="s">
        <v>3911</v>
      </c>
      <c r="K59" s="153">
        <v>34000</v>
      </c>
    </row>
    <row r="60" spans="1:11" ht="15.75" customHeight="1" thickBot="1" x14ac:dyDescent="0.4">
      <c r="A60" s="63" t="s">
        <v>3912</v>
      </c>
      <c r="B60" s="99">
        <v>35000</v>
      </c>
      <c r="D60" s="63" t="s">
        <v>3912</v>
      </c>
      <c r="E60" s="99">
        <v>35000</v>
      </c>
      <c r="G60" s="63" t="s">
        <v>3912</v>
      </c>
      <c r="H60" s="99">
        <v>35000</v>
      </c>
      <c r="J60" s="150" t="s">
        <v>3912</v>
      </c>
      <c r="K60" s="153">
        <v>34000</v>
      </c>
    </row>
    <row r="61" spans="1:11" ht="15.75" customHeight="1" thickBot="1" x14ac:dyDescent="0.4">
      <c r="A61" s="63" t="s">
        <v>3913</v>
      </c>
      <c r="B61" s="99">
        <v>0</v>
      </c>
      <c r="D61" s="63" t="s">
        <v>3913</v>
      </c>
      <c r="E61" s="99">
        <v>0</v>
      </c>
      <c r="G61" s="63" t="s">
        <v>3913</v>
      </c>
      <c r="H61" s="99">
        <v>0</v>
      </c>
      <c r="J61" s="151" t="s">
        <v>4060</v>
      </c>
      <c r="K61" s="153">
        <v>36000</v>
      </c>
    </row>
    <row r="62" spans="1:11" ht="15.75" customHeight="1" x14ac:dyDescent="0.35">
      <c r="A62" s="63" t="s">
        <v>3914</v>
      </c>
      <c r="B62" s="99">
        <v>0</v>
      </c>
      <c r="D62" s="63" t="s">
        <v>3914</v>
      </c>
      <c r="E62" s="99">
        <v>0</v>
      </c>
      <c r="G62" s="63" t="s">
        <v>3914</v>
      </c>
      <c r="H62" s="99">
        <v>0</v>
      </c>
    </row>
    <row r="63" spans="1:11" ht="15.75" customHeight="1" x14ac:dyDescent="0.35">
      <c r="A63" s="63" t="s">
        <v>3915</v>
      </c>
      <c r="B63" s="99">
        <v>0</v>
      </c>
      <c r="D63" s="63" t="s">
        <v>3915</v>
      </c>
      <c r="E63" s="99">
        <v>0</v>
      </c>
      <c r="G63" s="63" t="s">
        <v>3915</v>
      </c>
      <c r="H63" s="99">
        <v>0</v>
      </c>
    </row>
    <row r="64" spans="1:11" ht="15.75" customHeight="1" x14ac:dyDescent="0.35">
      <c r="A64" s="63" t="s">
        <v>3916</v>
      </c>
      <c r="B64" s="99">
        <v>0</v>
      </c>
      <c r="D64" s="63" t="s">
        <v>3916</v>
      </c>
      <c r="E64" s="99">
        <v>0</v>
      </c>
      <c r="G64" s="63" t="s">
        <v>3916</v>
      </c>
      <c r="H64" s="99">
        <v>0</v>
      </c>
    </row>
    <row r="65" spans="1:8" ht="15.75" customHeight="1" x14ac:dyDescent="0.35">
      <c r="A65" s="63" t="s">
        <v>3917</v>
      </c>
      <c r="B65" s="99">
        <v>0</v>
      </c>
      <c r="D65" s="63" t="s">
        <v>3917</v>
      </c>
      <c r="E65" s="99">
        <v>0</v>
      </c>
      <c r="G65" s="63" t="s">
        <v>3917</v>
      </c>
      <c r="H65" s="99">
        <v>0</v>
      </c>
    </row>
    <row r="66" spans="1:8" ht="15.75" customHeight="1" x14ac:dyDescent="0.35">
      <c r="A66" s="63" t="s">
        <v>3918</v>
      </c>
      <c r="B66" s="99">
        <v>0</v>
      </c>
      <c r="D66" s="63" t="s">
        <v>3918</v>
      </c>
      <c r="E66" s="99">
        <v>0</v>
      </c>
      <c r="G66" s="63" t="s">
        <v>3918</v>
      </c>
      <c r="H66" s="99">
        <v>0</v>
      </c>
    </row>
    <row r="67" spans="1:8" ht="15.75" customHeight="1" x14ac:dyDescent="0.35">
      <c r="A67" s="63" t="s">
        <v>3919</v>
      </c>
      <c r="B67" s="99">
        <v>0</v>
      </c>
      <c r="D67" s="63" t="s">
        <v>3919</v>
      </c>
      <c r="E67" s="99">
        <v>0</v>
      </c>
      <c r="G67" s="63" t="s">
        <v>3919</v>
      </c>
      <c r="H67" s="99">
        <v>0</v>
      </c>
    </row>
    <row r="68" spans="1:8" ht="15.75" customHeight="1" x14ac:dyDescent="0.35">
      <c r="A68" s="63" t="s">
        <v>3920</v>
      </c>
      <c r="B68" s="99">
        <v>0</v>
      </c>
      <c r="D68" s="63" t="s">
        <v>3920</v>
      </c>
      <c r="E68" s="99">
        <v>0</v>
      </c>
      <c r="G68" s="63" t="s">
        <v>3920</v>
      </c>
      <c r="H68" s="99">
        <v>0</v>
      </c>
    </row>
    <row r="69" spans="1:8" ht="15.75" customHeight="1" x14ac:dyDescent="0.35">
      <c r="A69" s="63" t="s">
        <v>3921</v>
      </c>
      <c r="B69" s="99">
        <v>0</v>
      </c>
      <c r="D69" s="63" t="s">
        <v>3921</v>
      </c>
      <c r="E69" s="99">
        <v>0</v>
      </c>
      <c r="G69" s="63" t="s">
        <v>3921</v>
      </c>
      <c r="H69" s="99">
        <v>0</v>
      </c>
    </row>
    <row r="70" spans="1:8" ht="15.75" customHeight="1" x14ac:dyDescent="0.35">
      <c r="A70" s="63" t="s">
        <v>3922</v>
      </c>
      <c r="B70" s="99">
        <v>0</v>
      </c>
      <c r="D70" s="63" t="s">
        <v>3922</v>
      </c>
      <c r="E70" s="99">
        <v>0</v>
      </c>
      <c r="G70" s="63" t="s">
        <v>3922</v>
      </c>
      <c r="H70" s="99">
        <v>0</v>
      </c>
    </row>
    <row r="71" spans="1:8" ht="15.75" customHeight="1" x14ac:dyDescent="0.35">
      <c r="A71" s="63" t="s">
        <v>3923</v>
      </c>
      <c r="B71" s="99">
        <v>0</v>
      </c>
      <c r="D71" s="63" t="s">
        <v>3923</v>
      </c>
      <c r="E71" s="99">
        <v>0</v>
      </c>
      <c r="G71" s="63" t="s">
        <v>3923</v>
      </c>
      <c r="H71" s="99">
        <v>0</v>
      </c>
    </row>
    <row r="72" spans="1:8" ht="15.75" customHeight="1" x14ac:dyDescent="0.35">
      <c r="A72" s="63" t="s">
        <v>3924</v>
      </c>
      <c r="B72" s="99">
        <v>0</v>
      </c>
      <c r="D72" s="63" t="s">
        <v>3924</v>
      </c>
      <c r="E72" s="99">
        <v>0</v>
      </c>
      <c r="G72" s="63" t="s">
        <v>3924</v>
      </c>
      <c r="H72" s="99">
        <v>0</v>
      </c>
    </row>
    <row r="73" spans="1:8" ht="15.75" customHeight="1" x14ac:dyDescent="0.3">
      <c r="B73" s="23"/>
      <c r="E73" s="23"/>
      <c r="H73" s="23"/>
    </row>
    <row r="74" spans="1:8" ht="15.75" customHeight="1" x14ac:dyDescent="0.3">
      <c r="B74" s="23"/>
      <c r="E74" s="23"/>
      <c r="H74" s="23"/>
    </row>
    <row r="75" spans="1:8" ht="15.75" customHeight="1" x14ac:dyDescent="0.3">
      <c r="B75" s="23"/>
      <c r="E75" s="23"/>
      <c r="H75" s="23"/>
    </row>
    <row r="76" spans="1:8" ht="15.75" customHeight="1" x14ac:dyDescent="0.3">
      <c r="B76" s="23"/>
      <c r="E76" s="23"/>
      <c r="H76" s="23"/>
    </row>
    <row r="77" spans="1:8" ht="15.75" customHeight="1" x14ac:dyDescent="0.3">
      <c r="B77" s="23"/>
      <c r="E77" s="23"/>
      <c r="H77" s="23"/>
    </row>
    <row r="78" spans="1:8" ht="15.75" customHeight="1" x14ac:dyDescent="0.3">
      <c r="B78" s="23"/>
      <c r="E78" s="23"/>
      <c r="H78" s="23"/>
    </row>
    <row r="79" spans="1:8" ht="15.75" customHeight="1" x14ac:dyDescent="0.3">
      <c r="B79" s="23"/>
      <c r="E79" s="23"/>
      <c r="H79" s="23"/>
    </row>
    <row r="80" spans="1:8" ht="15.75" customHeight="1" x14ac:dyDescent="0.3">
      <c r="B80" s="23"/>
      <c r="E80" s="23"/>
      <c r="H80" s="23"/>
    </row>
    <row r="81" spans="2:8" ht="15.75" customHeight="1" x14ac:dyDescent="0.3">
      <c r="B81" s="23"/>
      <c r="E81" s="23"/>
      <c r="H81" s="23"/>
    </row>
    <row r="82" spans="2:8" ht="15.75" customHeight="1" x14ac:dyDescent="0.3">
      <c r="B82" s="23"/>
      <c r="E82" s="23"/>
      <c r="H82" s="23"/>
    </row>
    <row r="83" spans="2:8" ht="15.75" customHeight="1" x14ac:dyDescent="0.3">
      <c r="B83" s="23"/>
      <c r="E83" s="23"/>
      <c r="H83" s="23"/>
    </row>
    <row r="84" spans="2:8" ht="15.75" customHeight="1" x14ac:dyDescent="0.3">
      <c r="B84" s="23"/>
      <c r="E84" s="23"/>
      <c r="H84" s="23"/>
    </row>
    <row r="85" spans="2:8" ht="15.75" customHeight="1" x14ac:dyDescent="0.3">
      <c r="B85" s="23"/>
      <c r="E85" s="23"/>
      <c r="H85" s="23"/>
    </row>
    <row r="86" spans="2:8" ht="15.75" customHeight="1" x14ac:dyDescent="0.3">
      <c r="B86" s="23"/>
      <c r="E86" s="23"/>
      <c r="H86" s="23"/>
    </row>
    <row r="87" spans="2:8" ht="15.75" customHeight="1" x14ac:dyDescent="0.3">
      <c r="B87" s="23"/>
      <c r="E87" s="23"/>
      <c r="H87" s="23"/>
    </row>
    <row r="88" spans="2:8" ht="15.75" customHeight="1" x14ac:dyDescent="0.3">
      <c r="B88" s="23"/>
      <c r="E88" s="23"/>
      <c r="H88" s="23"/>
    </row>
    <row r="89" spans="2:8" ht="15.75" customHeight="1" x14ac:dyDescent="0.3">
      <c r="B89" s="23"/>
      <c r="E89" s="23"/>
      <c r="H89" s="23"/>
    </row>
    <row r="90" spans="2:8" ht="15.75" customHeight="1" x14ac:dyDescent="0.3">
      <c r="B90" s="23"/>
      <c r="E90" s="23"/>
      <c r="H90" s="23"/>
    </row>
    <row r="91" spans="2:8" ht="15.75" customHeight="1" x14ac:dyDescent="0.3">
      <c r="B91" s="23"/>
      <c r="E91" s="23"/>
      <c r="H91" s="23"/>
    </row>
    <row r="92" spans="2:8" ht="15.75" customHeight="1" x14ac:dyDescent="0.3">
      <c r="B92" s="23"/>
      <c r="E92" s="23"/>
      <c r="H92" s="23"/>
    </row>
    <row r="93" spans="2:8" ht="15.75" customHeight="1" x14ac:dyDescent="0.3">
      <c r="B93" s="23"/>
      <c r="E93" s="23"/>
      <c r="H93" s="23"/>
    </row>
    <row r="94" spans="2:8" ht="15.75" customHeight="1" x14ac:dyDescent="0.3">
      <c r="B94" s="23"/>
      <c r="E94" s="23"/>
      <c r="H94" s="23"/>
    </row>
    <row r="95" spans="2:8" ht="15.75" customHeight="1" x14ac:dyDescent="0.3">
      <c r="B95" s="23"/>
      <c r="E95" s="23"/>
      <c r="H95" s="23"/>
    </row>
    <row r="96" spans="2:8" ht="15.75" customHeight="1" x14ac:dyDescent="0.3">
      <c r="B96" s="23"/>
      <c r="E96" s="23"/>
      <c r="H96" s="23"/>
    </row>
    <row r="97" spans="2:8" ht="15.75" customHeight="1" x14ac:dyDescent="0.3">
      <c r="B97" s="23"/>
      <c r="E97" s="23"/>
      <c r="H97" s="23"/>
    </row>
    <row r="98" spans="2:8" ht="15.75" customHeight="1" x14ac:dyDescent="0.3">
      <c r="B98" s="23"/>
      <c r="E98" s="23"/>
      <c r="H98" s="23"/>
    </row>
    <row r="99" spans="2:8" ht="15.75" customHeight="1" x14ac:dyDescent="0.3">
      <c r="B99" s="23"/>
      <c r="E99" s="23"/>
      <c r="H99" s="23"/>
    </row>
    <row r="100" spans="2:8" ht="15.75" customHeight="1" x14ac:dyDescent="0.3">
      <c r="B100" s="23"/>
      <c r="E100" s="23"/>
      <c r="H100" s="23"/>
    </row>
    <row r="101" spans="2:8" ht="15.75" customHeight="1" x14ac:dyDescent="0.3">
      <c r="B101" s="23"/>
      <c r="E101" s="23"/>
      <c r="H101" s="23"/>
    </row>
    <row r="102" spans="2:8" ht="15.75" customHeight="1" x14ac:dyDescent="0.3">
      <c r="B102" s="23"/>
      <c r="E102" s="23"/>
      <c r="H102" s="23"/>
    </row>
    <row r="103" spans="2:8" ht="15.75" customHeight="1" x14ac:dyDescent="0.3">
      <c r="B103" s="23"/>
      <c r="E103" s="23"/>
      <c r="H103" s="23"/>
    </row>
    <row r="104" spans="2:8" ht="15.75" customHeight="1" x14ac:dyDescent="0.3">
      <c r="B104" s="23"/>
      <c r="E104" s="23"/>
      <c r="H104" s="23"/>
    </row>
    <row r="105" spans="2:8" ht="15.75" customHeight="1" x14ac:dyDescent="0.3">
      <c r="B105" s="23"/>
      <c r="E105" s="23"/>
      <c r="H105" s="23"/>
    </row>
    <row r="106" spans="2:8" ht="15.75" customHeight="1" x14ac:dyDescent="0.3">
      <c r="B106" s="23"/>
      <c r="E106" s="23"/>
      <c r="H106" s="23"/>
    </row>
    <row r="107" spans="2:8" ht="15.75" customHeight="1" x14ac:dyDescent="0.3">
      <c r="B107" s="23"/>
      <c r="E107" s="23"/>
      <c r="H107" s="23"/>
    </row>
    <row r="108" spans="2:8" ht="15.75" customHeight="1" x14ac:dyDescent="0.3">
      <c r="B108" s="23"/>
      <c r="E108" s="23"/>
      <c r="H108" s="23"/>
    </row>
    <row r="109" spans="2:8" ht="15.75" customHeight="1" x14ac:dyDescent="0.3">
      <c r="B109" s="23"/>
      <c r="E109" s="23"/>
      <c r="H109" s="23"/>
    </row>
    <row r="110" spans="2:8" ht="15.75" customHeight="1" x14ac:dyDescent="0.3">
      <c r="B110" s="23"/>
      <c r="E110" s="23"/>
      <c r="H110" s="23"/>
    </row>
    <row r="111" spans="2:8" ht="15.75" customHeight="1" x14ac:dyDescent="0.3">
      <c r="B111" s="23"/>
      <c r="E111" s="23"/>
      <c r="H111" s="23"/>
    </row>
    <row r="112" spans="2:8" ht="15.75" customHeight="1" x14ac:dyDescent="0.3">
      <c r="B112" s="23"/>
      <c r="E112" s="23"/>
      <c r="H112" s="23"/>
    </row>
    <row r="113" spans="2:8" ht="15.75" customHeight="1" x14ac:dyDescent="0.3">
      <c r="B113" s="23"/>
      <c r="E113" s="23"/>
      <c r="H113" s="23"/>
    </row>
    <row r="114" spans="2:8" ht="15.75" customHeight="1" x14ac:dyDescent="0.3">
      <c r="B114" s="23"/>
      <c r="E114" s="23"/>
      <c r="H114" s="23"/>
    </row>
    <row r="115" spans="2:8" ht="15.75" customHeight="1" x14ac:dyDescent="0.3">
      <c r="B115" s="23"/>
      <c r="E115" s="23"/>
      <c r="H115" s="23"/>
    </row>
    <row r="116" spans="2:8" ht="15.75" customHeight="1" x14ac:dyDescent="0.3">
      <c r="B116" s="23"/>
      <c r="E116" s="23"/>
      <c r="H116" s="23"/>
    </row>
    <row r="117" spans="2:8" ht="15.75" customHeight="1" x14ac:dyDescent="0.3">
      <c r="B117" s="23"/>
      <c r="E117" s="23"/>
      <c r="H117" s="23"/>
    </row>
    <row r="118" spans="2:8" ht="15.75" customHeight="1" x14ac:dyDescent="0.3">
      <c r="B118" s="23"/>
      <c r="E118" s="23"/>
      <c r="H118" s="23"/>
    </row>
    <row r="119" spans="2:8" ht="15.75" customHeight="1" x14ac:dyDescent="0.3">
      <c r="B119" s="23"/>
      <c r="E119" s="23"/>
      <c r="H119" s="23"/>
    </row>
    <row r="120" spans="2:8" ht="15.75" customHeight="1" x14ac:dyDescent="0.3">
      <c r="B120" s="23"/>
      <c r="E120" s="23"/>
      <c r="H120" s="23"/>
    </row>
    <row r="121" spans="2:8" ht="15.75" customHeight="1" x14ac:dyDescent="0.3">
      <c r="B121" s="23"/>
      <c r="E121" s="23"/>
      <c r="H121" s="23"/>
    </row>
    <row r="122" spans="2:8" ht="15.75" customHeight="1" x14ac:dyDescent="0.3">
      <c r="B122" s="23"/>
      <c r="E122" s="23"/>
      <c r="H122" s="23"/>
    </row>
    <row r="123" spans="2:8" ht="15.75" customHeight="1" x14ac:dyDescent="0.3">
      <c r="B123" s="23"/>
      <c r="E123" s="23"/>
      <c r="H123" s="23"/>
    </row>
    <row r="124" spans="2:8" ht="15.75" customHeight="1" x14ac:dyDescent="0.3">
      <c r="B124" s="23"/>
      <c r="E124" s="23"/>
      <c r="H124" s="23"/>
    </row>
    <row r="125" spans="2:8" ht="15.75" customHeight="1" x14ac:dyDescent="0.3">
      <c r="B125" s="23"/>
      <c r="E125" s="23"/>
      <c r="H125" s="23"/>
    </row>
    <row r="126" spans="2:8" ht="15.75" customHeight="1" x14ac:dyDescent="0.3">
      <c r="B126" s="23"/>
      <c r="E126" s="23"/>
      <c r="H126" s="23"/>
    </row>
    <row r="127" spans="2:8" ht="15.75" customHeight="1" x14ac:dyDescent="0.3">
      <c r="B127" s="23"/>
      <c r="E127" s="23"/>
      <c r="H127" s="23"/>
    </row>
    <row r="128" spans="2:8" ht="15.75" customHeight="1" x14ac:dyDescent="0.3">
      <c r="B128" s="23"/>
      <c r="E128" s="23"/>
      <c r="H128" s="23"/>
    </row>
    <row r="129" spans="2:8" ht="15.75" customHeight="1" x14ac:dyDescent="0.3">
      <c r="B129" s="23"/>
      <c r="E129" s="23"/>
      <c r="H129" s="23"/>
    </row>
    <row r="130" spans="2:8" ht="15.75" customHeight="1" x14ac:dyDescent="0.3">
      <c r="B130" s="23"/>
      <c r="E130" s="23"/>
      <c r="H130" s="23"/>
    </row>
    <row r="131" spans="2:8" ht="15.75" customHeight="1" x14ac:dyDescent="0.3">
      <c r="B131" s="23"/>
      <c r="E131" s="23"/>
      <c r="H131" s="23"/>
    </row>
    <row r="132" spans="2:8" ht="15.75" customHeight="1" x14ac:dyDescent="0.3">
      <c r="B132" s="23"/>
      <c r="E132" s="23"/>
      <c r="H132" s="23"/>
    </row>
    <row r="133" spans="2:8" ht="15.75" customHeight="1" x14ac:dyDescent="0.3">
      <c r="B133" s="23"/>
      <c r="E133" s="23"/>
      <c r="H133" s="23"/>
    </row>
    <row r="134" spans="2:8" ht="15.75" customHeight="1" x14ac:dyDescent="0.3">
      <c r="B134" s="23"/>
      <c r="E134" s="23"/>
      <c r="H134" s="23"/>
    </row>
    <row r="135" spans="2:8" ht="15.75" customHeight="1" x14ac:dyDescent="0.3">
      <c r="B135" s="23"/>
      <c r="E135" s="23"/>
      <c r="H135" s="23"/>
    </row>
    <row r="136" spans="2:8" ht="15.75" customHeight="1" x14ac:dyDescent="0.3">
      <c r="B136" s="23"/>
      <c r="E136" s="23"/>
      <c r="H136" s="23"/>
    </row>
    <row r="137" spans="2:8" ht="15.75" customHeight="1" x14ac:dyDescent="0.3">
      <c r="B137" s="23"/>
      <c r="E137" s="23"/>
      <c r="H137" s="23"/>
    </row>
    <row r="138" spans="2:8" ht="15.75" customHeight="1" x14ac:dyDescent="0.3">
      <c r="B138" s="23"/>
      <c r="E138" s="23"/>
      <c r="H138" s="23"/>
    </row>
    <row r="139" spans="2:8" ht="15.75" customHeight="1" x14ac:dyDescent="0.3">
      <c r="B139" s="23"/>
      <c r="E139" s="23"/>
      <c r="H139" s="23"/>
    </row>
    <row r="140" spans="2:8" ht="15.75" customHeight="1" x14ac:dyDescent="0.3">
      <c r="B140" s="23"/>
      <c r="E140" s="23"/>
      <c r="H140" s="23"/>
    </row>
    <row r="141" spans="2:8" ht="15.75" customHeight="1" x14ac:dyDescent="0.3">
      <c r="B141" s="23"/>
      <c r="E141" s="23"/>
      <c r="H141" s="23"/>
    </row>
    <row r="142" spans="2:8" ht="15.75" customHeight="1" x14ac:dyDescent="0.3">
      <c r="B142" s="23"/>
      <c r="E142" s="23"/>
      <c r="H142" s="23"/>
    </row>
    <row r="143" spans="2:8" ht="15.75" customHeight="1" x14ac:dyDescent="0.3">
      <c r="B143" s="23"/>
      <c r="E143" s="23"/>
      <c r="H143" s="23"/>
    </row>
    <row r="144" spans="2:8" ht="15.75" customHeight="1" x14ac:dyDescent="0.3">
      <c r="B144" s="23"/>
      <c r="E144" s="23"/>
      <c r="H144" s="23"/>
    </row>
    <row r="145" spans="2:8" ht="15.75" customHeight="1" x14ac:dyDescent="0.3">
      <c r="B145" s="23"/>
      <c r="E145" s="23"/>
      <c r="H145" s="23"/>
    </row>
    <row r="146" spans="2:8" ht="15.75" customHeight="1" x14ac:dyDescent="0.3">
      <c r="B146" s="23"/>
      <c r="E146" s="23"/>
      <c r="H146" s="23"/>
    </row>
    <row r="147" spans="2:8" ht="15.75" customHeight="1" x14ac:dyDescent="0.3">
      <c r="B147" s="23"/>
      <c r="E147" s="23"/>
      <c r="H147" s="23"/>
    </row>
    <row r="148" spans="2:8" ht="15.75" customHeight="1" x14ac:dyDescent="0.3">
      <c r="B148" s="23"/>
      <c r="E148" s="23"/>
      <c r="H148" s="23"/>
    </row>
    <row r="149" spans="2:8" ht="15.75" customHeight="1" x14ac:dyDescent="0.3">
      <c r="B149" s="23"/>
      <c r="E149" s="23"/>
      <c r="H149" s="23"/>
    </row>
    <row r="150" spans="2:8" ht="15.75" customHeight="1" x14ac:dyDescent="0.3">
      <c r="B150" s="23"/>
      <c r="E150" s="23"/>
      <c r="H150" s="23"/>
    </row>
    <row r="151" spans="2:8" ht="15.75" customHeight="1" x14ac:dyDescent="0.3">
      <c r="B151" s="23"/>
      <c r="E151" s="23"/>
      <c r="H151" s="23"/>
    </row>
    <row r="152" spans="2:8" ht="15.75" customHeight="1" x14ac:dyDescent="0.3">
      <c r="B152" s="23"/>
      <c r="E152" s="23"/>
      <c r="H152" s="23"/>
    </row>
    <row r="153" spans="2:8" ht="15.75" customHeight="1" x14ac:dyDescent="0.3">
      <c r="B153" s="23"/>
      <c r="E153" s="23"/>
      <c r="H153" s="23"/>
    </row>
    <row r="154" spans="2:8" ht="15.75" customHeight="1" x14ac:dyDescent="0.3">
      <c r="B154" s="23"/>
      <c r="E154" s="23"/>
      <c r="H154" s="23"/>
    </row>
    <row r="155" spans="2:8" ht="15.75" customHeight="1" x14ac:dyDescent="0.3">
      <c r="B155" s="23"/>
      <c r="E155" s="23"/>
      <c r="H155" s="23"/>
    </row>
    <row r="156" spans="2:8" ht="15.75" customHeight="1" x14ac:dyDescent="0.3">
      <c r="B156" s="23"/>
      <c r="E156" s="23"/>
      <c r="H156" s="23"/>
    </row>
    <row r="157" spans="2:8" ht="15.75" customHeight="1" x14ac:dyDescent="0.3">
      <c r="B157" s="23"/>
      <c r="E157" s="23"/>
      <c r="H157" s="23"/>
    </row>
    <row r="158" spans="2:8" ht="15.75" customHeight="1" x14ac:dyDescent="0.3">
      <c r="B158" s="23"/>
      <c r="E158" s="23"/>
      <c r="H158" s="23"/>
    </row>
    <row r="159" spans="2:8" ht="15.75" customHeight="1" x14ac:dyDescent="0.3">
      <c r="B159" s="23"/>
      <c r="E159" s="23"/>
      <c r="H159" s="23"/>
    </row>
    <row r="160" spans="2:8" ht="15.75" customHeight="1" x14ac:dyDescent="0.3">
      <c r="B160" s="23"/>
      <c r="E160" s="23"/>
      <c r="H160" s="23"/>
    </row>
    <row r="161" spans="2:8" ht="15.75" customHeight="1" x14ac:dyDescent="0.3">
      <c r="B161" s="23"/>
      <c r="E161" s="23"/>
      <c r="H161" s="23"/>
    </row>
    <row r="162" spans="2:8" ht="15.75" customHeight="1" x14ac:dyDescent="0.3">
      <c r="B162" s="23"/>
      <c r="E162" s="23"/>
      <c r="H162" s="23"/>
    </row>
    <row r="163" spans="2:8" ht="15.75" customHeight="1" x14ac:dyDescent="0.3">
      <c r="B163" s="23"/>
      <c r="E163" s="23"/>
      <c r="H163" s="23"/>
    </row>
    <row r="164" spans="2:8" ht="15.75" customHeight="1" x14ac:dyDescent="0.3">
      <c r="B164" s="23"/>
      <c r="E164" s="23"/>
      <c r="H164" s="23"/>
    </row>
    <row r="165" spans="2:8" ht="15.75" customHeight="1" x14ac:dyDescent="0.3">
      <c r="B165" s="23"/>
      <c r="E165" s="23"/>
      <c r="H165" s="23"/>
    </row>
    <row r="166" spans="2:8" ht="15.75" customHeight="1" x14ac:dyDescent="0.3">
      <c r="B166" s="23"/>
      <c r="E166" s="23"/>
      <c r="H166" s="23"/>
    </row>
    <row r="167" spans="2:8" ht="15.75" customHeight="1" x14ac:dyDescent="0.3">
      <c r="B167" s="23"/>
      <c r="E167" s="23"/>
      <c r="H167" s="23"/>
    </row>
    <row r="168" spans="2:8" ht="15.75" customHeight="1" x14ac:dyDescent="0.3">
      <c r="B168" s="23"/>
      <c r="E168" s="23"/>
      <c r="H168" s="23"/>
    </row>
    <row r="169" spans="2:8" ht="15.75" customHeight="1" x14ac:dyDescent="0.3">
      <c r="B169" s="23"/>
      <c r="E169" s="23"/>
      <c r="H169" s="23"/>
    </row>
    <row r="170" spans="2:8" ht="15.75" customHeight="1" x14ac:dyDescent="0.3">
      <c r="B170" s="23"/>
      <c r="E170" s="23"/>
      <c r="H170" s="23"/>
    </row>
    <row r="171" spans="2:8" ht="15.75" customHeight="1" x14ac:dyDescent="0.3">
      <c r="B171" s="23"/>
      <c r="E171" s="23"/>
      <c r="H171" s="23"/>
    </row>
    <row r="172" spans="2:8" ht="15.75" customHeight="1" x14ac:dyDescent="0.3">
      <c r="B172" s="23"/>
      <c r="E172" s="23"/>
      <c r="H172" s="23"/>
    </row>
    <row r="173" spans="2:8" ht="15.75" customHeight="1" x14ac:dyDescent="0.3">
      <c r="B173" s="23"/>
      <c r="E173" s="23"/>
      <c r="H173" s="23"/>
    </row>
    <row r="174" spans="2:8" ht="15.75" customHeight="1" x14ac:dyDescent="0.3">
      <c r="B174" s="23"/>
      <c r="E174" s="23"/>
      <c r="H174" s="23"/>
    </row>
    <row r="175" spans="2:8" ht="15.75" customHeight="1" x14ac:dyDescent="0.3">
      <c r="B175" s="23"/>
      <c r="E175" s="23"/>
      <c r="H175" s="23"/>
    </row>
    <row r="176" spans="2:8" ht="15.75" customHeight="1" x14ac:dyDescent="0.3">
      <c r="B176" s="23"/>
      <c r="E176" s="23"/>
      <c r="H176" s="23"/>
    </row>
    <row r="177" spans="2:8" ht="15.75" customHeight="1" x14ac:dyDescent="0.3">
      <c r="B177" s="23"/>
      <c r="E177" s="23"/>
      <c r="H177" s="23"/>
    </row>
    <row r="178" spans="2:8" ht="15.75" customHeight="1" x14ac:dyDescent="0.3">
      <c r="B178" s="23"/>
      <c r="E178" s="23"/>
      <c r="H178" s="23"/>
    </row>
    <row r="179" spans="2:8" ht="15.75" customHeight="1" x14ac:dyDescent="0.3">
      <c r="B179" s="23"/>
      <c r="E179" s="23"/>
      <c r="H179" s="23"/>
    </row>
    <row r="180" spans="2:8" ht="15.75" customHeight="1" x14ac:dyDescent="0.3">
      <c r="B180" s="23"/>
      <c r="E180" s="23"/>
      <c r="H180" s="23"/>
    </row>
    <row r="181" spans="2:8" ht="15.75" customHeight="1" x14ac:dyDescent="0.3">
      <c r="B181" s="23"/>
      <c r="E181" s="23"/>
      <c r="H181" s="23"/>
    </row>
    <row r="182" spans="2:8" ht="15.75" customHeight="1" x14ac:dyDescent="0.3">
      <c r="B182" s="23"/>
      <c r="E182" s="23"/>
      <c r="H182" s="23"/>
    </row>
    <row r="183" spans="2:8" ht="15.75" customHeight="1" x14ac:dyDescent="0.3">
      <c r="B183" s="23"/>
      <c r="E183" s="23"/>
      <c r="H183" s="23"/>
    </row>
    <row r="184" spans="2:8" ht="15.75" customHeight="1" x14ac:dyDescent="0.3">
      <c r="B184" s="23"/>
      <c r="E184" s="23"/>
      <c r="H184" s="23"/>
    </row>
    <row r="185" spans="2:8" ht="15.75" customHeight="1" x14ac:dyDescent="0.3">
      <c r="B185" s="23"/>
      <c r="E185" s="23"/>
      <c r="H185" s="23"/>
    </row>
    <row r="186" spans="2:8" ht="15.75" customHeight="1" x14ac:dyDescent="0.3">
      <c r="B186" s="23"/>
      <c r="E186" s="23"/>
      <c r="H186" s="23"/>
    </row>
    <row r="187" spans="2:8" ht="15.75" customHeight="1" x14ac:dyDescent="0.3">
      <c r="B187" s="23"/>
      <c r="E187" s="23"/>
      <c r="H187" s="23"/>
    </row>
    <row r="188" spans="2:8" ht="15.75" customHeight="1" x14ac:dyDescent="0.3">
      <c r="B188" s="23"/>
      <c r="E188" s="23"/>
      <c r="H188" s="23"/>
    </row>
    <row r="189" spans="2:8" ht="15.75" customHeight="1" x14ac:dyDescent="0.3">
      <c r="B189" s="23"/>
      <c r="E189" s="23"/>
      <c r="H189" s="23"/>
    </row>
    <row r="190" spans="2:8" ht="15.75" customHeight="1" x14ac:dyDescent="0.3">
      <c r="B190" s="23"/>
      <c r="E190" s="23"/>
      <c r="H190" s="23"/>
    </row>
    <row r="191" spans="2:8" ht="15.75" customHeight="1" x14ac:dyDescent="0.3">
      <c r="B191" s="23"/>
      <c r="E191" s="23"/>
      <c r="H191" s="23"/>
    </row>
    <row r="192" spans="2:8" ht="15.75" customHeight="1" x14ac:dyDescent="0.3">
      <c r="B192" s="23"/>
      <c r="E192" s="23"/>
      <c r="H192" s="23"/>
    </row>
    <row r="193" spans="2:8" ht="15.75" customHeight="1" x14ac:dyDescent="0.3">
      <c r="B193" s="23"/>
      <c r="E193" s="23"/>
      <c r="H193" s="23"/>
    </row>
    <row r="194" spans="2:8" ht="15.75" customHeight="1" x14ac:dyDescent="0.3">
      <c r="B194" s="23"/>
      <c r="E194" s="23"/>
      <c r="H194" s="23"/>
    </row>
    <row r="195" spans="2:8" ht="15.75" customHeight="1" x14ac:dyDescent="0.3">
      <c r="B195" s="23"/>
      <c r="E195" s="23"/>
      <c r="H195" s="23"/>
    </row>
    <row r="196" spans="2:8" ht="15.75" customHeight="1" x14ac:dyDescent="0.3">
      <c r="B196" s="23"/>
      <c r="E196" s="23"/>
      <c r="H196" s="23"/>
    </row>
    <row r="197" spans="2:8" ht="15.75" customHeight="1" x14ac:dyDescent="0.3">
      <c r="B197" s="23"/>
      <c r="E197" s="23"/>
      <c r="H197" s="23"/>
    </row>
    <row r="198" spans="2:8" ht="15.75" customHeight="1" x14ac:dyDescent="0.3">
      <c r="B198" s="23"/>
      <c r="E198" s="23"/>
      <c r="H198" s="23"/>
    </row>
    <row r="199" spans="2:8" ht="15.75" customHeight="1" x14ac:dyDescent="0.3">
      <c r="B199" s="23"/>
      <c r="E199" s="23"/>
      <c r="H199" s="23"/>
    </row>
    <row r="200" spans="2:8" ht="15.75" customHeight="1" x14ac:dyDescent="0.3">
      <c r="B200" s="23"/>
      <c r="E200" s="23"/>
      <c r="H200" s="23"/>
    </row>
    <row r="201" spans="2:8" ht="15.75" customHeight="1" x14ac:dyDescent="0.3">
      <c r="B201" s="23"/>
      <c r="E201" s="23"/>
      <c r="H201" s="23"/>
    </row>
    <row r="202" spans="2:8" ht="15.75" customHeight="1" x14ac:dyDescent="0.3">
      <c r="B202" s="23"/>
      <c r="E202" s="23"/>
      <c r="H202" s="23"/>
    </row>
    <row r="203" spans="2:8" ht="15.75" customHeight="1" x14ac:dyDescent="0.3">
      <c r="B203" s="23"/>
      <c r="E203" s="23"/>
      <c r="H203" s="23"/>
    </row>
    <row r="204" spans="2:8" ht="15.75" customHeight="1" x14ac:dyDescent="0.3">
      <c r="B204" s="23"/>
      <c r="E204" s="23"/>
      <c r="H204" s="23"/>
    </row>
    <row r="205" spans="2:8" ht="15.75" customHeight="1" x14ac:dyDescent="0.3">
      <c r="B205" s="23"/>
      <c r="E205" s="23"/>
      <c r="H205" s="23"/>
    </row>
    <row r="206" spans="2:8" ht="15.75" customHeight="1" x14ac:dyDescent="0.3">
      <c r="B206" s="23"/>
      <c r="E206" s="23"/>
      <c r="H206" s="23"/>
    </row>
    <row r="207" spans="2:8" ht="15.75" customHeight="1" x14ac:dyDescent="0.3">
      <c r="B207" s="23"/>
      <c r="E207" s="23"/>
      <c r="H207" s="23"/>
    </row>
    <row r="208" spans="2:8" ht="15.75" customHeight="1" x14ac:dyDescent="0.3">
      <c r="B208" s="23"/>
      <c r="E208" s="23"/>
      <c r="H208" s="23"/>
    </row>
    <row r="209" spans="2:8" ht="15.75" customHeight="1" x14ac:dyDescent="0.3">
      <c r="B209" s="23"/>
      <c r="E209" s="23"/>
      <c r="H209" s="23"/>
    </row>
    <row r="210" spans="2:8" ht="15.75" customHeight="1" x14ac:dyDescent="0.3">
      <c r="B210" s="23"/>
      <c r="E210" s="23"/>
      <c r="H210" s="23"/>
    </row>
    <row r="211" spans="2:8" ht="15.75" customHeight="1" x14ac:dyDescent="0.3">
      <c r="B211" s="23"/>
      <c r="E211" s="23"/>
      <c r="H211" s="23"/>
    </row>
    <row r="212" spans="2:8" ht="15.75" customHeight="1" x14ac:dyDescent="0.3">
      <c r="B212" s="23"/>
      <c r="E212" s="23"/>
      <c r="H212" s="23"/>
    </row>
    <row r="213" spans="2:8" ht="15.75" customHeight="1" x14ac:dyDescent="0.3">
      <c r="B213" s="23"/>
      <c r="E213" s="23"/>
      <c r="H213" s="23"/>
    </row>
    <row r="214" spans="2:8" ht="15.75" customHeight="1" x14ac:dyDescent="0.3">
      <c r="B214" s="23"/>
      <c r="E214" s="23"/>
      <c r="H214" s="23"/>
    </row>
    <row r="215" spans="2:8" ht="15.75" customHeight="1" x14ac:dyDescent="0.3">
      <c r="B215" s="23"/>
      <c r="E215" s="23"/>
      <c r="H215" s="23"/>
    </row>
    <row r="216" spans="2:8" ht="15.75" customHeight="1" x14ac:dyDescent="0.3">
      <c r="B216" s="23"/>
      <c r="E216" s="23"/>
      <c r="H216" s="23"/>
    </row>
    <row r="217" spans="2:8" ht="15.75" customHeight="1" x14ac:dyDescent="0.3">
      <c r="B217" s="23"/>
      <c r="E217" s="23"/>
      <c r="H217" s="23"/>
    </row>
    <row r="218" spans="2:8" ht="15.75" customHeight="1" x14ac:dyDescent="0.3">
      <c r="B218" s="23"/>
      <c r="E218" s="23"/>
      <c r="H218" s="23"/>
    </row>
    <row r="219" spans="2:8" ht="15.75" customHeight="1" x14ac:dyDescent="0.3">
      <c r="B219" s="23"/>
      <c r="E219" s="23"/>
      <c r="H219" s="23"/>
    </row>
    <row r="220" spans="2:8" ht="15.75" customHeight="1" x14ac:dyDescent="0.3">
      <c r="B220" s="23"/>
      <c r="E220" s="23"/>
      <c r="H220" s="23"/>
    </row>
    <row r="221" spans="2:8" ht="15.75" customHeight="1" x14ac:dyDescent="0.3">
      <c r="B221" s="23"/>
      <c r="E221" s="23"/>
      <c r="H221" s="23"/>
    </row>
    <row r="222" spans="2:8" ht="15.75" customHeight="1" x14ac:dyDescent="0.3">
      <c r="B222" s="23"/>
      <c r="E222" s="23"/>
      <c r="H222" s="23"/>
    </row>
    <row r="223" spans="2:8" ht="15.75" customHeight="1" x14ac:dyDescent="0.3">
      <c r="B223" s="23"/>
      <c r="E223" s="23"/>
      <c r="H223" s="23"/>
    </row>
    <row r="224" spans="2:8" ht="15.75" customHeight="1" x14ac:dyDescent="0.3">
      <c r="B224" s="23"/>
      <c r="E224" s="23"/>
      <c r="H224" s="23"/>
    </row>
    <row r="225" spans="2:8" ht="15.75" customHeight="1" x14ac:dyDescent="0.3">
      <c r="B225" s="23"/>
      <c r="E225" s="23"/>
      <c r="H225" s="23"/>
    </row>
    <row r="226" spans="2:8" ht="15.75" customHeight="1" x14ac:dyDescent="0.3">
      <c r="B226" s="23"/>
      <c r="E226" s="23"/>
      <c r="H226" s="23"/>
    </row>
    <row r="227" spans="2:8" ht="15.75" customHeight="1" x14ac:dyDescent="0.3">
      <c r="B227" s="23"/>
      <c r="E227" s="23"/>
      <c r="H227" s="23"/>
    </row>
    <row r="228" spans="2:8" ht="15.75" customHeight="1" x14ac:dyDescent="0.3">
      <c r="B228" s="23"/>
      <c r="E228" s="23"/>
      <c r="H228" s="23"/>
    </row>
    <row r="229" spans="2:8" ht="15.75" customHeight="1" x14ac:dyDescent="0.3">
      <c r="B229" s="23"/>
      <c r="E229" s="23"/>
      <c r="H229" s="23"/>
    </row>
    <row r="230" spans="2:8" ht="15.75" customHeight="1" x14ac:dyDescent="0.3">
      <c r="B230" s="23"/>
      <c r="E230" s="23"/>
      <c r="H230" s="23"/>
    </row>
    <row r="231" spans="2:8" ht="15.75" customHeight="1" x14ac:dyDescent="0.3">
      <c r="B231" s="23"/>
      <c r="E231" s="23"/>
      <c r="H231" s="23"/>
    </row>
    <row r="232" spans="2:8" ht="15.75" customHeight="1" x14ac:dyDescent="0.3">
      <c r="B232" s="23"/>
      <c r="E232" s="23"/>
      <c r="H232" s="23"/>
    </row>
    <row r="233" spans="2:8" ht="15.75" customHeight="1" x14ac:dyDescent="0.3">
      <c r="B233" s="23"/>
      <c r="E233" s="23"/>
      <c r="H233" s="23"/>
    </row>
    <row r="234" spans="2:8" ht="15.75" customHeight="1" x14ac:dyDescent="0.3">
      <c r="B234" s="23"/>
      <c r="E234" s="23"/>
      <c r="H234" s="23"/>
    </row>
    <row r="235" spans="2:8" ht="15.75" customHeight="1" x14ac:dyDescent="0.3">
      <c r="B235" s="23"/>
      <c r="E235" s="23"/>
      <c r="H235" s="23"/>
    </row>
    <row r="236" spans="2:8" ht="15.75" customHeight="1" x14ac:dyDescent="0.3">
      <c r="B236" s="23"/>
      <c r="E236" s="23"/>
      <c r="H236" s="23"/>
    </row>
    <row r="237" spans="2:8" ht="15.75" customHeight="1" x14ac:dyDescent="0.3">
      <c r="B237" s="23"/>
      <c r="E237" s="23"/>
      <c r="H237" s="23"/>
    </row>
    <row r="238" spans="2:8" ht="15.75" customHeight="1" x14ac:dyDescent="0.3">
      <c r="B238" s="23"/>
      <c r="E238" s="23"/>
      <c r="H238" s="23"/>
    </row>
    <row r="239" spans="2:8" ht="15.75" customHeight="1" x14ac:dyDescent="0.3">
      <c r="B239" s="23"/>
      <c r="E239" s="23"/>
      <c r="H239" s="23"/>
    </row>
    <row r="240" spans="2:8" ht="15.75" customHeight="1" x14ac:dyDescent="0.3">
      <c r="B240" s="23"/>
      <c r="E240" s="23"/>
      <c r="H240" s="23"/>
    </row>
    <row r="241" spans="2:8" ht="15.75" customHeight="1" x14ac:dyDescent="0.3">
      <c r="B241" s="23"/>
      <c r="E241" s="23"/>
      <c r="H241" s="23"/>
    </row>
    <row r="242" spans="2:8" ht="15.75" customHeight="1" x14ac:dyDescent="0.3">
      <c r="B242" s="23"/>
      <c r="E242" s="23"/>
      <c r="H242" s="23"/>
    </row>
    <row r="243" spans="2:8" ht="15.75" customHeight="1" x14ac:dyDescent="0.3">
      <c r="B243" s="23"/>
      <c r="E243" s="23"/>
      <c r="H243" s="23"/>
    </row>
    <row r="244" spans="2:8" ht="15.75" customHeight="1" x14ac:dyDescent="0.3">
      <c r="B244" s="23"/>
      <c r="E244" s="23"/>
      <c r="H244" s="23"/>
    </row>
    <row r="245" spans="2:8" ht="15.75" customHeight="1" x14ac:dyDescent="0.3">
      <c r="B245" s="23"/>
      <c r="E245" s="23"/>
      <c r="H245" s="23"/>
    </row>
    <row r="246" spans="2:8" ht="15.75" customHeight="1" x14ac:dyDescent="0.3">
      <c r="B246" s="23"/>
      <c r="E246" s="23"/>
      <c r="H246" s="23"/>
    </row>
    <row r="247" spans="2:8" ht="15.75" customHeight="1" x14ac:dyDescent="0.3">
      <c r="B247" s="23"/>
      <c r="E247" s="23"/>
      <c r="H247" s="23"/>
    </row>
    <row r="248" spans="2:8" ht="15.75" customHeight="1" x14ac:dyDescent="0.3">
      <c r="B248" s="23"/>
      <c r="E248" s="23"/>
      <c r="H248" s="23"/>
    </row>
    <row r="249" spans="2:8" ht="15.75" customHeight="1" x14ac:dyDescent="0.3">
      <c r="B249" s="23"/>
      <c r="E249" s="23"/>
      <c r="H249" s="23"/>
    </row>
    <row r="250" spans="2:8" ht="15.75" customHeight="1" x14ac:dyDescent="0.3">
      <c r="B250" s="23"/>
      <c r="E250" s="23"/>
      <c r="H250" s="23"/>
    </row>
    <row r="251" spans="2:8" ht="15.75" customHeight="1" x14ac:dyDescent="0.3">
      <c r="B251" s="23"/>
      <c r="E251" s="23"/>
      <c r="H251" s="23"/>
    </row>
    <row r="252" spans="2:8" ht="15.75" customHeight="1" x14ac:dyDescent="0.3">
      <c r="B252" s="23"/>
      <c r="E252" s="23"/>
      <c r="H252" s="23"/>
    </row>
    <row r="253" spans="2:8" ht="15.75" customHeight="1" x14ac:dyDescent="0.3">
      <c r="B253" s="23"/>
      <c r="E253" s="23"/>
      <c r="H253" s="23"/>
    </row>
    <row r="254" spans="2:8" ht="15.75" customHeight="1" x14ac:dyDescent="0.3">
      <c r="B254" s="23"/>
      <c r="E254" s="23"/>
      <c r="H254" s="23"/>
    </row>
    <row r="255" spans="2:8" ht="15.75" customHeight="1" x14ac:dyDescent="0.3">
      <c r="B255" s="23"/>
      <c r="E255" s="23"/>
      <c r="H255" s="23"/>
    </row>
    <row r="256" spans="2:8" ht="15.75" customHeight="1" x14ac:dyDescent="0.3">
      <c r="B256" s="23"/>
      <c r="E256" s="23"/>
      <c r="H256" s="23"/>
    </row>
    <row r="257" spans="2:8" ht="15.75" customHeight="1" x14ac:dyDescent="0.3">
      <c r="B257" s="23"/>
      <c r="E257" s="23"/>
      <c r="H257" s="23"/>
    </row>
    <row r="258" spans="2:8" ht="15.75" customHeight="1" x14ac:dyDescent="0.3">
      <c r="B258" s="23"/>
      <c r="E258" s="23"/>
      <c r="H258" s="23"/>
    </row>
    <row r="259" spans="2:8" ht="15.75" customHeight="1" x14ac:dyDescent="0.3">
      <c r="B259" s="23"/>
      <c r="E259" s="23"/>
      <c r="H259" s="23"/>
    </row>
    <row r="260" spans="2:8" ht="15.75" customHeight="1" x14ac:dyDescent="0.3">
      <c r="B260" s="23"/>
      <c r="E260" s="23"/>
      <c r="H260" s="23"/>
    </row>
    <row r="261" spans="2:8" ht="15.75" customHeight="1" x14ac:dyDescent="0.3">
      <c r="B261" s="23"/>
      <c r="E261" s="23"/>
      <c r="H261" s="23"/>
    </row>
    <row r="262" spans="2:8" ht="15.75" customHeight="1" x14ac:dyDescent="0.3">
      <c r="B262" s="23"/>
      <c r="E262" s="23"/>
      <c r="H262" s="23"/>
    </row>
    <row r="263" spans="2:8" ht="15.75" customHeight="1" x14ac:dyDescent="0.3">
      <c r="B263" s="23"/>
      <c r="E263" s="23"/>
      <c r="H263" s="23"/>
    </row>
    <row r="264" spans="2:8" ht="15.75" customHeight="1" x14ac:dyDescent="0.3">
      <c r="B264" s="23"/>
      <c r="E264" s="23"/>
      <c r="H264" s="23"/>
    </row>
    <row r="265" spans="2:8" ht="15.75" customHeight="1" x14ac:dyDescent="0.3">
      <c r="B265" s="23"/>
      <c r="E265" s="23"/>
      <c r="H265" s="23"/>
    </row>
    <row r="266" spans="2:8" ht="15.75" customHeight="1" x14ac:dyDescent="0.3">
      <c r="B266" s="23"/>
      <c r="E266" s="23"/>
      <c r="H266" s="23"/>
    </row>
    <row r="267" spans="2:8" ht="15.75" customHeight="1" x14ac:dyDescent="0.3">
      <c r="B267" s="23"/>
      <c r="E267" s="23"/>
      <c r="H267" s="23"/>
    </row>
    <row r="268" spans="2:8" ht="15.75" customHeight="1" x14ac:dyDescent="0.3">
      <c r="B268" s="23"/>
      <c r="E268" s="23"/>
      <c r="H268" s="23"/>
    </row>
    <row r="269" spans="2:8" ht="15.75" customHeight="1" x14ac:dyDescent="0.3">
      <c r="B269" s="23"/>
      <c r="E269" s="23"/>
      <c r="H269" s="23"/>
    </row>
    <row r="270" spans="2:8" ht="15.75" customHeight="1" x14ac:dyDescent="0.3">
      <c r="B270" s="23"/>
      <c r="E270" s="23"/>
      <c r="H270" s="23"/>
    </row>
    <row r="271" spans="2:8" ht="15.75" customHeight="1" x14ac:dyDescent="0.3">
      <c r="B271" s="23"/>
      <c r="E271" s="23"/>
      <c r="H271" s="23"/>
    </row>
    <row r="272" spans="2:8" ht="15.75" customHeight="1" x14ac:dyDescent="0.3">
      <c r="B272" s="23"/>
      <c r="E272" s="23"/>
      <c r="H272" s="23"/>
    </row>
    <row r="273" spans="2:8" ht="15.75" customHeight="1" x14ac:dyDescent="0.3">
      <c r="B273" s="23"/>
      <c r="E273" s="23"/>
      <c r="H273" s="23"/>
    </row>
    <row r="274" spans="2:8" ht="15.75" customHeight="1" x14ac:dyDescent="0.3">
      <c r="B274" s="23"/>
      <c r="E274" s="23"/>
      <c r="H274" s="23"/>
    </row>
    <row r="275" spans="2:8" ht="15.75" customHeight="1" x14ac:dyDescent="0.3">
      <c r="B275" s="23"/>
      <c r="E275" s="23"/>
      <c r="H275" s="23"/>
    </row>
    <row r="276" spans="2:8" ht="15.75" customHeight="1" x14ac:dyDescent="0.3">
      <c r="B276" s="23"/>
      <c r="E276" s="23"/>
      <c r="H276" s="23"/>
    </row>
    <row r="277" spans="2:8" ht="15.75" customHeight="1" x14ac:dyDescent="0.3">
      <c r="B277" s="23"/>
      <c r="E277" s="23"/>
      <c r="H277" s="23"/>
    </row>
    <row r="278" spans="2:8" ht="15.75" customHeight="1" x14ac:dyDescent="0.3">
      <c r="B278" s="23"/>
      <c r="E278" s="23"/>
      <c r="H278" s="23"/>
    </row>
    <row r="279" spans="2:8" ht="15.75" customHeight="1" x14ac:dyDescent="0.3">
      <c r="B279" s="23"/>
      <c r="E279" s="23"/>
      <c r="H279" s="23"/>
    </row>
    <row r="280" spans="2:8" ht="15.75" customHeight="1" x14ac:dyDescent="0.3">
      <c r="B280" s="23"/>
      <c r="E280" s="23"/>
      <c r="H280" s="23"/>
    </row>
    <row r="281" spans="2:8" ht="15.75" customHeight="1" x14ac:dyDescent="0.3">
      <c r="B281" s="23"/>
      <c r="E281" s="23"/>
      <c r="H281" s="23"/>
    </row>
    <row r="282" spans="2:8" ht="15.75" customHeight="1" x14ac:dyDescent="0.3">
      <c r="B282" s="23"/>
      <c r="E282" s="23"/>
      <c r="H282" s="23"/>
    </row>
    <row r="283" spans="2:8" ht="15.75" customHeight="1" x14ac:dyDescent="0.3">
      <c r="B283" s="23"/>
      <c r="E283" s="23"/>
      <c r="H283" s="23"/>
    </row>
    <row r="284" spans="2:8" ht="15.75" customHeight="1" x14ac:dyDescent="0.3">
      <c r="B284" s="23"/>
      <c r="E284" s="23"/>
      <c r="H284" s="23"/>
    </row>
    <row r="285" spans="2:8" ht="15.75" customHeight="1" x14ac:dyDescent="0.3">
      <c r="B285" s="23"/>
      <c r="E285" s="23"/>
      <c r="H285" s="23"/>
    </row>
    <row r="286" spans="2:8" ht="15.75" customHeight="1" x14ac:dyDescent="0.3">
      <c r="B286" s="23"/>
      <c r="E286" s="23"/>
      <c r="H286" s="23"/>
    </row>
    <row r="287" spans="2:8" ht="15.75" customHeight="1" x14ac:dyDescent="0.3">
      <c r="B287" s="23"/>
      <c r="E287" s="23"/>
      <c r="H287" s="23"/>
    </row>
    <row r="288" spans="2:8" ht="15.75" customHeight="1" x14ac:dyDescent="0.3">
      <c r="B288" s="23"/>
      <c r="E288" s="23"/>
      <c r="H288" s="23"/>
    </row>
    <row r="289" spans="2:8" ht="15.75" customHeight="1" x14ac:dyDescent="0.3">
      <c r="B289" s="23"/>
      <c r="E289" s="23"/>
      <c r="H289" s="23"/>
    </row>
    <row r="290" spans="2:8" ht="15.75" customHeight="1" x14ac:dyDescent="0.3">
      <c r="B290" s="23"/>
      <c r="E290" s="23"/>
      <c r="H290" s="23"/>
    </row>
    <row r="291" spans="2:8" ht="15.75" customHeight="1" x14ac:dyDescent="0.3">
      <c r="B291" s="23"/>
      <c r="E291" s="23"/>
      <c r="H291" s="23"/>
    </row>
    <row r="292" spans="2:8" ht="15.75" customHeight="1" x14ac:dyDescent="0.3">
      <c r="B292" s="23"/>
      <c r="E292" s="23"/>
      <c r="H292" s="23"/>
    </row>
    <row r="293" spans="2:8" ht="15.75" customHeight="1" x14ac:dyDescent="0.3">
      <c r="B293" s="23"/>
      <c r="E293" s="23"/>
      <c r="H293" s="23"/>
    </row>
    <row r="294" spans="2:8" ht="15.75" customHeight="1" x14ac:dyDescent="0.3">
      <c r="B294" s="23"/>
      <c r="E294" s="23"/>
      <c r="H294" s="23"/>
    </row>
    <row r="295" spans="2:8" ht="15.75" customHeight="1" x14ac:dyDescent="0.3">
      <c r="B295" s="23"/>
      <c r="E295" s="23"/>
      <c r="H295" s="23"/>
    </row>
    <row r="296" spans="2:8" ht="15.75" customHeight="1" x14ac:dyDescent="0.3">
      <c r="B296" s="23"/>
      <c r="E296" s="23"/>
      <c r="H296" s="23"/>
    </row>
    <row r="297" spans="2:8" ht="15.75" customHeight="1" x14ac:dyDescent="0.3">
      <c r="B297" s="23"/>
      <c r="E297" s="23"/>
      <c r="H297" s="23"/>
    </row>
    <row r="298" spans="2:8" ht="15.75" customHeight="1" x14ac:dyDescent="0.3">
      <c r="B298" s="23"/>
      <c r="E298" s="23"/>
      <c r="H298" s="23"/>
    </row>
    <row r="299" spans="2:8" ht="15.75" customHeight="1" x14ac:dyDescent="0.3">
      <c r="B299" s="23"/>
      <c r="E299" s="23"/>
      <c r="H299" s="23"/>
    </row>
    <row r="300" spans="2:8" ht="15.75" customHeight="1" x14ac:dyDescent="0.3">
      <c r="B300" s="23"/>
      <c r="E300" s="23"/>
      <c r="H300" s="23"/>
    </row>
    <row r="301" spans="2:8" ht="15.75" customHeight="1" x14ac:dyDescent="0.3">
      <c r="B301" s="23"/>
      <c r="E301" s="23"/>
      <c r="H301" s="23"/>
    </row>
    <row r="302" spans="2:8" ht="15.75" customHeight="1" x14ac:dyDescent="0.3">
      <c r="B302" s="23"/>
      <c r="E302" s="23"/>
      <c r="H302" s="23"/>
    </row>
    <row r="303" spans="2:8" ht="15.75" customHeight="1" x14ac:dyDescent="0.3">
      <c r="B303" s="23"/>
      <c r="E303" s="23"/>
      <c r="H303" s="23"/>
    </row>
    <row r="304" spans="2:8" ht="15.75" customHeight="1" x14ac:dyDescent="0.3">
      <c r="B304" s="23"/>
      <c r="E304" s="23"/>
      <c r="H304" s="23"/>
    </row>
    <row r="305" spans="2:8" ht="15.75" customHeight="1" x14ac:dyDescent="0.3">
      <c r="B305" s="23"/>
      <c r="E305" s="23"/>
      <c r="H305" s="23"/>
    </row>
    <row r="306" spans="2:8" ht="15.75" customHeight="1" x14ac:dyDescent="0.3">
      <c r="B306" s="23"/>
      <c r="E306" s="23"/>
      <c r="H306" s="23"/>
    </row>
    <row r="307" spans="2:8" ht="15.75" customHeight="1" x14ac:dyDescent="0.3">
      <c r="B307" s="23"/>
      <c r="E307" s="23"/>
      <c r="H307" s="23"/>
    </row>
    <row r="308" spans="2:8" ht="15.75" customHeight="1" x14ac:dyDescent="0.3">
      <c r="B308" s="23"/>
      <c r="E308" s="23"/>
      <c r="H308" s="23"/>
    </row>
    <row r="309" spans="2:8" ht="15.75" customHeight="1" x14ac:dyDescent="0.3">
      <c r="B309" s="23"/>
      <c r="E309" s="23"/>
      <c r="H309" s="23"/>
    </row>
    <row r="310" spans="2:8" ht="15.75" customHeight="1" x14ac:dyDescent="0.3">
      <c r="B310" s="23"/>
      <c r="E310" s="23"/>
      <c r="H310" s="23"/>
    </row>
    <row r="311" spans="2:8" ht="15.75" customHeight="1" x14ac:dyDescent="0.3">
      <c r="B311" s="23"/>
      <c r="E311" s="23"/>
      <c r="H311" s="23"/>
    </row>
    <row r="312" spans="2:8" ht="15.75" customHeight="1" x14ac:dyDescent="0.3">
      <c r="B312" s="23"/>
      <c r="E312" s="23"/>
      <c r="H312" s="23"/>
    </row>
    <row r="313" spans="2:8" ht="15.75" customHeight="1" x14ac:dyDescent="0.3">
      <c r="B313" s="23"/>
      <c r="E313" s="23"/>
      <c r="H313" s="23"/>
    </row>
    <row r="314" spans="2:8" ht="15.75" customHeight="1" x14ac:dyDescent="0.3">
      <c r="B314" s="23"/>
      <c r="E314" s="23"/>
      <c r="H314" s="23"/>
    </row>
    <row r="315" spans="2:8" ht="15.75" customHeight="1" x14ac:dyDescent="0.3">
      <c r="B315" s="23"/>
      <c r="E315" s="23"/>
      <c r="H315" s="23"/>
    </row>
    <row r="316" spans="2:8" ht="15.75" customHeight="1" x14ac:dyDescent="0.3">
      <c r="B316" s="23"/>
      <c r="E316" s="23"/>
      <c r="H316" s="23"/>
    </row>
    <row r="317" spans="2:8" ht="15.75" customHeight="1" x14ac:dyDescent="0.3">
      <c r="B317" s="23"/>
      <c r="E317" s="23"/>
      <c r="H317" s="23"/>
    </row>
    <row r="318" spans="2:8" ht="15.75" customHeight="1" x14ac:dyDescent="0.3">
      <c r="B318" s="23"/>
      <c r="E318" s="23"/>
      <c r="H318" s="23"/>
    </row>
    <row r="319" spans="2:8" ht="15.75" customHeight="1" x14ac:dyDescent="0.3">
      <c r="B319" s="23"/>
      <c r="E319" s="23"/>
      <c r="H319" s="23"/>
    </row>
    <row r="320" spans="2:8" ht="15.75" customHeight="1" x14ac:dyDescent="0.3">
      <c r="B320" s="23"/>
      <c r="E320" s="23"/>
      <c r="H320" s="23"/>
    </row>
    <row r="321" spans="2:8" ht="15.75" customHeight="1" x14ac:dyDescent="0.3">
      <c r="B321" s="23"/>
      <c r="E321" s="23"/>
      <c r="H321" s="23"/>
    </row>
    <row r="322" spans="2:8" ht="15.75" customHeight="1" x14ac:dyDescent="0.3">
      <c r="B322" s="23"/>
      <c r="E322" s="23"/>
      <c r="H322" s="23"/>
    </row>
    <row r="323" spans="2:8" ht="15.75" customHeight="1" x14ac:dyDescent="0.3">
      <c r="B323" s="23"/>
      <c r="E323" s="23"/>
      <c r="H323" s="23"/>
    </row>
    <row r="324" spans="2:8" ht="15.75" customHeight="1" x14ac:dyDescent="0.3">
      <c r="B324" s="23"/>
      <c r="E324" s="23"/>
      <c r="H324" s="23"/>
    </row>
    <row r="325" spans="2:8" ht="15.75" customHeight="1" x14ac:dyDescent="0.3">
      <c r="B325" s="23"/>
      <c r="E325" s="23"/>
      <c r="H325" s="23"/>
    </row>
    <row r="326" spans="2:8" ht="15.75" customHeight="1" x14ac:dyDescent="0.3">
      <c r="B326" s="23"/>
      <c r="E326" s="23"/>
      <c r="H326" s="23"/>
    </row>
    <row r="327" spans="2:8" ht="15.75" customHeight="1" x14ac:dyDescent="0.3">
      <c r="B327" s="23"/>
      <c r="E327" s="23"/>
      <c r="H327" s="23"/>
    </row>
    <row r="328" spans="2:8" ht="15.75" customHeight="1" x14ac:dyDescent="0.3">
      <c r="B328" s="23"/>
      <c r="E328" s="23"/>
      <c r="H328" s="23"/>
    </row>
    <row r="329" spans="2:8" ht="15.75" customHeight="1" x14ac:dyDescent="0.3">
      <c r="B329" s="23"/>
      <c r="E329" s="23"/>
      <c r="H329" s="23"/>
    </row>
    <row r="330" spans="2:8" ht="15.75" customHeight="1" x14ac:dyDescent="0.3">
      <c r="B330" s="23"/>
      <c r="E330" s="23"/>
      <c r="H330" s="23"/>
    </row>
    <row r="331" spans="2:8" ht="15.75" customHeight="1" x14ac:dyDescent="0.3">
      <c r="B331" s="23"/>
      <c r="E331" s="23"/>
      <c r="H331" s="23"/>
    </row>
    <row r="332" spans="2:8" ht="15.75" customHeight="1" x14ac:dyDescent="0.3">
      <c r="B332" s="23"/>
      <c r="E332" s="23"/>
      <c r="H332" s="23"/>
    </row>
    <row r="333" spans="2:8" ht="15.75" customHeight="1" x14ac:dyDescent="0.3">
      <c r="B333" s="23"/>
      <c r="E333" s="23"/>
      <c r="H333" s="23"/>
    </row>
    <row r="334" spans="2:8" ht="15.75" customHeight="1" x14ac:dyDescent="0.3">
      <c r="B334" s="23"/>
      <c r="E334" s="23"/>
      <c r="H334" s="23"/>
    </row>
    <row r="335" spans="2:8" ht="15.75" customHeight="1" x14ac:dyDescent="0.3">
      <c r="B335" s="23"/>
      <c r="E335" s="23"/>
      <c r="H335" s="23"/>
    </row>
    <row r="336" spans="2:8" ht="15.75" customHeight="1" x14ac:dyDescent="0.3">
      <c r="B336" s="23"/>
      <c r="E336" s="23"/>
      <c r="H336" s="23"/>
    </row>
    <row r="337" spans="2:8" ht="15.75" customHeight="1" x14ac:dyDescent="0.3">
      <c r="B337" s="23"/>
      <c r="E337" s="23"/>
      <c r="H337" s="23"/>
    </row>
    <row r="338" spans="2:8" ht="15.75" customHeight="1" x14ac:dyDescent="0.3">
      <c r="B338" s="23"/>
      <c r="E338" s="23"/>
      <c r="H338" s="23"/>
    </row>
    <row r="339" spans="2:8" ht="15.75" customHeight="1" x14ac:dyDescent="0.3">
      <c r="B339" s="23"/>
      <c r="E339" s="23"/>
      <c r="H339" s="23"/>
    </row>
    <row r="340" spans="2:8" ht="15.75" customHeight="1" x14ac:dyDescent="0.3">
      <c r="B340" s="23"/>
      <c r="E340" s="23"/>
      <c r="H340" s="23"/>
    </row>
    <row r="341" spans="2:8" ht="15.75" customHeight="1" x14ac:dyDescent="0.3">
      <c r="B341" s="23"/>
      <c r="E341" s="23"/>
      <c r="H341" s="23"/>
    </row>
    <row r="342" spans="2:8" ht="15.75" customHeight="1" x14ac:dyDescent="0.3">
      <c r="B342" s="23"/>
      <c r="E342" s="23"/>
      <c r="H342" s="23"/>
    </row>
    <row r="343" spans="2:8" ht="15.75" customHeight="1" x14ac:dyDescent="0.3">
      <c r="B343" s="23"/>
      <c r="E343" s="23"/>
      <c r="H343" s="23"/>
    </row>
    <row r="344" spans="2:8" ht="15.75" customHeight="1" x14ac:dyDescent="0.3">
      <c r="B344" s="23"/>
      <c r="E344" s="23"/>
      <c r="H344" s="23"/>
    </row>
    <row r="345" spans="2:8" ht="15.75" customHeight="1" x14ac:dyDescent="0.3">
      <c r="B345" s="23"/>
      <c r="E345" s="23"/>
      <c r="H345" s="23"/>
    </row>
    <row r="346" spans="2:8" ht="15.75" customHeight="1" x14ac:dyDescent="0.3">
      <c r="B346" s="23"/>
      <c r="E346" s="23"/>
      <c r="H346" s="23"/>
    </row>
    <row r="347" spans="2:8" ht="15.75" customHeight="1" x14ac:dyDescent="0.3">
      <c r="B347" s="23"/>
      <c r="E347" s="23"/>
      <c r="H347" s="23"/>
    </row>
    <row r="348" spans="2:8" ht="15.75" customHeight="1" x14ac:dyDescent="0.3">
      <c r="B348" s="23"/>
      <c r="E348" s="23"/>
      <c r="H348" s="23"/>
    </row>
    <row r="349" spans="2:8" ht="15.75" customHeight="1" x14ac:dyDescent="0.3">
      <c r="B349" s="23"/>
      <c r="E349" s="23"/>
      <c r="H349" s="23"/>
    </row>
    <row r="350" spans="2:8" ht="15.75" customHeight="1" x14ac:dyDescent="0.3">
      <c r="B350" s="23"/>
      <c r="E350" s="23"/>
      <c r="H350" s="23"/>
    </row>
    <row r="351" spans="2:8" ht="15.75" customHeight="1" x14ac:dyDescent="0.3">
      <c r="B351" s="23"/>
      <c r="E351" s="23"/>
      <c r="H351" s="23"/>
    </row>
    <row r="352" spans="2:8" ht="15.75" customHeight="1" x14ac:dyDescent="0.3">
      <c r="B352" s="23"/>
      <c r="E352" s="23"/>
      <c r="H352" s="23"/>
    </row>
    <row r="353" spans="2:8" ht="15.75" customHeight="1" x14ac:dyDescent="0.3">
      <c r="B353" s="23"/>
      <c r="E353" s="23"/>
      <c r="H353" s="23"/>
    </row>
    <row r="354" spans="2:8" ht="15.75" customHeight="1" x14ac:dyDescent="0.3">
      <c r="B354" s="23"/>
      <c r="E354" s="23"/>
      <c r="H354" s="23"/>
    </row>
    <row r="355" spans="2:8" ht="15.75" customHeight="1" x14ac:dyDescent="0.3">
      <c r="B355" s="23"/>
      <c r="E355" s="23"/>
      <c r="H355" s="23"/>
    </row>
    <row r="356" spans="2:8" ht="15.75" customHeight="1" x14ac:dyDescent="0.3">
      <c r="B356" s="23"/>
      <c r="E356" s="23"/>
      <c r="H356" s="23"/>
    </row>
    <row r="357" spans="2:8" ht="15.75" customHeight="1" x14ac:dyDescent="0.3">
      <c r="B357" s="23"/>
      <c r="E357" s="23"/>
      <c r="H357" s="23"/>
    </row>
    <row r="358" spans="2:8" ht="15.75" customHeight="1" x14ac:dyDescent="0.3">
      <c r="B358" s="23"/>
      <c r="E358" s="23"/>
      <c r="H358" s="23"/>
    </row>
    <row r="359" spans="2:8" ht="15.75" customHeight="1" x14ac:dyDescent="0.3">
      <c r="B359" s="23"/>
      <c r="E359" s="23"/>
      <c r="H359" s="23"/>
    </row>
    <row r="360" spans="2:8" ht="15.75" customHeight="1" x14ac:dyDescent="0.3">
      <c r="B360" s="23"/>
      <c r="E360" s="23"/>
      <c r="H360" s="23"/>
    </row>
    <row r="361" spans="2:8" ht="15.75" customHeight="1" x14ac:dyDescent="0.3">
      <c r="B361" s="23"/>
      <c r="E361" s="23"/>
      <c r="H361" s="23"/>
    </row>
    <row r="362" spans="2:8" ht="15.75" customHeight="1" x14ac:dyDescent="0.3">
      <c r="B362" s="23"/>
      <c r="E362" s="23"/>
      <c r="H362" s="23"/>
    </row>
    <row r="363" spans="2:8" ht="15.75" customHeight="1" x14ac:dyDescent="0.3">
      <c r="B363" s="23"/>
      <c r="E363" s="23"/>
      <c r="H363" s="23"/>
    </row>
    <row r="364" spans="2:8" ht="15.75" customHeight="1" x14ac:dyDescent="0.3">
      <c r="B364" s="23"/>
      <c r="E364" s="23"/>
      <c r="H364" s="23"/>
    </row>
    <row r="365" spans="2:8" ht="15.75" customHeight="1" x14ac:dyDescent="0.3">
      <c r="B365" s="23"/>
      <c r="E365" s="23"/>
      <c r="H365" s="23"/>
    </row>
    <row r="366" spans="2:8" ht="15.75" customHeight="1" x14ac:dyDescent="0.3">
      <c r="B366" s="23"/>
      <c r="E366" s="23"/>
      <c r="H366" s="23"/>
    </row>
    <row r="367" spans="2:8" ht="15.75" customHeight="1" x14ac:dyDescent="0.3">
      <c r="B367" s="23"/>
      <c r="E367" s="23"/>
      <c r="H367" s="23"/>
    </row>
    <row r="368" spans="2:8" ht="15.75" customHeight="1" x14ac:dyDescent="0.3">
      <c r="B368" s="23"/>
      <c r="E368" s="23"/>
      <c r="H368" s="23"/>
    </row>
    <row r="369" spans="2:8" ht="15.75" customHeight="1" x14ac:dyDescent="0.3">
      <c r="B369" s="23"/>
      <c r="E369" s="23"/>
      <c r="H369" s="23"/>
    </row>
    <row r="370" spans="2:8" ht="15.75" customHeight="1" x14ac:dyDescent="0.3">
      <c r="B370" s="23"/>
      <c r="E370" s="23"/>
      <c r="H370" s="23"/>
    </row>
    <row r="371" spans="2:8" ht="15.75" customHeight="1" x14ac:dyDescent="0.3">
      <c r="B371" s="23"/>
      <c r="E371" s="23"/>
      <c r="H371" s="23"/>
    </row>
    <row r="372" spans="2:8" ht="15.75" customHeight="1" x14ac:dyDescent="0.3">
      <c r="B372" s="23"/>
      <c r="E372" s="23"/>
      <c r="H372" s="23"/>
    </row>
    <row r="373" spans="2:8" ht="15.75" customHeight="1" x14ac:dyDescent="0.3">
      <c r="B373" s="23"/>
      <c r="E373" s="23"/>
      <c r="H373" s="23"/>
    </row>
    <row r="374" spans="2:8" ht="15.75" customHeight="1" x14ac:dyDescent="0.3">
      <c r="B374" s="23"/>
      <c r="E374" s="23"/>
      <c r="H374" s="23"/>
    </row>
    <row r="375" spans="2:8" ht="15.75" customHeight="1" x14ac:dyDescent="0.3">
      <c r="B375" s="23"/>
      <c r="E375" s="23"/>
      <c r="H375" s="23"/>
    </row>
    <row r="376" spans="2:8" ht="15.75" customHeight="1" x14ac:dyDescent="0.3">
      <c r="B376" s="23"/>
      <c r="E376" s="23"/>
      <c r="H376" s="23"/>
    </row>
    <row r="377" spans="2:8" ht="15.75" customHeight="1" x14ac:dyDescent="0.3">
      <c r="B377" s="23"/>
      <c r="E377" s="23"/>
      <c r="H377" s="23"/>
    </row>
    <row r="378" spans="2:8" ht="15.75" customHeight="1" x14ac:dyDescent="0.3">
      <c r="B378" s="23"/>
      <c r="E378" s="23"/>
      <c r="H378" s="23"/>
    </row>
    <row r="379" spans="2:8" ht="15.75" customHeight="1" x14ac:dyDescent="0.3">
      <c r="B379" s="23"/>
      <c r="E379" s="23"/>
      <c r="H379" s="23"/>
    </row>
    <row r="380" spans="2:8" ht="15.75" customHeight="1" x14ac:dyDescent="0.3">
      <c r="B380" s="23"/>
      <c r="E380" s="23"/>
      <c r="H380" s="23"/>
    </row>
    <row r="381" spans="2:8" ht="15.75" customHeight="1" x14ac:dyDescent="0.3">
      <c r="B381" s="23"/>
      <c r="E381" s="23"/>
      <c r="H381" s="23"/>
    </row>
    <row r="382" spans="2:8" ht="15.75" customHeight="1" x14ac:dyDescent="0.3">
      <c r="B382" s="23"/>
      <c r="E382" s="23"/>
      <c r="H382" s="23"/>
    </row>
    <row r="383" spans="2:8" ht="15.75" customHeight="1" x14ac:dyDescent="0.3">
      <c r="B383" s="23"/>
      <c r="E383" s="23"/>
      <c r="H383" s="23"/>
    </row>
    <row r="384" spans="2:8" ht="15.75" customHeight="1" x14ac:dyDescent="0.3">
      <c r="B384" s="23"/>
      <c r="E384" s="23"/>
      <c r="H384" s="23"/>
    </row>
    <row r="385" spans="2:8" ht="15.75" customHeight="1" x14ac:dyDescent="0.3">
      <c r="B385" s="23"/>
      <c r="E385" s="23"/>
      <c r="H385" s="23"/>
    </row>
    <row r="386" spans="2:8" ht="15.75" customHeight="1" x14ac:dyDescent="0.3">
      <c r="B386" s="23"/>
      <c r="E386" s="23"/>
      <c r="H386" s="23"/>
    </row>
    <row r="387" spans="2:8" ht="15.75" customHeight="1" x14ac:dyDescent="0.3">
      <c r="B387" s="23"/>
      <c r="E387" s="23"/>
      <c r="H387" s="23"/>
    </row>
    <row r="388" spans="2:8" ht="15.75" customHeight="1" x14ac:dyDescent="0.3">
      <c r="B388" s="23"/>
      <c r="E388" s="23"/>
      <c r="H388" s="23"/>
    </row>
    <row r="389" spans="2:8" ht="15.75" customHeight="1" x14ac:dyDescent="0.3">
      <c r="B389" s="23"/>
      <c r="E389" s="23"/>
      <c r="H389" s="23"/>
    </row>
    <row r="390" spans="2:8" ht="15.75" customHeight="1" x14ac:dyDescent="0.3">
      <c r="B390" s="23"/>
      <c r="E390" s="23"/>
      <c r="H390" s="23"/>
    </row>
    <row r="391" spans="2:8" ht="15.75" customHeight="1" x14ac:dyDescent="0.3">
      <c r="B391" s="23"/>
      <c r="E391" s="23"/>
      <c r="H391" s="23"/>
    </row>
    <row r="392" spans="2:8" ht="15.75" customHeight="1" x14ac:dyDescent="0.3">
      <c r="B392" s="23"/>
      <c r="E392" s="23"/>
      <c r="H392" s="23"/>
    </row>
    <row r="393" spans="2:8" ht="15.75" customHeight="1" x14ac:dyDescent="0.3">
      <c r="B393" s="23"/>
      <c r="E393" s="23"/>
      <c r="H393" s="23"/>
    </row>
    <row r="394" spans="2:8" ht="15.75" customHeight="1" x14ac:dyDescent="0.3">
      <c r="B394" s="23"/>
      <c r="E394" s="23"/>
      <c r="H394" s="23"/>
    </row>
    <row r="395" spans="2:8" ht="15.75" customHeight="1" x14ac:dyDescent="0.3">
      <c r="B395" s="23"/>
      <c r="E395" s="23"/>
      <c r="H395" s="23"/>
    </row>
    <row r="396" spans="2:8" ht="15.75" customHeight="1" x14ac:dyDescent="0.3">
      <c r="B396" s="23"/>
      <c r="E396" s="23"/>
      <c r="H396" s="23"/>
    </row>
    <row r="397" spans="2:8" ht="15.75" customHeight="1" x14ac:dyDescent="0.3">
      <c r="B397" s="23"/>
      <c r="E397" s="23"/>
      <c r="H397" s="23"/>
    </row>
    <row r="398" spans="2:8" ht="15.75" customHeight="1" x14ac:dyDescent="0.3">
      <c r="B398" s="23"/>
      <c r="E398" s="23"/>
      <c r="H398" s="23"/>
    </row>
    <row r="399" spans="2:8" ht="15.75" customHeight="1" x14ac:dyDescent="0.3">
      <c r="B399" s="23"/>
      <c r="E399" s="23"/>
      <c r="H399" s="23"/>
    </row>
    <row r="400" spans="2:8" ht="15.75" customHeight="1" x14ac:dyDescent="0.3">
      <c r="B400" s="23"/>
      <c r="E400" s="23"/>
      <c r="H400" s="23"/>
    </row>
    <row r="401" spans="2:8" ht="15.75" customHeight="1" x14ac:dyDescent="0.3">
      <c r="B401" s="23"/>
      <c r="E401" s="23"/>
      <c r="H401" s="23"/>
    </row>
    <row r="402" spans="2:8" ht="15.75" customHeight="1" x14ac:dyDescent="0.3">
      <c r="B402" s="23"/>
      <c r="E402" s="23"/>
      <c r="H402" s="23"/>
    </row>
    <row r="403" spans="2:8" ht="15.75" customHeight="1" x14ac:dyDescent="0.3">
      <c r="B403" s="23"/>
      <c r="E403" s="23"/>
      <c r="H403" s="23"/>
    </row>
    <row r="404" spans="2:8" ht="15.75" customHeight="1" x14ac:dyDescent="0.3">
      <c r="B404" s="23"/>
      <c r="E404" s="23"/>
      <c r="H404" s="23"/>
    </row>
    <row r="405" spans="2:8" ht="15.75" customHeight="1" x14ac:dyDescent="0.3">
      <c r="B405" s="23"/>
      <c r="E405" s="23"/>
      <c r="H405" s="23"/>
    </row>
    <row r="406" spans="2:8" ht="15.75" customHeight="1" x14ac:dyDescent="0.3">
      <c r="B406" s="23"/>
      <c r="E406" s="23"/>
      <c r="H406" s="23"/>
    </row>
    <row r="407" spans="2:8" ht="15.75" customHeight="1" x14ac:dyDescent="0.3">
      <c r="B407" s="23"/>
      <c r="E407" s="23"/>
      <c r="H407" s="23"/>
    </row>
    <row r="408" spans="2:8" ht="15.75" customHeight="1" x14ac:dyDescent="0.3">
      <c r="B408" s="23"/>
      <c r="E408" s="23"/>
      <c r="H408" s="23"/>
    </row>
    <row r="409" spans="2:8" ht="15.75" customHeight="1" x14ac:dyDescent="0.3">
      <c r="B409" s="23"/>
      <c r="E409" s="23"/>
      <c r="H409" s="23"/>
    </row>
    <row r="410" spans="2:8" ht="15.75" customHeight="1" x14ac:dyDescent="0.3">
      <c r="B410" s="23"/>
      <c r="E410" s="23"/>
      <c r="H410" s="23"/>
    </row>
    <row r="411" spans="2:8" ht="15.75" customHeight="1" x14ac:dyDescent="0.3">
      <c r="B411" s="23"/>
      <c r="E411" s="23"/>
      <c r="H411" s="23"/>
    </row>
    <row r="412" spans="2:8" ht="15.75" customHeight="1" x14ac:dyDescent="0.3">
      <c r="B412" s="23"/>
      <c r="E412" s="23"/>
      <c r="H412" s="23"/>
    </row>
    <row r="413" spans="2:8" ht="15.75" customHeight="1" x14ac:dyDescent="0.3">
      <c r="B413" s="23"/>
      <c r="E413" s="23"/>
      <c r="H413" s="23"/>
    </row>
    <row r="414" spans="2:8" ht="15.75" customHeight="1" x14ac:dyDescent="0.3">
      <c r="B414" s="23"/>
      <c r="E414" s="23"/>
      <c r="H414" s="23"/>
    </row>
    <row r="415" spans="2:8" ht="15.75" customHeight="1" x14ac:dyDescent="0.3">
      <c r="B415" s="23"/>
      <c r="E415" s="23"/>
      <c r="H415" s="23"/>
    </row>
    <row r="416" spans="2:8" ht="15.75" customHeight="1" x14ac:dyDescent="0.3">
      <c r="B416" s="23"/>
      <c r="E416" s="23"/>
      <c r="H416" s="23"/>
    </row>
    <row r="417" spans="2:8" ht="15.75" customHeight="1" x14ac:dyDescent="0.3">
      <c r="B417" s="23"/>
      <c r="E417" s="23"/>
      <c r="H417" s="23"/>
    </row>
    <row r="418" spans="2:8" ht="15.75" customHeight="1" x14ac:dyDescent="0.3">
      <c r="B418" s="23"/>
      <c r="E418" s="23"/>
      <c r="H418" s="23"/>
    </row>
    <row r="419" spans="2:8" ht="15.75" customHeight="1" x14ac:dyDescent="0.3">
      <c r="B419" s="23"/>
      <c r="E419" s="23"/>
      <c r="H419" s="23"/>
    </row>
    <row r="420" spans="2:8" ht="15.75" customHeight="1" x14ac:dyDescent="0.3">
      <c r="B420" s="23"/>
      <c r="E420" s="23"/>
      <c r="H420" s="23"/>
    </row>
    <row r="421" spans="2:8" ht="15.75" customHeight="1" x14ac:dyDescent="0.3">
      <c r="B421" s="23"/>
      <c r="E421" s="23"/>
      <c r="H421" s="23"/>
    </row>
    <row r="422" spans="2:8" ht="15.75" customHeight="1" x14ac:dyDescent="0.3">
      <c r="B422" s="23"/>
      <c r="E422" s="23"/>
      <c r="H422" s="23"/>
    </row>
    <row r="423" spans="2:8" ht="15.75" customHeight="1" x14ac:dyDescent="0.3">
      <c r="B423" s="23"/>
      <c r="E423" s="23"/>
      <c r="H423" s="23"/>
    </row>
    <row r="424" spans="2:8" ht="15.75" customHeight="1" x14ac:dyDescent="0.3">
      <c r="B424" s="23"/>
      <c r="E424" s="23"/>
      <c r="H424" s="23"/>
    </row>
    <row r="425" spans="2:8" ht="15.75" customHeight="1" x14ac:dyDescent="0.3">
      <c r="B425" s="23"/>
      <c r="E425" s="23"/>
      <c r="H425" s="23"/>
    </row>
    <row r="426" spans="2:8" ht="15.75" customHeight="1" x14ac:dyDescent="0.3">
      <c r="B426" s="23"/>
      <c r="E426" s="23"/>
      <c r="H426" s="23"/>
    </row>
    <row r="427" spans="2:8" ht="15.75" customHeight="1" x14ac:dyDescent="0.3">
      <c r="B427" s="23"/>
      <c r="E427" s="23"/>
      <c r="H427" s="23"/>
    </row>
    <row r="428" spans="2:8" ht="15.75" customHeight="1" x14ac:dyDescent="0.3">
      <c r="B428" s="23"/>
      <c r="E428" s="23"/>
      <c r="H428" s="23"/>
    </row>
    <row r="429" spans="2:8" ht="15.75" customHeight="1" x14ac:dyDescent="0.3">
      <c r="B429" s="23"/>
      <c r="E429" s="23"/>
      <c r="H429" s="23"/>
    </row>
    <row r="430" spans="2:8" ht="15.75" customHeight="1" x14ac:dyDescent="0.3">
      <c r="B430" s="23"/>
      <c r="E430" s="23"/>
      <c r="H430" s="23"/>
    </row>
    <row r="431" spans="2:8" ht="15.75" customHeight="1" x14ac:dyDescent="0.3">
      <c r="B431" s="23"/>
      <c r="E431" s="23"/>
      <c r="H431" s="23"/>
    </row>
    <row r="432" spans="2:8" ht="15.75" customHeight="1" x14ac:dyDescent="0.3">
      <c r="B432" s="23"/>
      <c r="E432" s="23"/>
      <c r="H432" s="23"/>
    </row>
    <row r="433" spans="2:8" ht="15.75" customHeight="1" x14ac:dyDescent="0.3">
      <c r="B433" s="23"/>
      <c r="E433" s="23"/>
      <c r="H433" s="23"/>
    </row>
    <row r="434" spans="2:8" ht="15.75" customHeight="1" x14ac:dyDescent="0.3">
      <c r="B434" s="23"/>
      <c r="E434" s="23"/>
      <c r="H434" s="23"/>
    </row>
    <row r="435" spans="2:8" ht="15.75" customHeight="1" x14ac:dyDescent="0.3">
      <c r="B435" s="23"/>
      <c r="E435" s="23"/>
      <c r="H435" s="23"/>
    </row>
    <row r="436" spans="2:8" ht="15.75" customHeight="1" x14ac:dyDescent="0.3">
      <c r="B436" s="23"/>
      <c r="E436" s="23"/>
      <c r="H436" s="23"/>
    </row>
    <row r="437" spans="2:8" ht="15.75" customHeight="1" x14ac:dyDescent="0.3">
      <c r="B437" s="23"/>
      <c r="E437" s="23"/>
      <c r="H437" s="23"/>
    </row>
    <row r="438" spans="2:8" ht="15.75" customHeight="1" x14ac:dyDescent="0.3">
      <c r="B438" s="23"/>
      <c r="E438" s="23"/>
      <c r="H438" s="23"/>
    </row>
    <row r="439" spans="2:8" ht="15.75" customHeight="1" x14ac:dyDescent="0.3">
      <c r="B439" s="23"/>
      <c r="E439" s="23"/>
      <c r="H439" s="23"/>
    </row>
    <row r="440" spans="2:8" ht="15.75" customHeight="1" x14ac:dyDescent="0.3">
      <c r="B440" s="23"/>
      <c r="E440" s="23"/>
      <c r="H440" s="23"/>
    </row>
    <row r="441" spans="2:8" ht="15.75" customHeight="1" x14ac:dyDescent="0.3">
      <c r="B441" s="23"/>
      <c r="E441" s="23"/>
      <c r="H441" s="23"/>
    </row>
    <row r="442" spans="2:8" ht="15.75" customHeight="1" x14ac:dyDescent="0.3">
      <c r="B442" s="23"/>
      <c r="E442" s="23"/>
      <c r="H442" s="23"/>
    </row>
    <row r="443" spans="2:8" ht="15.75" customHeight="1" x14ac:dyDescent="0.3">
      <c r="B443" s="23"/>
      <c r="E443" s="23"/>
      <c r="H443" s="23"/>
    </row>
    <row r="444" spans="2:8" ht="15.75" customHeight="1" x14ac:dyDescent="0.3">
      <c r="B444" s="23"/>
      <c r="E444" s="23"/>
      <c r="H444" s="23"/>
    </row>
    <row r="445" spans="2:8" ht="15.75" customHeight="1" x14ac:dyDescent="0.3">
      <c r="B445" s="23"/>
      <c r="E445" s="23"/>
      <c r="H445" s="23"/>
    </row>
    <row r="446" spans="2:8" ht="15.75" customHeight="1" x14ac:dyDescent="0.3">
      <c r="B446" s="23"/>
      <c r="E446" s="23"/>
      <c r="H446" s="23"/>
    </row>
    <row r="447" spans="2:8" ht="15.75" customHeight="1" x14ac:dyDescent="0.3">
      <c r="B447" s="23"/>
      <c r="E447" s="23"/>
      <c r="H447" s="23"/>
    </row>
    <row r="448" spans="2:8" ht="15.75" customHeight="1" x14ac:dyDescent="0.3">
      <c r="B448" s="23"/>
      <c r="E448" s="23"/>
      <c r="H448" s="23"/>
    </row>
    <row r="449" spans="2:8" ht="15.75" customHeight="1" x14ac:dyDescent="0.3">
      <c r="B449" s="23"/>
      <c r="E449" s="23"/>
      <c r="H449" s="23"/>
    </row>
    <row r="450" spans="2:8" ht="15.75" customHeight="1" x14ac:dyDescent="0.3">
      <c r="B450" s="23"/>
      <c r="E450" s="23"/>
      <c r="H450" s="23"/>
    </row>
    <row r="451" spans="2:8" ht="15.75" customHeight="1" x14ac:dyDescent="0.3">
      <c r="B451" s="23"/>
      <c r="E451" s="23"/>
      <c r="H451" s="23"/>
    </row>
    <row r="452" spans="2:8" ht="15.75" customHeight="1" x14ac:dyDescent="0.3">
      <c r="B452" s="23"/>
      <c r="E452" s="23"/>
      <c r="H452" s="23"/>
    </row>
    <row r="453" spans="2:8" ht="15.75" customHeight="1" x14ac:dyDescent="0.3">
      <c r="B453" s="23"/>
      <c r="E453" s="23"/>
      <c r="H453" s="23"/>
    </row>
    <row r="454" spans="2:8" ht="15.75" customHeight="1" x14ac:dyDescent="0.3">
      <c r="B454" s="23"/>
      <c r="E454" s="23"/>
      <c r="H454" s="23"/>
    </row>
    <row r="455" spans="2:8" ht="15.75" customHeight="1" x14ac:dyDescent="0.3">
      <c r="B455" s="23"/>
      <c r="E455" s="23"/>
      <c r="H455" s="23"/>
    </row>
    <row r="456" spans="2:8" ht="15.75" customHeight="1" x14ac:dyDescent="0.3">
      <c r="B456" s="23"/>
      <c r="E456" s="23"/>
      <c r="H456" s="23"/>
    </row>
    <row r="457" spans="2:8" ht="15.75" customHeight="1" x14ac:dyDescent="0.3">
      <c r="B457" s="23"/>
      <c r="E457" s="23"/>
      <c r="H457" s="23"/>
    </row>
    <row r="458" spans="2:8" ht="15.75" customHeight="1" x14ac:dyDescent="0.3">
      <c r="B458" s="23"/>
      <c r="E458" s="23"/>
      <c r="H458" s="23"/>
    </row>
    <row r="459" spans="2:8" ht="15.75" customHeight="1" x14ac:dyDescent="0.3">
      <c r="B459" s="23"/>
      <c r="E459" s="23"/>
      <c r="H459" s="23"/>
    </row>
    <row r="460" spans="2:8" ht="15.75" customHeight="1" x14ac:dyDescent="0.3">
      <c r="B460" s="23"/>
      <c r="E460" s="23"/>
      <c r="H460" s="23"/>
    </row>
    <row r="461" spans="2:8" ht="15.75" customHeight="1" x14ac:dyDescent="0.3">
      <c r="B461" s="23"/>
      <c r="E461" s="23"/>
      <c r="H461" s="23"/>
    </row>
    <row r="462" spans="2:8" ht="15.75" customHeight="1" x14ac:dyDescent="0.3">
      <c r="B462" s="23"/>
      <c r="E462" s="23"/>
      <c r="H462" s="23"/>
    </row>
    <row r="463" spans="2:8" ht="15.75" customHeight="1" x14ac:dyDescent="0.3">
      <c r="B463" s="23"/>
      <c r="E463" s="23"/>
      <c r="H463" s="23"/>
    </row>
    <row r="464" spans="2:8" ht="15.75" customHeight="1" x14ac:dyDescent="0.3">
      <c r="B464" s="23"/>
      <c r="E464" s="23"/>
      <c r="H464" s="23"/>
    </row>
    <row r="465" spans="2:8" ht="15.75" customHeight="1" x14ac:dyDescent="0.3">
      <c r="B465" s="23"/>
      <c r="E465" s="23"/>
      <c r="H465" s="23"/>
    </row>
    <row r="466" spans="2:8" ht="15.75" customHeight="1" x14ac:dyDescent="0.3">
      <c r="B466" s="23"/>
      <c r="E466" s="23"/>
      <c r="H466" s="23"/>
    </row>
    <row r="467" spans="2:8" ht="15.75" customHeight="1" x14ac:dyDescent="0.3">
      <c r="B467" s="23"/>
      <c r="E467" s="23"/>
      <c r="H467" s="23"/>
    </row>
    <row r="468" spans="2:8" ht="15.75" customHeight="1" x14ac:dyDescent="0.3">
      <c r="B468" s="23"/>
      <c r="E468" s="23"/>
      <c r="H468" s="23"/>
    </row>
    <row r="469" spans="2:8" ht="15.75" customHeight="1" x14ac:dyDescent="0.3">
      <c r="B469" s="23"/>
      <c r="E469" s="23"/>
      <c r="H469" s="23"/>
    </row>
    <row r="470" spans="2:8" ht="15.75" customHeight="1" x14ac:dyDescent="0.3">
      <c r="B470" s="23"/>
      <c r="E470" s="23"/>
      <c r="H470" s="23"/>
    </row>
    <row r="471" spans="2:8" ht="15.75" customHeight="1" x14ac:dyDescent="0.3">
      <c r="B471" s="23"/>
      <c r="E471" s="23"/>
      <c r="H471" s="23"/>
    </row>
    <row r="472" spans="2:8" ht="15.75" customHeight="1" x14ac:dyDescent="0.3">
      <c r="B472" s="23"/>
      <c r="E472" s="23"/>
      <c r="H472" s="23"/>
    </row>
    <row r="473" spans="2:8" ht="15.75" customHeight="1" x14ac:dyDescent="0.3">
      <c r="B473" s="23"/>
      <c r="E473" s="23"/>
      <c r="H473" s="23"/>
    </row>
    <row r="474" spans="2:8" ht="15.75" customHeight="1" x14ac:dyDescent="0.3">
      <c r="B474" s="23"/>
      <c r="E474" s="23"/>
      <c r="H474" s="23"/>
    </row>
    <row r="475" spans="2:8" ht="15.75" customHeight="1" x14ac:dyDescent="0.3">
      <c r="B475" s="23"/>
      <c r="E475" s="23"/>
      <c r="H475" s="23"/>
    </row>
    <row r="476" spans="2:8" ht="15.75" customHeight="1" x14ac:dyDescent="0.3">
      <c r="B476" s="23"/>
      <c r="E476" s="23"/>
      <c r="H476" s="23"/>
    </row>
    <row r="477" spans="2:8" ht="15.75" customHeight="1" x14ac:dyDescent="0.3">
      <c r="B477" s="23"/>
      <c r="E477" s="23"/>
      <c r="H477" s="23"/>
    </row>
    <row r="478" spans="2:8" ht="15.75" customHeight="1" x14ac:dyDescent="0.3">
      <c r="B478" s="23"/>
      <c r="E478" s="23"/>
      <c r="H478" s="23"/>
    </row>
    <row r="479" spans="2:8" ht="15.75" customHeight="1" x14ac:dyDescent="0.3">
      <c r="B479" s="23"/>
      <c r="E479" s="23"/>
      <c r="H479" s="23"/>
    </row>
    <row r="480" spans="2:8" ht="15.75" customHeight="1" x14ac:dyDescent="0.3">
      <c r="B480" s="23"/>
      <c r="E480" s="23"/>
      <c r="H480" s="23"/>
    </row>
    <row r="481" spans="2:8" ht="15.75" customHeight="1" x14ac:dyDescent="0.3">
      <c r="B481" s="23"/>
      <c r="E481" s="23"/>
      <c r="H481" s="23"/>
    </row>
    <row r="482" spans="2:8" ht="15.75" customHeight="1" x14ac:dyDescent="0.3">
      <c r="B482" s="23"/>
      <c r="E482" s="23"/>
      <c r="H482" s="23"/>
    </row>
    <row r="483" spans="2:8" ht="15.75" customHeight="1" x14ac:dyDescent="0.3">
      <c r="B483" s="23"/>
      <c r="E483" s="23"/>
      <c r="H483" s="23"/>
    </row>
    <row r="484" spans="2:8" ht="15.75" customHeight="1" x14ac:dyDescent="0.3">
      <c r="B484" s="23"/>
      <c r="E484" s="23"/>
      <c r="H484" s="23"/>
    </row>
    <row r="485" spans="2:8" ht="15.75" customHeight="1" x14ac:dyDescent="0.3">
      <c r="B485" s="23"/>
      <c r="E485" s="23"/>
      <c r="H485" s="23"/>
    </row>
    <row r="486" spans="2:8" ht="15.75" customHeight="1" x14ac:dyDescent="0.3">
      <c r="B486" s="23"/>
      <c r="E486" s="23"/>
      <c r="H486" s="23"/>
    </row>
    <row r="487" spans="2:8" ht="15.75" customHeight="1" x14ac:dyDescent="0.3">
      <c r="B487" s="23"/>
      <c r="E487" s="23"/>
      <c r="H487" s="23"/>
    </row>
    <row r="488" spans="2:8" ht="15.75" customHeight="1" x14ac:dyDescent="0.3">
      <c r="B488" s="23"/>
      <c r="E488" s="23"/>
      <c r="H488" s="23"/>
    </row>
    <row r="489" spans="2:8" ht="15.75" customHeight="1" x14ac:dyDescent="0.3">
      <c r="B489" s="23"/>
      <c r="E489" s="23"/>
      <c r="H489" s="23"/>
    </row>
    <row r="490" spans="2:8" ht="15.75" customHeight="1" x14ac:dyDescent="0.3">
      <c r="B490" s="23"/>
      <c r="E490" s="23"/>
      <c r="H490" s="23"/>
    </row>
    <row r="491" spans="2:8" ht="15.75" customHeight="1" x14ac:dyDescent="0.3">
      <c r="B491" s="23"/>
      <c r="E491" s="23"/>
      <c r="H491" s="23"/>
    </row>
    <row r="492" spans="2:8" ht="15.75" customHeight="1" x14ac:dyDescent="0.3">
      <c r="B492" s="23"/>
      <c r="E492" s="23"/>
      <c r="H492" s="23"/>
    </row>
    <row r="493" spans="2:8" ht="15.75" customHeight="1" x14ac:dyDescent="0.3">
      <c r="B493" s="23"/>
      <c r="E493" s="23"/>
      <c r="H493" s="23"/>
    </row>
    <row r="494" spans="2:8" ht="15.75" customHeight="1" x14ac:dyDescent="0.3">
      <c r="B494" s="23"/>
      <c r="E494" s="23"/>
      <c r="H494" s="23"/>
    </row>
    <row r="495" spans="2:8" ht="15.75" customHeight="1" x14ac:dyDescent="0.3">
      <c r="B495" s="23"/>
      <c r="E495" s="23"/>
      <c r="H495" s="23"/>
    </row>
    <row r="496" spans="2:8" ht="15.75" customHeight="1" x14ac:dyDescent="0.3">
      <c r="B496" s="23"/>
      <c r="E496" s="23"/>
      <c r="H496" s="23"/>
    </row>
    <row r="497" spans="2:8" ht="15.75" customHeight="1" x14ac:dyDescent="0.3">
      <c r="B497" s="23"/>
      <c r="E497" s="23"/>
      <c r="H497" s="23"/>
    </row>
    <row r="498" spans="2:8" ht="15.75" customHeight="1" x14ac:dyDescent="0.3">
      <c r="B498" s="23"/>
      <c r="E498" s="23"/>
      <c r="H498" s="23"/>
    </row>
    <row r="499" spans="2:8" ht="15.75" customHeight="1" x14ac:dyDescent="0.3">
      <c r="B499" s="23"/>
      <c r="E499" s="23"/>
      <c r="H499" s="23"/>
    </row>
    <row r="500" spans="2:8" ht="15.75" customHeight="1" x14ac:dyDescent="0.3">
      <c r="B500" s="23"/>
      <c r="E500" s="23"/>
      <c r="H500" s="23"/>
    </row>
    <row r="501" spans="2:8" ht="15.75" customHeight="1" x14ac:dyDescent="0.3">
      <c r="B501" s="23"/>
      <c r="E501" s="23"/>
      <c r="H501" s="23"/>
    </row>
    <row r="502" spans="2:8" ht="15.75" customHeight="1" x14ac:dyDescent="0.3">
      <c r="B502" s="23"/>
      <c r="E502" s="23"/>
      <c r="H502" s="23"/>
    </row>
    <row r="503" spans="2:8" ht="15.75" customHeight="1" x14ac:dyDescent="0.3">
      <c r="B503" s="23"/>
      <c r="E503" s="23"/>
      <c r="H503" s="23"/>
    </row>
    <row r="504" spans="2:8" ht="15.75" customHeight="1" x14ac:dyDescent="0.3">
      <c r="B504" s="23"/>
      <c r="E504" s="23"/>
      <c r="H504" s="23"/>
    </row>
    <row r="505" spans="2:8" ht="15.75" customHeight="1" x14ac:dyDescent="0.3">
      <c r="B505" s="23"/>
      <c r="E505" s="23"/>
      <c r="H505" s="23"/>
    </row>
    <row r="506" spans="2:8" ht="15.75" customHeight="1" x14ac:dyDescent="0.3">
      <c r="B506" s="23"/>
      <c r="E506" s="23"/>
      <c r="H506" s="23"/>
    </row>
    <row r="507" spans="2:8" ht="15.75" customHeight="1" x14ac:dyDescent="0.3">
      <c r="B507" s="23"/>
      <c r="E507" s="23"/>
      <c r="H507" s="23"/>
    </row>
    <row r="508" spans="2:8" ht="15.75" customHeight="1" x14ac:dyDescent="0.3">
      <c r="B508" s="23"/>
      <c r="E508" s="23"/>
      <c r="H508" s="23"/>
    </row>
    <row r="509" spans="2:8" ht="15.75" customHeight="1" x14ac:dyDescent="0.3">
      <c r="B509" s="23"/>
      <c r="E509" s="23"/>
      <c r="H509" s="23"/>
    </row>
    <row r="510" spans="2:8" ht="15.75" customHeight="1" x14ac:dyDescent="0.3">
      <c r="B510" s="23"/>
      <c r="E510" s="23"/>
      <c r="H510" s="23"/>
    </row>
    <row r="511" spans="2:8" ht="15.75" customHeight="1" x14ac:dyDescent="0.3">
      <c r="B511" s="23"/>
      <c r="E511" s="23"/>
      <c r="H511" s="23"/>
    </row>
    <row r="512" spans="2:8" ht="15.75" customHeight="1" x14ac:dyDescent="0.3">
      <c r="B512" s="23"/>
      <c r="E512" s="23"/>
      <c r="H512" s="23"/>
    </row>
    <row r="513" spans="2:8" ht="15.75" customHeight="1" x14ac:dyDescent="0.3">
      <c r="B513" s="23"/>
      <c r="E513" s="23"/>
      <c r="H513" s="23"/>
    </row>
    <row r="514" spans="2:8" ht="15.75" customHeight="1" x14ac:dyDescent="0.3">
      <c r="B514" s="23"/>
      <c r="E514" s="23"/>
      <c r="H514" s="23"/>
    </row>
    <row r="515" spans="2:8" ht="15.75" customHeight="1" x14ac:dyDescent="0.3">
      <c r="B515" s="23"/>
      <c r="E515" s="23"/>
      <c r="H515" s="23"/>
    </row>
    <row r="516" spans="2:8" ht="15.75" customHeight="1" x14ac:dyDescent="0.3">
      <c r="B516" s="23"/>
      <c r="E516" s="23"/>
      <c r="H516" s="23"/>
    </row>
    <row r="517" spans="2:8" ht="15.75" customHeight="1" x14ac:dyDescent="0.3">
      <c r="B517" s="23"/>
      <c r="E517" s="23"/>
      <c r="H517" s="23"/>
    </row>
    <row r="518" spans="2:8" ht="15.75" customHeight="1" x14ac:dyDescent="0.3">
      <c r="B518" s="23"/>
      <c r="E518" s="23"/>
      <c r="H518" s="23"/>
    </row>
    <row r="519" spans="2:8" ht="15.75" customHeight="1" x14ac:dyDescent="0.3">
      <c r="B519" s="23"/>
      <c r="E519" s="23"/>
      <c r="H519" s="23"/>
    </row>
    <row r="520" spans="2:8" ht="15.75" customHeight="1" x14ac:dyDescent="0.3">
      <c r="B520" s="23"/>
      <c r="E520" s="23"/>
      <c r="H520" s="23"/>
    </row>
    <row r="521" spans="2:8" ht="15.75" customHeight="1" x14ac:dyDescent="0.3">
      <c r="B521" s="23"/>
      <c r="E521" s="23"/>
      <c r="H521" s="23"/>
    </row>
    <row r="522" spans="2:8" ht="15.75" customHeight="1" x14ac:dyDescent="0.3">
      <c r="B522" s="23"/>
      <c r="E522" s="23"/>
      <c r="H522" s="23"/>
    </row>
    <row r="523" spans="2:8" ht="15.75" customHeight="1" x14ac:dyDescent="0.3">
      <c r="B523" s="23"/>
      <c r="E523" s="23"/>
      <c r="H523" s="23"/>
    </row>
    <row r="524" spans="2:8" ht="15.75" customHeight="1" x14ac:dyDescent="0.3">
      <c r="B524" s="23"/>
      <c r="E524" s="23"/>
      <c r="H524" s="23"/>
    </row>
    <row r="525" spans="2:8" ht="15.75" customHeight="1" x14ac:dyDescent="0.3">
      <c r="B525" s="23"/>
      <c r="E525" s="23"/>
      <c r="H525" s="23"/>
    </row>
    <row r="526" spans="2:8" ht="15.75" customHeight="1" x14ac:dyDescent="0.3">
      <c r="B526" s="23"/>
      <c r="E526" s="23"/>
      <c r="H526" s="23"/>
    </row>
    <row r="527" spans="2:8" ht="15.75" customHeight="1" x14ac:dyDescent="0.3">
      <c r="B527" s="23"/>
      <c r="E527" s="23"/>
      <c r="H527" s="23"/>
    </row>
    <row r="528" spans="2:8" ht="15.75" customHeight="1" x14ac:dyDescent="0.3">
      <c r="B528" s="23"/>
      <c r="E528" s="23"/>
      <c r="H528" s="23"/>
    </row>
    <row r="529" spans="2:8" ht="15.75" customHeight="1" x14ac:dyDescent="0.3">
      <c r="B529" s="23"/>
      <c r="E529" s="23"/>
      <c r="H529" s="23"/>
    </row>
    <row r="530" spans="2:8" ht="15.75" customHeight="1" x14ac:dyDescent="0.3">
      <c r="B530" s="23"/>
      <c r="E530" s="23"/>
      <c r="H530" s="23"/>
    </row>
    <row r="531" spans="2:8" ht="15.75" customHeight="1" x14ac:dyDescent="0.3">
      <c r="B531" s="23"/>
      <c r="E531" s="23"/>
      <c r="H531" s="23"/>
    </row>
    <row r="532" spans="2:8" ht="15.75" customHeight="1" x14ac:dyDescent="0.3">
      <c r="B532" s="23"/>
      <c r="E532" s="23"/>
      <c r="H532" s="23"/>
    </row>
    <row r="533" spans="2:8" ht="15.75" customHeight="1" x14ac:dyDescent="0.3">
      <c r="B533" s="23"/>
      <c r="E533" s="23"/>
      <c r="H533" s="23"/>
    </row>
    <row r="534" spans="2:8" ht="15.75" customHeight="1" x14ac:dyDescent="0.3">
      <c r="B534" s="23"/>
      <c r="E534" s="23"/>
      <c r="H534" s="23"/>
    </row>
    <row r="535" spans="2:8" ht="15.75" customHeight="1" x14ac:dyDescent="0.3">
      <c r="B535" s="23"/>
      <c r="E535" s="23"/>
      <c r="H535" s="23"/>
    </row>
    <row r="536" spans="2:8" ht="15.75" customHeight="1" x14ac:dyDescent="0.3">
      <c r="B536" s="23"/>
      <c r="E536" s="23"/>
      <c r="H536" s="23"/>
    </row>
    <row r="537" spans="2:8" ht="15.75" customHeight="1" x14ac:dyDescent="0.3">
      <c r="B537" s="23"/>
      <c r="E537" s="23"/>
      <c r="H537" s="23"/>
    </row>
    <row r="538" spans="2:8" ht="15.75" customHeight="1" x14ac:dyDescent="0.3">
      <c r="B538" s="23"/>
      <c r="E538" s="23"/>
      <c r="H538" s="23"/>
    </row>
    <row r="539" spans="2:8" ht="15.75" customHeight="1" x14ac:dyDescent="0.3">
      <c r="B539" s="23"/>
      <c r="E539" s="23"/>
      <c r="H539" s="23"/>
    </row>
    <row r="540" spans="2:8" ht="15.75" customHeight="1" x14ac:dyDescent="0.3">
      <c r="B540" s="23"/>
      <c r="E540" s="23"/>
      <c r="H540" s="23"/>
    </row>
    <row r="541" spans="2:8" ht="15.75" customHeight="1" x14ac:dyDescent="0.3">
      <c r="B541" s="23"/>
      <c r="E541" s="23"/>
      <c r="H541" s="23"/>
    </row>
    <row r="542" spans="2:8" ht="15.75" customHeight="1" x14ac:dyDescent="0.3">
      <c r="B542" s="23"/>
      <c r="E542" s="23"/>
      <c r="H542" s="23"/>
    </row>
    <row r="543" spans="2:8" ht="15.75" customHeight="1" x14ac:dyDescent="0.3">
      <c r="B543" s="23"/>
      <c r="E543" s="23"/>
      <c r="H543" s="23"/>
    </row>
    <row r="544" spans="2:8" ht="15.75" customHeight="1" x14ac:dyDescent="0.3">
      <c r="B544" s="23"/>
      <c r="E544" s="23"/>
      <c r="H544" s="23"/>
    </row>
    <row r="545" spans="2:8" ht="15.75" customHeight="1" x14ac:dyDescent="0.3">
      <c r="B545" s="23"/>
      <c r="E545" s="23"/>
      <c r="H545" s="23"/>
    </row>
    <row r="546" spans="2:8" ht="15.75" customHeight="1" x14ac:dyDescent="0.3">
      <c r="B546" s="23"/>
      <c r="E546" s="23"/>
      <c r="H546" s="23"/>
    </row>
    <row r="547" spans="2:8" ht="15.75" customHeight="1" x14ac:dyDescent="0.3">
      <c r="B547" s="23"/>
      <c r="E547" s="23"/>
      <c r="H547" s="23"/>
    </row>
    <row r="548" spans="2:8" ht="15.75" customHeight="1" x14ac:dyDescent="0.3">
      <c r="B548" s="23"/>
      <c r="E548" s="23"/>
      <c r="H548" s="23"/>
    </row>
    <row r="549" spans="2:8" ht="15.75" customHeight="1" x14ac:dyDescent="0.3">
      <c r="B549" s="23"/>
      <c r="E549" s="23"/>
      <c r="H549" s="23"/>
    </row>
    <row r="550" spans="2:8" ht="15.75" customHeight="1" x14ac:dyDescent="0.3">
      <c r="B550" s="23"/>
      <c r="E550" s="23"/>
      <c r="H550" s="23"/>
    </row>
    <row r="551" spans="2:8" ht="15.75" customHeight="1" x14ac:dyDescent="0.3">
      <c r="B551" s="23"/>
      <c r="E551" s="23"/>
      <c r="H551" s="23"/>
    </row>
    <row r="552" spans="2:8" ht="15.75" customHeight="1" x14ac:dyDescent="0.3">
      <c r="B552" s="23"/>
      <c r="E552" s="23"/>
      <c r="H552" s="23"/>
    </row>
    <row r="553" spans="2:8" ht="15.75" customHeight="1" x14ac:dyDescent="0.3">
      <c r="B553" s="23"/>
      <c r="E553" s="23"/>
      <c r="H553" s="23"/>
    </row>
    <row r="554" spans="2:8" ht="15.75" customHeight="1" x14ac:dyDescent="0.3">
      <c r="B554" s="23"/>
      <c r="E554" s="23"/>
      <c r="H554" s="23"/>
    </row>
    <row r="555" spans="2:8" ht="15.75" customHeight="1" x14ac:dyDescent="0.3">
      <c r="B555" s="23"/>
      <c r="E555" s="23"/>
      <c r="H555" s="23"/>
    </row>
    <row r="556" spans="2:8" ht="15.75" customHeight="1" x14ac:dyDescent="0.3">
      <c r="B556" s="23"/>
      <c r="E556" s="23"/>
      <c r="H556" s="23"/>
    </row>
    <row r="557" spans="2:8" ht="15.75" customHeight="1" x14ac:dyDescent="0.3">
      <c r="B557" s="23"/>
      <c r="E557" s="23"/>
      <c r="H557" s="23"/>
    </row>
    <row r="558" spans="2:8" ht="15.75" customHeight="1" x14ac:dyDescent="0.3">
      <c r="B558" s="23"/>
      <c r="E558" s="23"/>
      <c r="H558" s="23"/>
    </row>
    <row r="559" spans="2:8" ht="15.75" customHeight="1" x14ac:dyDescent="0.3">
      <c r="B559" s="23"/>
      <c r="E559" s="23"/>
      <c r="H559" s="23"/>
    </row>
    <row r="560" spans="2:8" ht="15.75" customHeight="1" x14ac:dyDescent="0.3">
      <c r="B560" s="23"/>
      <c r="E560" s="23"/>
      <c r="H560" s="23"/>
    </row>
    <row r="561" spans="2:8" ht="15.75" customHeight="1" x14ac:dyDescent="0.3">
      <c r="B561" s="23"/>
      <c r="E561" s="23"/>
      <c r="H561" s="23"/>
    </row>
    <row r="562" spans="2:8" ht="15.75" customHeight="1" x14ac:dyDescent="0.3">
      <c r="B562" s="23"/>
      <c r="E562" s="23"/>
      <c r="H562" s="23"/>
    </row>
    <row r="563" spans="2:8" ht="15.75" customHeight="1" x14ac:dyDescent="0.3">
      <c r="B563" s="23"/>
      <c r="E563" s="23"/>
      <c r="H563" s="23"/>
    </row>
    <row r="564" spans="2:8" ht="15.75" customHeight="1" x14ac:dyDescent="0.3">
      <c r="B564" s="23"/>
      <c r="E564" s="23"/>
      <c r="H564" s="23"/>
    </row>
    <row r="565" spans="2:8" ht="15.75" customHeight="1" x14ac:dyDescent="0.3">
      <c r="B565" s="23"/>
      <c r="E565" s="23"/>
      <c r="H565" s="23"/>
    </row>
    <row r="566" spans="2:8" ht="15.75" customHeight="1" x14ac:dyDescent="0.3">
      <c r="B566" s="23"/>
      <c r="E566" s="23"/>
      <c r="H566" s="23"/>
    </row>
    <row r="567" spans="2:8" ht="15.75" customHeight="1" x14ac:dyDescent="0.3">
      <c r="B567" s="23"/>
      <c r="E567" s="23"/>
      <c r="H567" s="23"/>
    </row>
    <row r="568" spans="2:8" ht="15.75" customHeight="1" x14ac:dyDescent="0.3">
      <c r="B568" s="23"/>
      <c r="E568" s="23"/>
      <c r="H568" s="23"/>
    </row>
    <row r="569" spans="2:8" ht="15.75" customHeight="1" x14ac:dyDescent="0.3">
      <c r="B569" s="23"/>
      <c r="E569" s="23"/>
      <c r="H569" s="23"/>
    </row>
    <row r="570" spans="2:8" ht="15.75" customHeight="1" x14ac:dyDescent="0.3">
      <c r="B570" s="23"/>
      <c r="E570" s="23"/>
      <c r="H570" s="23"/>
    </row>
    <row r="571" spans="2:8" ht="15.75" customHeight="1" x14ac:dyDescent="0.3">
      <c r="B571" s="23"/>
      <c r="E571" s="23"/>
      <c r="H571" s="23"/>
    </row>
    <row r="572" spans="2:8" ht="15.75" customHeight="1" x14ac:dyDescent="0.3">
      <c r="B572" s="23"/>
      <c r="E572" s="23"/>
      <c r="H572" s="23"/>
    </row>
    <row r="573" spans="2:8" ht="15.75" customHeight="1" x14ac:dyDescent="0.3">
      <c r="B573" s="23"/>
      <c r="E573" s="23"/>
      <c r="H573" s="23"/>
    </row>
    <row r="574" spans="2:8" ht="15.75" customHeight="1" x14ac:dyDescent="0.3">
      <c r="B574" s="23"/>
      <c r="E574" s="23"/>
      <c r="H574" s="23"/>
    </row>
    <row r="575" spans="2:8" ht="15.75" customHeight="1" x14ac:dyDescent="0.3">
      <c r="B575" s="23"/>
      <c r="E575" s="23"/>
      <c r="H575" s="23"/>
    </row>
    <row r="576" spans="2:8" ht="15.75" customHeight="1" x14ac:dyDescent="0.3">
      <c r="B576" s="23"/>
      <c r="E576" s="23"/>
      <c r="H576" s="23"/>
    </row>
    <row r="577" spans="2:8" ht="15.75" customHeight="1" x14ac:dyDescent="0.3">
      <c r="B577" s="23"/>
      <c r="E577" s="23"/>
      <c r="H577" s="23"/>
    </row>
    <row r="578" spans="2:8" ht="15.75" customHeight="1" x14ac:dyDescent="0.3">
      <c r="B578" s="23"/>
      <c r="E578" s="23"/>
      <c r="H578" s="23"/>
    </row>
    <row r="579" spans="2:8" ht="15.75" customHeight="1" x14ac:dyDescent="0.3">
      <c r="B579" s="23"/>
      <c r="E579" s="23"/>
      <c r="H579" s="23"/>
    </row>
    <row r="580" spans="2:8" ht="15.75" customHeight="1" x14ac:dyDescent="0.3">
      <c r="B580" s="23"/>
      <c r="E580" s="23"/>
      <c r="H580" s="23"/>
    </row>
    <row r="581" spans="2:8" ht="15.75" customHeight="1" x14ac:dyDescent="0.3">
      <c r="B581" s="23"/>
      <c r="E581" s="23"/>
      <c r="H581" s="23"/>
    </row>
    <row r="582" spans="2:8" ht="15.75" customHeight="1" x14ac:dyDescent="0.3">
      <c r="B582" s="23"/>
      <c r="E582" s="23"/>
      <c r="H582" s="23"/>
    </row>
    <row r="583" spans="2:8" ht="15.75" customHeight="1" x14ac:dyDescent="0.3">
      <c r="B583" s="23"/>
      <c r="E583" s="23"/>
      <c r="H583" s="23"/>
    </row>
    <row r="584" spans="2:8" ht="15.75" customHeight="1" x14ac:dyDescent="0.3">
      <c r="B584" s="23"/>
      <c r="E584" s="23"/>
      <c r="H584" s="23"/>
    </row>
    <row r="585" spans="2:8" ht="15.75" customHeight="1" x14ac:dyDescent="0.3">
      <c r="B585" s="23"/>
      <c r="E585" s="23"/>
      <c r="H585" s="23"/>
    </row>
    <row r="586" spans="2:8" ht="15.75" customHeight="1" x14ac:dyDescent="0.3">
      <c r="B586" s="23"/>
      <c r="E586" s="23"/>
      <c r="H586" s="23"/>
    </row>
    <row r="587" spans="2:8" ht="15.75" customHeight="1" x14ac:dyDescent="0.3">
      <c r="B587" s="23"/>
      <c r="E587" s="23"/>
      <c r="H587" s="23"/>
    </row>
    <row r="588" spans="2:8" ht="15.75" customHeight="1" x14ac:dyDescent="0.3">
      <c r="B588" s="23"/>
      <c r="E588" s="23"/>
      <c r="H588" s="23"/>
    </row>
    <row r="589" spans="2:8" ht="15.75" customHeight="1" x14ac:dyDescent="0.3">
      <c r="B589" s="23"/>
      <c r="E589" s="23"/>
      <c r="H589" s="23"/>
    </row>
    <row r="590" spans="2:8" ht="15.75" customHeight="1" x14ac:dyDescent="0.3">
      <c r="B590" s="23"/>
      <c r="E590" s="23"/>
      <c r="H590" s="23"/>
    </row>
    <row r="591" spans="2:8" ht="15.75" customHeight="1" x14ac:dyDescent="0.3">
      <c r="B591" s="23"/>
      <c r="E591" s="23"/>
      <c r="H591" s="23"/>
    </row>
    <row r="592" spans="2:8" ht="15.75" customHeight="1" x14ac:dyDescent="0.3">
      <c r="B592" s="23"/>
      <c r="E592" s="23"/>
      <c r="H592" s="23"/>
    </row>
    <row r="593" spans="2:8" ht="15.75" customHeight="1" x14ac:dyDescent="0.3">
      <c r="B593" s="23"/>
      <c r="E593" s="23"/>
      <c r="H593" s="23"/>
    </row>
    <row r="594" spans="2:8" ht="15.75" customHeight="1" x14ac:dyDescent="0.3">
      <c r="B594" s="23"/>
      <c r="E594" s="23"/>
      <c r="H594" s="23"/>
    </row>
    <row r="595" spans="2:8" ht="15.75" customHeight="1" x14ac:dyDescent="0.3">
      <c r="B595" s="23"/>
      <c r="E595" s="23"/>
      <c r="H595" s="23"/>
    </row>
    <row r="596" spans="2:8" ht="15.75" customHeight="1" x14ac:dyDescent="0.3">
      <c r="B596" s="23"/>
      <c r="E596" s="23"/>
      <c r="H596" s="23"/>
    </row>
    <row r="597" spans="2:8" ht="15.75" customHeight="1" x14ac:dyDescent="0.3">
      <c r="B597" s="23"/>
      <c r="E597" s="23"/>
      <c r="H597" s="23"/>
    </row>
    <row r="598" spans="2:8" ht="15.75" customHeight="1" x14ac:dyDescent="0.3">
      <c r="B598" s="23"/>
      <c r="E598" s="23"/>
      <c r="H598" s="23"/>
    </row>
    <row r="599" spans="2:8" ht="15.75" customHeight="1" x14ac:dyDescent="0.3">
      <c r="B599" s="23"/>
      <c r="E599" s="23"/>
      <c r="H599" s="23"/>
    </row>
    <row r="600" spans="2:8" ht="15.75" customHeight="1" x14ac:dyDescent="0.3">
      <c r="B600" s="23"/>
      <c r="E600" s="23"/>
      <c r="H600" s="23"/>
    </row>
    <row r="601" spans="2:8" ht="15.75" customHeight="1" x14ac:dyDescent="0.3">
      <c r="B601" s="23"/>
      <c r="E601" s="23"/>
      <c r="H601" s="23"/>
    </row>
    <row r="602" spans="2:8" ht="15.75" customHeight="1" x14ac:dyDescent="0.3">
      <c r="B602" s="23"/>
      <c r="E602" s="23"/>
      <c r="H602" s="23"/>
    </row>
    <row r="603" spans="2:8" ht="15.75" customHeight="1" x14ac:dyDescent="0.3">
      <c r="B603" s="23"/>
      <c r="E603" s="23"/>
      <c r="H603" s="23"/>
    </row>
    <row r="604" spans="2:8" ht="15.75" customHeight="1" x14ac:dyDescent="0.3">
      <c r="B604" s="23"/>
      <c r="E604" s="23"/>
      <c r="H604" s="23"/>
    </row>
    <row r="605" spans="2:8" ht="15.75" customHeight="1" x14ac:dyDescent="0.3">
      <c r="B605" s="23"/>
      <c r="E605" s="23"/>
      <c r="H605" s="23"/>
    </row>
    <row r="606" spans="2:8" ht="15.75" customHeight="1" x14ac:dyDescent="0.3">
      <c r="B606" s="23"/>
      <c r="E606" s="23"/>
      <c r="H606" s="23"/>
    </row>
    <row r="607" spans="2:8" ht="15.75" customHeight="1" x14ac:dyDescent="0.3">
      <c r="B607" s="23"/>
      <c r="E607" s="23"/>
      <c r="H607" s="23"/>
    </row>
    <row r="608" spans="2:8" ht="15.75" customHeight="1" x14ac:dyDescent="0.3">
      <c r="B608" s="23"/>
      <c r="E608" s="23"/>
      <c r="H608" s="23"/>
    </row>
    <row r="609" spans="2:8" ht="15.75" customHeight="1" x14ac:dyDescent="0.3">
      <c r="B609" s="23"/>
      <c r="E609" s="23"/>
      <c r="H609" s="23"/>
    </row>
    <row r="610" spans="2:8" ht="15.75" customHeight="1" x14ac:dyDescent="0.3">
      <c r="B610" s="23"/>
      <c r="E610" s="23"/>
      <c r="H610" s="23"/>
    </row>
    <row r="611" spans="2:8" ht="15.75" customHeight="1" x14ac:dyDescent="0.3">
      <c r="B611" s="23"/>
      <c r="E611" s="23"/>
      <c r="H611" s="23"/>
    </row>
    <row r="612" spans="2:8" ht="15.75" customHeight="1" x14ac:dyDescent="0.3">
      <c r="B612" s="23"/>
      <c r="E612" s="23"/>
      <c r="H612" s="23"/>
    </row>
    <row r="613" spans="2:8" ht="15.75" customHeight="1" x14ac:dyDescent="0.3">
      <c r="B613" s="23"/>
      <c r="E613" s="23"/>
      <c r="H613" s="23"/>
    </row>
    <row r="614" spans="2:8" ht="15.75" customHeight="1" x14ac:dyDescent="0.3">
      <c r="B614" s="23"/>
      <c r="E614" s="23"/>
      <c r="H614" s="23"/>
    </row>
    <row r="615" spans="2:8" ht="15.75" customHeight="1" x14ac:dyDescent="0.3">
      <c r="B615" s="23"/>
      <c r="E615" s="23"/>
      <c r="H615" s="23"/>
    </row>
    <row r="616" spans="2:8" ht="15.75" customHeight="1" x14ac:dyDescent="0.3">
      <c r="B616" s="23"/>
      <c r="E616" s="23"/>
      <c r="H616" s="23"/>
    </row>
    <row r="617" spans="2:8" ht="15.75" customHeight="1" x14ac:dyDescent="0.3">
      <c r="B617" s="23"/>
      <c r="E617" s="23"/>
      <c r="H617" s="23"/>
    </row>
    <row r="618" spans="2:8" ht="15.75" customHeight="1" x14ac:dyDescent="0.3">
      <c r="B618" s="23"/>
      <c r="E618" s="23"/>
      <c r="H618" s="23"/>
    </row>
    <row r="619" spans="2:8" ht="15.75" customHeight="1" x14ac:dyDescent="0.3">
      <c r="B619" s="23"/>
      <c r="E619" s="23"/>
      <c r="H619" s="23"/>
    </row>
    <row r="620" spans="2:8" ht="15.75" customHeight="1" x14ac:dyDescent="0.3">
      <c r="B620" s="23"/>
      <c r="E620" s="23"/>
      <c r="H620" s="23"/>
    </row>
    <row r="621" spans="2:8" ht="15.75" customHeight="1" x14ac:dyDescent="0.3">
      <c r="B621" s="23"/>
      <c r="E621" s="23"/>
      <c r="H621" s="23"/>
    </row>
    <row r="622" spans="2:8" ht="15.75" customHeight="1" x14ac:dyDescent="0.3">
      <c r="B622" s="23"/>
      <c r="E622" s="23"/>
      <c r="H622" s="23"/>
    </row>
    <row r="623" spans="2:8" ht="15.75" customHeight="1" x14ac:dyDescent="0.3">
      <c r="B623" s="23"/>
      <c r="E623" s="23"/>
      <c r="H623" s="23"/>
    </row>
    <row r="624" spans="2:8" ht="15.75" customHeight="1" x14ac:dyDescent="0.3">
      <c r="B624" s="23"/>
      <c r="E624" s="23"/>
      <c r="H624" s="23"/>
    </row>
    <row r="625" spans="2:8" ht="15.75" customHeight="1" x14ac:dyDescent="0.3">
      <c r="B625" s="23"/>
      <c r="E625" s="23"/>
      <c r="H625" s="23"/>
    </row>
    <row r="626" spans="2:8" ht="15.75" customHeight="1" x14ac:dyDescent="0.3">
      <c r="B626" s="23"/>
      <c r="E626" s="23"/>
      <c r="H626" s="23"/>
    </row>
    <row r="627" spans="2:8" ht="15.75" customHeight="1" x14ac:dyDescent="0.3">
      <c r="B627" s="23"/>
      <c r="E627" s="23"/>
      <c r="H627" s="23"/>
    </row>
    <row r="628" spans="2:8" ht="15.75" customHeight="1" x14ac:dyDescent="0.3">
      <c r="B628" s="23"/>
      <c r="E628" s="23"/>
      <c r="H628" s="23"/>
    </row>
    <row r="629" spans="2:8" ht="15.75" customHeight="1" x14ac:dyDescent="0.3">
      <c r="B629" s="23"/>
      <c r="E629" s="23"/>
      <c r="H629" s="23"/>
    </row>
    <row r="630" spans="2:8" ht="15.75" customHeight="1" x14ac:dyDescent="0.3">
      <c r="B630" s="23"/>
      <c r="E630" s="23"/>
      <c r="H630" s="23"/>
    </row>
    <row r="631" spans="2:8" ht="15.75" customHeight="1" x14ac:dyDescent="0.3">
      <c r="B631" s="23"/>
      <c r="E631" s="23"/>
      <c r="H631" s="23"/>
    </row>
    <row r="632" spans="2:8" ht="15.75" customHeight="1" x14ac:dyDescent="0.3">
      <c r="B632" s="23"/>
      <c r="E632" s="23"/>
      <c r="H632" s="23"/>
    </row>
    <row r="633" spans="2:8" ht="15.75" customHeight="1" x14ac:dyDescent="0.3">
      <c r="B633" s="23"/>
      <c r="E633" s="23"/>
      <c r="H633" s="23"/>
    </row>
    <row r="634" spans="2:8" ht="15.75" customHeight="1" x14ac:dyDescent="0.3">
      <c r="B634" s="23"/>
      <c r="E634" s="23"/>
      <c r="H634" s="23"/>
    </row>
    <row r="635" spans="2:8" ht="15.75" customHeight="1" x14ac:dyDescent="0.3">
      <c r="B635" s="23"/>
      <c r="E635" s="23"/>
      <c r="H635" s="23"/>
    </row>
    <row r="636" spans="2:8" ht="15.75" customHeight="1" x14ac:dyDescent="0.3">
      <c r="B636" s="23"/>
      <c r="E636" s="23"/>
      <c r="H636" s="23"/>
    </row>
    <row r="637" spans="2:8" ht="15.75" customHeight="1" x14ac:dyDescent="0.3">
      <c r="B637" s="23"/>
      <c r="E637" s="23"/>
      <c r="H637" s="23"/>
    </row>
    <row r="638" spans="2:8" ht="15.75" customHeight="1" x14ac:dyDescent="0.3">
      <c r="B638" s="23"/>
      <c r="E638" s="23"/>
      <c r="H638" s="23"/>
    </row>
    <row r="639" spans="2:8" ht="15.75" customHeight="1" x14ac:dyDescent="0.3">
      <c r="B639" s="23"/>
      <c r="E639" s="23"/>
      <c r="H639" s="23"/>
    </row>
    <row r="640" spans="2:8" ht="15.75" customHeight="1" x14ac:dyDescent="0.3">
      <c r="B640" s="23"/>
      <c r="E640" s="23"/>
      <c r="H640" s="23"/>
    </row>
    <row r="641" spans="2:8" ht="15.75" customHeight="1" x14ac:dyDescent="0.3">
      <c r="B641" s="23"/>
      <c r="E641" s="23"/>
      <c r="H641" s="23"/>
    </row>
    <row r="642" spans="2:8" ht="15.75" customHeight="1" x14ac:dyDescent="0.3">
      <c r="B642" s="23"/>
      <c r="E642" s="23"/>
      <c r="H642" s="23"/>
    </row>
    <row r="643" spans="2:8" ht="15.75" customHeight="1" x14ac:dyDescent="0.3">
      <c r="B643" s="23"/>
      <c r="E643" s="23"/>
      <c r="H643" s="23"/>
    </row>
    <row r="644" spans="2:8" ht="15.75" customHeight="1" x14ac:dyDescent="0.3">
      <c r="B644" s="23"/>
      <c r="E644" s="23"/>
      <c r="H644" s="23"/>
    </row>
    <row r="645" spans="2:8" ht="15.75" customHeight="1" x14ac:dyDescent="0.3">
      <c r="B645" s="23"/>
      <c r="E645" s="23"/>
      <c r="H645" s="23"/>
    </row>
    <row r="646" spans="2:8" ht="15.75" customHeight="1" x14ac:dyDescent="0.3">
      <c r="B646" s="23"/>
      <c r="E646" s="23"/>
      <c r="H646" s="23"/>
    </row>
    <row r="647" spans="2:8" ht="15.75" customHeight="1" x14ac:dyDescent="0.3">
      <c r="B647" s="23"/>
      <c r="E647" s="23"/>
      <c r="H647" s="23"/>
    </row>
    <row r="648" spans="2:8" ht="15.75" customHeight="1" x14ac:dyDescent="0.3">
      <c r="B648" s="23"/>
      <c r="E648" s="23"/>
      <c r="H648" s="23"/>
    </row>
    <row r="649" spans="2:8" ht="15.75" customHeight="1" x14ac:dyDescent="0.3">
      <c r="B649" s="23"/>
      <c r="E649" s="23"/>
      <c r="H649" s="23"/>
    </row>
    <row r="650" spans="2:8" ht="15.75" customHeight="1" x14ac:dyDescent="0.3">
      <c r="B650" s="23"/>
      <c r="E650" s="23"/>
      <c r="H650" s="23"/>
    </row>
    <row r="651" spans="2:8" ht="15.75" customHeight="1" x14ac:dyDescent="0.3">
      <c r="B651" s="23"/>
      <c r="E651" s="23"/>
      <c r="H651" s="23"/>
    </row>
    <row r="652" spans="2:8" ht="15.75" customHeight="1" x14ac:dyDescent="0.3">
      <c r="B652" s="23"/>
      <c r="E652" s="23"/>
      <c r="H652" s="23"/>
    </row>
    <row r="653" spans="2:8" ht="15.75" customHeight="1" x14ac:dyDescent="0.3">
      <c r="B653" s="23"/>
      <c r="E653" s="23"/>
      <c r="H653" s="23"/>
    </row>
    <row r="654" spans="2:8" ht="15.75" customHeight="1" x14ac:dyDescent="0.3">
      <c r="B654" s="23"/>
      <c r="E654" s="23"/>
      <c r="H654" s="23"/>
    </row>
    <row r="655" spans="2:8" ht="15.75" customHeight="1" x14ac:dyDescent="0.3">
      <c r="B655" s="23"/>
      <c r="E655" s="23"/>
      <c r="H655" s="23"/>
    </row>
    <row r="656" spans="2:8" ht="15.75" customHeight="1" x14ac:dyDescent="0.3">
      <c r="B656" s="23"/>
      <c r="E656" s="23"/>
      <c r="H656" s="23"/>
    </row>
    <row r="657" spans="2:8" ht="15.75" customHeight="1" x14ac:dyDescent="0.3">
      <c r="B657" s="23"/>
      <c r="E657" s="23"/>
      <c r="H657" s="23"/>
    </row>
    <row r="658" spans="2:8" ht="15.75" customHeight="1" x14ac:dyDescent="0.3">
      <c r="B658" s="23"/>
      <c r="E658" s="23"/>
      <c r="H658" s="23"/>
    </row>
    <row r="659" spans="2:8" ht="15.75" customHeight="1" x14ac:dyDescent="0.3">
      <c r="B659" s="23"/>
      <c r="E659" s="23"/>
      <c r="H659" s="23"/>
    </row>
    <row r="660" spans="2:8" ht="15.75" customHeight="1" x14ac:dyDescent="0.3">
      <c r="B660" s="23"/>
      <c r="E660" s="23"/>
      <c r="H660" s="23"/>
    </row>
    <row r="661" spans="2:8" ht="15.75" customHeight="1" x14ac:dyDescent="0.3">
      <c r="B661" s="23"/>
      <c r="E661" s="23"/>
      <c r="H661" s="23"/>
    </row>
    <row r="662" spans="2:8" ht="15.75" customHeight="1" x14ac:dyDescent="0.3">
      <c r="B662" s="23"/>
      <c r="E662" s="23"/>
      <c r="H662" s="23"/>
    </row>
    <row r="663" spans="2:8" ht="15.75" customHeight="1" x14ac:dyDescent="0.3">
      <c r="B663" s="23"/>
      <c r="E663" s="23"/>
      <c r="H663" s="23"/>
    </row>
    <row r="664" spans="2:8" ht="15.75" customHeight="1" x14ac:dyDescent="0.3">
      <c r="B664" s="23"/>
      <c r="E664" s="23"/>
      <c r="H664" s="23"/>
    </row>
    <row r="665" spans="2:8" ht="15.75" customHeight="1" x14ac:dyDescent="0.3">
      <c r="B665" s="23"/>
      <c r="E665" s="23"/>
      <c r="H665" s="23"/>
    </row>
    <row r="666" spans="2:8" ht="15.75" customHeight="1" x14ac:dyDescent="0.3">
      <c r="B666" s="23"/>
      <c r="E666" s="23"/>
      <c r="H666" s="23"/>
    </row>
    <row r="667" spans="2:8" ht="15.75" customHeight="1" x14ac:dyDescent="0.3">
      <c r="B667" s="23"/>
      <c r="E667" s="23"/>
      <c r="H667" s="23"/>
    </row>
    <row r="668" spans="2:8" ht="15.75" customHeight="1" x14ac:dyDescent="0.3">
      <c r="B668" s="23"/>
      <c r="E668" s="23"/>
      <c r="H668" s="23"/>
    </row>
    <row r="669" spans="2:8" ht="15.75" customHeight="1" x14ac:dyDescent="0.3">
      <c r="B669" s="23"/>
      <c r="E669" s="23"/>
      <c r="H669" s="23"/>
    </row>
    <row r="670" spans="2:8" ht="15.75" customHeight="1" x14ac:dyDescent="0.3">
      <c r="B670" s="23"/>
      <c r="E670" s="23"/>
      <c r="H670" s="23"/>
    </row>
    <row r="671" spans="2:8" ht="15.75" customHeight="1" x14ac:dyDescent="0.3">
      <c r="B671" s="23"/>
      <c r="E671" s="23"/>
      <c r="H671" s="23"/>
    </row>
    <row r="672" spans="2:8" ht="15.75" customHeight="1" x14ac:dyDescent="0.3">
      <c r="B672" s="23"/>
      <c r="E672" s="23"/>
      <c r="H672" s="23"/>
    </row>
    <row r="673" spans="2:8" ht="15.75" customHeight="1" x14ac:dyDescent="0.3">
      <c r="B673" s="23"/>
      <c r="E673" s="23"/>
      <c r="H673" s="23"/>
    </row>
    <row r="674" spans="2:8" ht="15.75" customHeight="1" x14ac:dyDescent="0.3">
      <c r="B674" s="23"/>
      <c r="E674" s="23"/>
      <c r="H674" s="23"/>
    </row>
    <row r="675" spans="2:8" ht="15.75" customHeight="1" x14ac:dyDescent="0.3">
      <c r="B675" s="23"/>
      <c r="E675" s="23"/>
      <c r="H675" s="23"/>
    </row>
    <row r="676" spans="2:8" ht="15.75" customHeight="1" x14ac:dyDescent="0.3">
      <c r="B676" s="23"/>
      <c r="E676" s="23"/>
      <c r="H676" s="23"/>
    </row>
    <row r="677" spans="2:8" ht="15.75" customHeight="1" x14ac:dyDescent="0.3">
      <c r="B677" s="23"/>
      <c r="E677" s="23"/>
      <c r="H677" s="23"/>
    </row>
    <row r="678" spans="2:8" ht="15.75" customHeight="1" x14ac:dyDescent="0.3">
      <c r="B678" s="23"/>
      <c r="E678" s="23"/>
      <c r="H678" s="23"/>
    </row>
    <row r="679" spans="2:8" ht="15.75" customHeight="1" x14ac:dyDescent="0.3">
      <c r="B679" s="23"/>
      <c r="E679" s="23"/>
      <c r="H679" s="23"/>
    </row>
    <row r="680" spans="2:8" ht="15.75" customHeight="1" x14ac:dyDescent="0.3">
      <c r="B680" s="23"/>
      <c r="E680" s="23"/>
      <c r="H680" s="23"/>
    </row>
    <row r="681" spans="2:8" ht="15.75" customHeight="1" x14ac:dyDescent="0.3">
      <c r="B681" s="23"/>
      <c r="E681" s="23"/>
      <c r="H681" s="23"/>
    </row>
    <row r="682" spans="2:8" ht="15.75" customHeight="1" x14ac:dyDescent="0.3">
      <c r="B682" s="23"/>
      <c r="E682" s="23"/>
      <c r="H682" s="23"/>
    </row>
    <row r="683" spans="2:8" ht="15.75" customHeight="1" x14ac:dyDescent="0.3">
      <c r="B683" s="23"/>
      <c r="E683" s="23"/>
      <c r="H683" s="23"/>
    </row>
    <row r="684" spans="2:8" ht="15.75" customHeight="1" x14ac:dyDescent="0.3">
      <c r="B684" s="23"/>
      <c r="E684" s="23"/>
      <c r="H684" s="23"/>
    </row>
    <row r="685" spans="2:8" ht="15.75" customHeight="1" x14ac:dyDescent="0.3">
      <c r="B685" s="23"/>
      <c r="E685" s="23"/>
      <c r="H685" s="23"/>
    </row>
    <row r="686" spans="2:8" ht="15.75" customHeight="1" x14ac:dyDescent="0.3">
      <c r="B686" s="23"/>
      <c r="E686" s="23"/>
      <c r="H686" s="23"/>
    </row>
    <row r="687" spans="2:8" ht="15.75" customHeight="1" x14ac:dyDescent="0.3">
      <c r="B687" s="23"/>
      <c r="E687" s="23"/>
      <c r="H687" s="23"/>
    </row>
    <row r="688" spans="2:8" ht="15.75" customHeight="1" x14ac:dyDescent="0.3">
      <c r="B688" s="23"/>
      <c r="E688" s="23"/>
      <c r="H688" s="23"/>
    </row>
    <row r="689" spans="2:8" ht="15.75" customHeight="1" x14ac:dyDescent="0.3">
      <c r="B689" s="23"/>
      <c r="E689" s="23"/>
      <c r="H689" s="23"/>
    </row>
    <row r="690" spans="2:8" ht="15.75" customHeight="1" x14ac:dyDescent="0.3">
      <c r="B690" s="23"/>
      <c r="E690" s="23"/>
      <c r="H690" s="23"/>
    </row>
    <row r="691" spans="2:8" ht="15.75" customHeight="1" x14ac:dyDescent="0.3">
      <c r="B691" s="23"/>
      <c r="E691" s="23"/>
      <c r="H691" s="23"/>
    </row>
    <row r="692" spans="2:8" ht="15.75" customHeight="1" x14ac:dyDescent="0.3">
      <c r="B692" s="23"/>
      <c r="E692" s="23"/>
      <c r="H692" s="23"/>
    </row>
    <row r="693" spans="2:8" ht="15.75" customHeight="1" x14ac:dyDescent="0.3">
      <c r="B693" s="23"/>
      <c r="E693" s="23"/>
      <c r="H693" s="23"/>
    </row>
    <row r="694" spans="2:8" ht="15.75" customHeight="1" x14ac:dyDescent="0.3">
      <c r="B694" s="23"/>
      <c r="E694" s="23"/>
      <c r="H694" s="23"/>
    </row>
    <row r="695" spans="2:8" ht="15.75" customHeight="1" x14ac:dyDescent="0.3">
      <c r="B695" s="23"/>
      <c r="E695" s="23"/>
      <c r="H695" s="23"/>
    </row>
    <row r="696" spans="2:8" ht="15.75" customHeight="1" x14ac:dyDescent="0.3">
      <c r="B696" s="23"/>
      <c r="E696" s="23"/>
      <c r="H696" s="23"/>
    </row>
    <row r="697" spans="2:8" ht="15.75" customHeight="1" x14ac:dyDescent="0.3">
      <c r="B697" s="23"/>
      <c r="E697" s="23"/>
      <c r="H697" s="23"/>
    </row>
    <row r="698" spans="2:8" ht="15.75" customHeight="1" x14ac:dyDescent="0.3">
      <c r="B698" s="23"/>
      <c r="E698" s="23"/>
      <c r="H698" s="23"/>
    </row>
    <row r="699" spans="2:8" ht="15.75" customHeight="1" x14ac:dyDescent="0.3">
      <c r="B699" s="23"/>
      <c r="E699" s="23"/>
      <c r="H699" s="23"/>
    </row>
    <row r="700" spans="2:8" ht="15.75" customHeight="1" x14ac:dyDescent="0.3">
      <c r="B700" s="23"/>
      <c r="E700" s="23"/>
      <c r="H700" s="23"/>
    </row>
    <row r="701" spans="2:8" ht="15.75" customHeight="1" x14ac:dyDescent="0.3">
      <c r="B701" s="23"/>
      <c r="E701" s="23"/>
      <c r="H701" s="23"/>
    </row>
    <row r="702" spans="2:8" ht="15.75" customHeight="1" x14ac:dyDescent="0.3">
      <c r="B702" s="23"/>
      <c r="E702" s="23"/>
      <c r="H702" s="23"/>
    </row>
    <row r="703" spans="2:8" ht="15.75" customHeight="1" x14ac:dyDescent="0.3">
      <c r="B703" s="23"/>
      <c r="E703" s="23"/>
      <c r="H703" s="23"/>
    </row>
    <row r="704" spans="2:8" ht="15.75" customHeight="1" x14ac:dyDescent="0.3">
      <c r="B704" s="23"/>
      <c r="E704" s="23"/>
      <c r="H704" s="23"/>
    </row>
    <row r="705" spans="2:8" ht="15.75" customHeight="1" x14ac:dyDescent="0.3">
      <c r="B705" s="23"/>
      <c r="E705" s="23"/>
      <c r="H705" s="23"/>
    </row>
    <row r="706" spans="2:8" ht="15.75" customHeight="1" x14ac:dyDescent="0.3">
      <c r="B706" s="23"/>
      <c r="E706" s="23"/>
      <c r="H706" s="23"/>
    </row>
    <row r="707" spans="2:8" ht="15.75" customHeight="1" x14ac:dyDescent="0.3">
      <c r="B707" s="23"/>
      <c r="E707" s="23"/>
      <c r="H707" s="23"/>
    </row>
    <row r="708" spans="2:8" ht="15.75" customHeight="1" x14ac:dyDescent="0.3">
      <c r="B708" s="23"/>
      <c r="E708" s="23"/>
      <c r="H708" s="23"/>
    </row>
    <row r="709" spans="2:8" ht="15.75" customHeight="1" x14ac:dyDescent="0.3">
      <c r="B709" s="23"/>
      <c r="E709" s="23"/>
      <c r="H709" s="23"/>
    </row>
    <row r="710" spans="2:8" ht="15.75" customHeight="1" x14ac:dyDescent="0.3">
      <c r="B710" s="23"/>
      <c r="E710" s="23"/>
      <c r="H710" s="23"/>
    </row>
    <row r="711" spans="2:8" ht="15.75" customHeight="1" x14ac:dyDescent="0.3">
      <c r="B711" s="23"/>
      <c r="E711" s="23"/>
      <c r="H711" s="23"/>
    </row>
    <row r="712" spans="2:8" ht="15.75" customHeight="1" x14ac:dyDescent="0.3">
      <c r="B712" s="23"/>
      <c r="E712" s="23"/>
      <c r="H712" s="23"/>
    </row>
    <row r="713" spans="2:8" ht="15.75" customHeight="1" x14ac:dyDescent="0.3">
      <c r="B713" s="23"/>
      <c r="E713" s="23"/>
      <c r="H713" s="23"/>
    </row>
    <row r="714" spans="2:8" ht="15.75" customHeight="1" x14ac:dyDescent="0.3">
      <c r="B714" s="23"/>
      <c r="E714" s="23"/>
      <c r="H714" s="23"/>
    </row>
    <row r="715" spans="2:8" ht="15.75" customHeight="1" x14ac:dyDescent="0.3">
      <c r="B715" s="23"/>
      <c r="E715" s="23"/>
      <c r="H715" s="23"/>
    </row>
    <row r="716" spans="2:8" ht="15.75" customHeight="1" x14ac:dyDescent="0.3">
      <c r="B716" s="23"/>
      <c r="E716" s="23"/>
      <c r="H716" s="23"/>
    </row>
    <row r="717" spans="2:8" ht="15.75" customHeight="1" x14ac:dyDescent="0.3">
      <c r="B717" s="23"/>
      <c r="E717" s="23"/>
      <c r="H717" s="23"/>
    </row>
    <row r="718" spans="2:8" ht="15.75" customHeight="1" x14ac:dyDescent="0.3">
      <c r="B718" s="23"/>
      <c r="E718" s="23"/>
      <c r="H718" s="23"/>
    </row>
    <row r="719" spans="2:8" ht="15.75" customHeight="1" x14ac:dyDescent="0.3">
      <c r="B719" s="23"/>
      <c r="E719" s="23"/>
      <c r="H719" s="23"/>
    </row>
    <row r="720" spans="2:8" ht="15.75" customHeight="1" x14ac:dyDescent="0.3">
      <c r="B720" s="23"/>
      <c r="E720" s="23"/>
      <c r="H720" s="23"/>
    </row>
    <row r="721" spans="2:8" ht="15.75" customHeight="1" x14ac:dyDescent="0.3">
      <c r="B721" s="23"/>
      <c r="E721" s="23"/>
      <c r="H721" s="23"/>
    </row>
    <row r="722" spans="2:8" ht="15.75" customHeight="1" x14ac:dyDescent="0.3">
      <c r="B722" s="23"/>
      <c r="E722" s="23"/>
      <c r="H722" s="23"/>
    </row>
    <row r="723" spans="2:8" ht="15.75" customHeight="1" x14ac:dyDescent="0.3">
      <c r="B723" s="23"/>
      <c r="E723" s="23"/>
      <c r="H723" s="23"/>
    </row>
    <row r="724" spans="2:8" ht="15.75" customHeight="1" x14ac:dyDescent="0.3">
      <c r="B724" s="23"/>
      <c r="E724" s="23"/>
      <c r="H724" s="23"/>
    </row>
    <row r="725" spans="2:8" ht="15.75" customHeight="1" x14ac:dyDescent="0.3">
      <c r="B725" s="23"/>
      <c r="E725" s="23"/>
      <c r="H725" s="23"/>
    </row>
    <row r="726" spans="2:8" ht="15.75" customHeight="1" x14ac:dyDescent="0.3">
      <c r="B726" s="23"/>
      <c r="E726" s="23"/>
      <c r="H726" s="23"/>
    </row>
    <row r="727" spans="2:8" ht="15.75" customHeight="1" x14ac:dyDescent="0.3">
      <c r="B727" s="23"/>
      <c r="E727" s="23"/>
      <c r="H727" s="23"/>
    </row>
    <row r="728" spans="2:8" ht="15.75" customHeight="1" x14ac:dyDescent="0.3">
      <c r="B728" s="23"/>
      <c r="E728" s="23"/>
      <c r="H728" s="23"/>
    </row>
    <row r="729" spans="2:8" ht="15.75" customHeight="1" x14ac:dyDescent="0.3">
      <c r="B729" s="23"/>
      <c r="E729" s="23"/>
      <c r="H729" s="23"/>
    </row>
    <row r="730" spans="2:8" ht="15.75" customHeight="1" x14ac:dyDescent="0.3">
      <c r="B730" s="23"/>
      <c r="E730" s="23"/>
      <c r="H730" s="23"/>
    </row>
    <row r="731" spans="2:8" ht="15.75" customHeight="1" x14ac:dyDescent="0.3">
      <c r="B731" s="23"/>
      <c r="E731" s="23"/>
      <c r="H731" s="23"/>
    </row>
    <row r="732" spans="2:8" ht="15.75" customHeight="1" x14ac:dyDescent="0.3">
      <c r="B732" s="23"/>
      <c r="E732" s="23"/>
      <c r="H732" s="23"/>
    </row>
    <row r="733" spans="2:8" ht="15.75" customHeight="1" x14ac:dyDescent="0.3">
      <c r="B733" s="23"/>
      <c r="E733" s="23"/>
      <c r="H733" s="23"/>
    </row>
    <row r="734" spans="2:8" ht="15.75" customHeight="1" x14ac:dyDescent="0.3">
      <c r="B734" s="23"/>
      <c r="E734" s="23"/>
      <c r="H734" s="23"/>
    </row>
    <row r="735" spans="2:8" ht="15.75" customHeight="1" x14ac:dyDescent="0.3">
      <c r="B735" s="23"/>
      <c r="E735" s="23"/>
      <c r="H735" s="23"/>
    </row>
    <row r="736" spans="2:8" ht="15.75" customHeight="1" x14ac:dyDescent="0.3">
      <c r="B736" s="23"/>
      <c r="E736" s="23"/>
      <c r="H736" s="23"/>
    </row>
    <row r="737" spans="2:8" ht="15.75" customHeight="1" x14ac:dyDescent="0.3">
      <c r="B737" s="23"/>
      <c r="E737" s="23"/>
      <c r="H737" s="23"/>
    </row>
    <row r="738" spans="2:8" ht="15.75" customHeight="1" x14ac:dyDescent="0.3">
      <c r="B738" s="23"/>
      <c r="E738" s="23"/>
      <c r="H738" s="23"/>
    </row>
    <row r="739" spans="2:8" ht="15.75" customHeight="1" x14ac:dyDescent="0.3">
      <c r="B739" s="23"/>
      <c r="E739" s="23"/>
      <c r="H739" s="23"/>
    </row>
    <row r="740" spans="2:8" ht="15.75" customHeight="1" x14ac:dyDescent="0.3">
      <c r="B740" s="23"/>
      <c r="E740" s="23"/>
      <c r="H740" s="23"/>
    </row>
    <row r="741" spans="2:8" ht="15.75" customHeight="1" x14ac:dyDescent="0.3">
      <c r="B741" s="23"/>
      <c r="E741" s="23"/>
      <c r="H741" s="23"/>
    </row>
    <row r="742" spans="2:8" ht="15.75" customHeight="1" x14ac:dyDescent="0.3">
      <c r="B742" s="23"/>
      <c r="E742" s="23"/>
      <c r="H742" s="23"/>
    </row>
    <row r="743" spans="2:8" ht="15.75" customHeight="1" x14ac:dyDescent="0.3">
      <c r="B743" s="23"/>
      <c r="E743" s="23"/>
      <c r="H743" s="23"/>
    </row>
    <row r="744" spans="2:8" ht="15.75" customHeight="1" x14ac:dyDescent="0.3">
      <c r="B744" s="23"/>
      <c r="E744" s="23"/>
      <c r="H744" s="23"/>
    </row>
    <row r="745" spans="2:8" ht="15.75" customHeight="1" x14ac:dyDescent="0.3">
      <c r="B745" s="23"/>
      <c r="E745" s="23"/>
      <c r="H745" s="23"/>
    </row>
    <row r="746" spans="2:8" ht="15.75" customHeight="1" x14ac:dyDescent="0.3">
      <c r="B746" s="23"/>
      <c r="E746" s="23"/>
      <c r="H746" s="23"/>
    </row>
    <row r="747" spans="2:8" ht="15.75" customHeight="1" x14ac:dyDescent="0.3">
      <c r="B747" s="23"/>
      <c r="E747" s="23"/>
      <c r="H747" s="23"/>
    </row>
    <row r="748" spans="2:8" ht="15.75" customHeight="1" x14ac:dyDescent="0.3">
      <c r="B748" s="23"/>
      <c r="E748" s="23"/>
      <c r="H748" s="23"/>
    </row>
    <row r="749" spans="2:8" ht="15.75" customHeight="1" x14ac:dyDescent="0.3">
      <c r="B749" s="23"/>
      <c r="E749" s="23"/>
      <c r="H749" s="23"/>
    </row>
    <row r="750" spans="2:8" ht="15.75" customHeight="1" x14ac:dyDescent="0.3">
      <c r="B750" s="23"/>
      <c r="E750" s="23"/>
      <c r="H750" s="23"/>
    </row>
    <row r="751" spans="2:8" ht="15.75" customHeight="1" x14ac:dyDescent="0.3">
      <c r="B751" s="23"/>
      <c r="E751" s="23"/>
      <c r="H751" s="23"/>
    </row>
    <row r="752" spans="2:8" ht="15.75" customHeight="1" x14ac:dyDescent="0.3">
      <c r="B752" s="23"/>
      <c r="E752" s="23"/>
      <c r="H752" s="23"/>
    </row>
    <row r="753" spans="2:8" ht="15.75" customHeight="1" x14ac:dyDescent="0.3">
      <c r="B753" s="23"/>
      <c r="E753" s="23"/>
      <c r="H753" s="23"/>
    </row>
    <row r="754" spans="2:8" ht="15.75" customHeight="1" x14ac:dyDescent="0.3">
      <c r="B754" s="23"/>
      <c r="E754" s="23"/>
      <c r="H754" s="23"/>
    </row>
    <row r="755" spans="2:8" ht="15.75" customHeight="1" x14ac:dyDescent="0.3">
      <c r="B755" s="23"/>
      <c r="E755" s="23"/>
      <c r="H755" s="23"/>
    </row>
    <row r="756" spans="2:8" ht="15.75" customHeight="1" x14ac:dyDescent="0.3">
      <c r="B756" s="23"/>
      <c r="E756" s="23"/>
      <c r="H756" s="23"/>
    </row>
    <row r="757" spans="2:8" ht="15.75" customHeight="1" x14ac:dyDescent="0.3">
      <c r="B757" s="23"/>
      <c r="E757" s="23"/>
      <c r="H757" s="23"/>
    </row>
    <row r="758" spans="2:8" ht="15.75" customHeight="1" x14ac:dyDescent="0.3">
      <c r="B758" s="23"/>
      <c r="E758" s="23"/>
      <c r="H758" s="23"/>
    </row>
    <row r="759" spans="2:8" ht="15.75" customHeight="1" x14ac:dyDescent="0.3">
      <c r="B759" s="23"/>
      <c r="E759" s="23"/>
      <c r="H759" s="23"/>
    </row>
    <row r="760" spans="2:8" ht="15.75" customHeight="1" x14ac:dyDescent="0.3">
      <c r="B760" s="23"/>
      <c r="E760" s="23"/>
      <c r="H760" s="23"/>
    </row>
    <row r="761" spans="2:8" ht="15.75" customHeight="1" x14ac:dyDescent="0.3">
      <c r="B761" s="23"/>
      <c r="E761" s="23"/>
      <c r="H761" s="23"/>
    </row>
    <row r="762" spans="2:8" ht="15.75" customHeight="1" x14ac:dyDescent="0.3">
      <c r="B762" s="23"/>
      <c r="E762" s="23"/>
      <c r="H762" s="23"/>
    </row>
    <row r="763" spans="2:8" ht="15.75" customHeight="1" x14ac:dyDescent="0.3">
      <c r="B763" s="23"/>
      <c r="E763" s="23"/>
      <c r="H763" s="23"/>
    </row>
    <row r="764" spans="2:8" ht="15.75" customHeight="1" x14ac:dyDescent="0.3">
      <c r="B764" s="23"/>
      <c r="E764" s="23"/>
      <c r="H764" s="23"/>
    </row>
    <row r="765" spans="2:8" ht="15.75" customHeight="1" x14ac:dyDescent="0.3">
      <c r="B765" s="23"/>
      <c r="E765" s="23"/>
      <c r="H765" s="23"/>
    </row>
    <row r="766" spans="2:8" ht="15.75" customHeight="1" x14ac:dyDescent="0.3">
      <c r="B766" s="23"/>
      <c r="E766" s="23"/>
      <c r="H766" s="23"/>
    </row>
    <row r="767" spans="2:8" ht="15.75" customHeight="1" x14ac:dyDescent="0.3">
      <c r="B767" s="23"/>
      <c r="E767" s="23"/>
      <c r="H767" s="23"/>
    </row>
    <row r="768" spans="2:8" ht="15.75" customHeight="1" x14ac:dyDescent="0.3">
      <c r="B768" s="23"/>
      <c r="E768" s="23"/>
      <c r="H768" s="23"/>
    </row>
    <row r="769" spans="2:8" ht="15.75" customHeight="1" x14ac:dyDescent="0.3">
      <c r="B769" s="23"/>
      <c r="E769" s="23"/>
      <c r="H769" s="23"/>
    </row>
    <row r="770" spans="2:8" ht="15.75" customHeight="1" x14ac:dyDescent="0.3">
      <c r="B770" s="23"/>
      <c r="E770" s="23"/>
      <c r="H770" s="23"/>
    </row>
    <row r="771" spans="2:8" ht="15.75" customHeight="1" x14ac:dyDescent="0.3">
      <c r="B771" s="23"/>
      <c r="E771" s="23"/>
      <c r="H771" s="23"/>
    </row>
    <row r="772" spans="2:8" ht="15.75" customHeight="1" x14ac:dyDescent="0.3">
      <c r="B772" s="23"/>
      <c r="E772" s="23"/>
      <c r="H772" s="23"/>
    </row>
    <row r="773" spans="2:8" ht="15.75" customHeight="1" x14ac:dyDescent="0.3">
      <c r="B773" s="23"/>
      <c r="E773" s="23"/>
      <c r="H773" s="23"/>
    </row>
    <row r="774" spans="2:8" ht="15.75" customHeight="1" x14ac:dyDescent="0.3">
      <c r="B774" s="23"/>
      <c r="E774" s="23"/>
      <c r="H774" s="23"/>
    </row>
    <row r="775" spans="2:8" ht="15.75" customHeight="1" x14ac:dyDescent="0.3">
      <c r="B775" s="23"/>
      <c r="E775" s="23"/>
      <c r="H775" s="23"/>
    </row>
    <row r="776" spans="2:8" ht="15.75" customHeight="1" x14ac:dyDescent="0.3">
      <c r="B776" s="23"/>
      <c r="E776" s="23"/>
      <c r="H776" s="23"/>
    </row>
    <row r="777" spans="2:8" ht="15.75" customHeight="1" x14ac:dyDescent="0.3">
      <c r="B777" s="23"/>
      <c r="E777" s="23"/>
      <c r="H777" s="23"/>
    </row>
    <row r="778" spans="2:8" ht="15.75" customHeight="1" x14ac:dyDescent="0.3">
      <c r="B778" s="23"/>
      <c r="E778" s="23"/>
      <c r="H778" s="23"/>
    </row>
    <row r="779" spans="2:8" ht="15.75" customHeight="1" x14ac:dyDescent="0.3">
      <c r="B779" s="23"/>
      <c r="E779" s="23"/>
      <c r="H779" s="23"/>
    </row>
    <row r="780" spans="2:8" ht="15.75" customHeight="1" x14ac:dyDescent="0.3">
      <c r="B780" s="23"/>
      <c r="E780" s="23"/>
      <c r="H780" s="23"/>
    </row>
    <row r="781" spans="2:8" ht="15.75" customHeight="1" x14ac:dyDescent="0.3">
      <c r="B781" s="23"/>
      <c r="E781" s="23"/>
      <c r="H781" s="23"/>
    </row>
    <row r="782" spans="2:8" ht="15.75" customHeight="1" x14ac:dyDescent="0.3">
      <c r="B782" s="23"/>
      <c r="E782" s="23"/>
      <c r="H782" s="23"/>
    </row>
    <row r="783" spans="2:8" ht="15.75" customHeight="1" x14ac:dyDescent="0.3">
      <c r="B783" s="23"/>
      <c r="E783" s="23"/>
      <c r="H783" s="23"/>
    </row>
    <row r="784" spans="2:8" ht="15.75" customHeight="1" x14ac:dyDescent="0.3">
      <c r="B784" s="23"/>
      <c r="E784" s="23"/>
      <c r="H784" s="23"/>
    </row>
    <row r="785" spans="2:8" ht="15.75" customHeight="1" x14ac:dyDescent="0.3">
      <c r="B785" s="23"/>
      <c r="E785" s="23"/>
      <c r="H785" s="23"/>
    </row>
    <row r="786" spans="2:8" ht="15.75" customHeight="1" x14ac:dyDescent="0.3">
      <c r="B786" s="23"/>
      <c r="E786" s="23"/>
      <c r="H786" s="23"/>
    </row>
    <row r="787" spans="2:8" ht="15.75" customHeight="1" x14ac:dyDescent="0.3">
      <c r="B787" s="23"/>
      <c r="E787" s="23"/>
      <c r="H787" s="23"/>
    </row>
    <row r="788" spans="2:8" ht="15.75" customHeight="1" x14ac:dyDescent="0.3">
      <c r="B788" s="23"/>
      <c r="E788" s="23"/>
      <c r="H788" s="23"/>
    </row>
    <row r="789" spans="2:8" ht="15.75" customHeight="1" x14ac:dyDescent="0.3">
      <c r="B789" s="23"/>
      <c r="E789" s="23"/>
      <c r="H789" s="23"/>
    </row>
    <row r="790" spans="2:8" ht="15.75" customHeight="1" x14ac:dyDescent="0.3">
      <c r="B790" s="23"/>
      <c r="E790" s="23"/>
      <c r="H790" s="23"/>
    </row>
    <row r="791" spans="2:8" ht="15.75" customHeight="1" x14ac:dyDescent="0.3">
      <c r="B791" s="23"/>
      <c r="E791" s="23"/>
      <c r="H791" s="23"/>
    </row>
    <row r="792" spans="2:8" ht="15.75" customHeight="1" x14ac:dyDescent="0.3">
      <c r="B792" s="23"/>
      <c r="E792" s="23"/>
      <c r="H792" s="23"/>
    </row>
    <row r="793" spans="2:8" ht="15.75" customHeight="1" x14ac:dyDescent="0.3">
      <c r="B793" s="23"/>
      <c r="E793" s="23"/>
      <c r="H793" s="23"/>
    </row>
    <row r="794" spans="2:8" ht="15.75" customHeight="1" x14ac:dyDescent="0.3">
      <c r="B794" s="23"/>
      <c r="E794" s="23"/>
      <c r="H794" s="23"/>
    </row>
    <row r="795" spans="2:8" ht="15.75" customHeight="1" x14ac:dyDescent="0.3">
      <c r="B795" s="23"/>
      <c r="E795" s="23"/>
      <c r="H795" s="23"/>
    </row>
    <row r="796" spans="2:8" ht="15.75" customHeight="1" x14ac:dyDescent="0.3">
      <c r="B796" s="23"/>
      <c r="E796" s="23"/>
      <c r="H796" s="23"/>
    </row>
    <row r="797" spans="2:8" ht="15.75" customHeight="1" x14ac:dyDescent="0.3">
      <c r="B797" s="23"/>
      <c r="E797" s="23"/>
      <c r="H797" s="23"/>
    </row>
    <row r="798" spans="2:8" ht="15.75" customHeight="1" x14ac:dyDescent="0.3">
      <c r="B798" s="23"/>
      <c r="E798" s="23"/>
      <c r="H798" s="23"/>
    </row>
    <row r="799" spans="2:8" ht="15.75" customHeight="1" x14ac:dyDescent="0.3">
      <c r="B799" s="23"/>
      <c r="E799" s="23"/>
      <c r="H799" s="23"/>
    </row>
    <row r="800" spans="2:8" ht="15.75" customHeight="1" x14ac:dyDescent="0.3">
      <c r="B800" s="23"/>
      <c r="E800" s="23"/>
      <c r="H800" s="23"/>
    </row>
    <row r="801" spans="2:8" ht="15.75" customHeight="1" x14ac:dyDescent="0.3">
      <c r="B801" s="23"/>
      <c r="E801" s="23"/>
      <c r="H801" s="23"/>
    </row>
    <row r="802" spans="2:8" ht="15.75" customHeight="1" x14ac:dyDescent="0.3">
      <c r="B802" s="23"/>
      <c r="E802" s="23"/>
      <c r="H802" s="23"/>
    </row>
    <row r="803" spans="2:8" ht="15.75" customHeight="1" x14ac:dyDescent="0.3">
      <c r="B803" s="23"/>
      <c r="E803" s="23"/>
      <c r="H803" s="23"/>
    </row>
    <row r="804" spans="2:8" ht="15.75" customHeight="1" x14ac:dyDescent="0.3">
      <c r="B804" s="23"/>
      <c r="E804" s="23"/>
      <c r="H804" s="23"/>
    </row>
    <row r="805" spans="2:8" ht="15.75" customHeight="1" x14ac:dyDescent="0.3">
      <c r="B805" s="23"/>
      <c r="E805" s="23"/>
      <c r="H805" s="23"/>
    </row>
    <row r="806" spans="2:8" ht="15.75" customHeight="1" x14ac:dyDescent="0.3">
      <c r="B806" s="23"/>
      <c r="E806" s="23"/>
      <c r="H806" s="23"/>
    </row>
    <row r="807" spans="2:8" ht="15.75" customHeight="1" x14ac:dyDescent="0.3">
      <c r="B807" s="23"/>
      <c r="E807" s="23"/>
      <c r="H807" s="23"/>
    </row>
    <row r="808" spans="2:8" ht="15.75" customHeight="1" x14ac:dyDescent="0.3">
      <c r="B808" s="23"/>
      <c r="E808" s="23"/>
      <c r="H808" s="23"/>
    </row>
    <row r="809" spans="2:8" ht="15.75" customHeight="1" x14ac:dyDescent="0.3">
      <c r="B809" s="23"/>
      <c r="E809" s="23"/>
      <c r="H809" s="23"/>
    </row>
    <row r="810" spans="2:8" ht="15.75" customHeight="1" x14ac:dyDescent="0.3">
      <c r="B810" s="23"/>
      <c r="E810" s="23"/>
      <c r="H810" s="23"/>
    </row>
    <row r="811" spans="2:8" ht="15.75" customHeight="1" x14ac:dyDescent="0.3">
      <c r="B811" s="23"/>
      <c r="E811" s="23"/>
      <c r="H811" s="23"/>
    </row>
    <row r="812" spans="2:8" ht="15.75" customHeight="1" x14ac:dyDescent="0.3">
      <c r="B812" s="23"/>
      <c r="E812" s="23"/>
      <c r="H812" s="23"/>
    </row>
    <row r="813" spans="2:8" ht="15.75" customHeight="1" x14ac:dyDescent="0.3">
      <c r="B813" s="23"/>
      <c r="E813" s="23"/>
      <c r="H813" s="23"/>
    </row>
    <row r="814" spans="2:8" ht="15.75" customHeight="1" x14ac:dyDescent="0.3">
      <c r="B814" s="23"/>
      <c r="E814" s="23"/>
      <c r="H814" s="23"/>
    </row>
    <row r="815" spans="2:8" ht="15.75" customHeight="1" x14ac:dyDescent="0.3">
      <c r="B815" s="23"/>
      <c r="E815" s="23"/>
      <c r="H815" s="23"/>
    </row>
    <row r="816" spans="2:8" ht="15.75" customHeight="1" x14ac:dyDescent="0.3">
      <c r="B816" s="23"/>
      <c r="E816" s="23"/>
      <c r="H816" s="23"/>
    </row>
    <row r="817" spans="2:8" ht="15.75" customHeight="1" x14ac:dyDescent="0.3">
      <c r="B817" s="23"/>
      <c r="E817" s="23"/>
      <c r="H817" s="23"/>
    </row>
    <row r="818" spans="2:8" ht="15.75" customHeight="1" x14ac:dyDescent="0.3">
      <c r="B818" s="23"/>
      <c r="E818" s="23"/>
      <c r="H818" s="23"/>
    </row>
    <row r="819" spans="2:8" ht="15.75" customHeight="1" x14ac:dyDescent="0.3">
      <c r="B819" s="23"/>
      <c r="E819" s="23"/>
      <c r="H819" s="23"/>
    </row>
    <row r="820" spans="2:8" ht="15.75" customHeight="1" x14ac:dyDescent="0.3">
      <c r="B820" s="23"/>
      <c r="E820" s="23"/>
      <c r="H820" s="23"/>
    </row>
    <row r="821" spans="2:8" ht="15.75" customHeight="1" x14ac:dyDescent="0.3">
      <c r="B821" s="23"/>
      <c r="E821" s="23"/>
      <c r="H821" s="23"/>
    </row>
    <row r="822" spans="2:8" ht="15.75" customHeight="1" x14ac:dyDescent="0.3">
      <c r="B822" s="23"/>
      <c r="E822" s="23"/>
      <c r="H822" s="23"/>
    </row>
    <row r="823" spans="2:8" ht="15.75" customHeight="1" x14ac:dyDescent="0.3">
      <c r="B823" s="23"/>
      <c r="E823" s="23"/>
      <c r="H823" s="23"/>
    </row>
    <row r="824" spans="2:8" ht="15.75" customHeight="1" x14ac:dyDescent="0.3">
      <c r="B824" s="23"/>
      <c r="E824" s="23"/>
      <c r="H824" s="23"/>
    </row>
    <row r="825" spans="2:8" ht="15.75" customHeight="1" x14ac:dyDescent="0.3">
      <c r="B825" s="23"/>
      <c r="E825" s="23"/>
      <c r="H825" s="23"/>
    </row>
    <row r="826" spans="2:8" ht="15.75" customHeight="1" x14ac:dyDescent="0.3">
      <c r="B826" s="23"/>
      <c r="E826" s="23"/>
      <c r="H826" s="23"/>
    </row>
    <row r="827" spans="2:8" ht="15.75" customHeight="1" x14ac:dyDescent="0.3">
      <c r="B827" s="23"/>
      <c r="E827" s="23"/>
      <c r="H827" s="23"/>
    </row>
    <row r="828" spans="2:8" ht="15.75" customHeight="1" x14ac:dyDescent="0.3">
      <c r="B828" s="23"/>
      <c r="E828" s="23"/>
      <c r="H828" s="23"/>
    </row>
    <row r="829" spans="2:8" ht="15.75" customHeight="1" x14ac:dyDescent="0.3">
      <c r="B829" s="23"/>
      <c r="E829" s="23"/>
      <c r="H829" s="23"/>
    </row>
    <row r="830" spans="2:8" ht="15.75" customHeight="1" x14ac:dyDescent="0.3">
      <c r="B830" s="23"/>
      <c r="E830" s="23"/>
      <c r="H830" s="23"/>
    </row>
    <row r="831" spans="2:8" ht="15.75" customHeight="1" x14ac:dyDescent="0.3">
      <c r="B831" s="23"/>
      <c r="E831" s="23"/>
      <c r="H831" s="23"/>
    </row>
    <row r="832" spans="2:8" ht="15.75" customHeight="1" x14ac:dyDescent="0.3">
      <c r="B832" s="23"/>
      <c r="E832" s="23"/>
      <c r="H832" s="23"/>
    </row>
    <row r="833" spans="2:8" ht="15.75" customHeight="1" x14ac:dyDescent="0.3">
      <c r="B833" s="23"/>
      <c r="E833" s="23"/>
      <c r="H833" s="23"/>
    </row>
    <row r="834" spans="2:8" ht="15.75" customHeight="1" x14ac:dyDescent="0.3">
      <c r="B834" s="23"/>
      <c r="E834" s="23"/>
      <c r="H834" s="23"/>
    </row>
    <row r="835" spans="2:8" ht="15.75" customHeight="1" x14ac:dyDescent="0.3">
      <c r="B835" s="23"/>
      <c r="E835" s="23"/>
      <c r="H835" s="23"/>
    </row>
    <row r="836" spans="2:8" ht="15.75" customHeight="1" x14ac:dyDescent="0.3">
      <c r="B836" s="23"/>
      <c r="E836" s="23"/>
      <c r="H836" s="23"/>
    </row>
    <row r="837" spans="2:8" ht="15.75" customHeight="1" x14ac:dyDescent="0.3">
      <c r="B837" s="23"/>
      <c r="E837" s="23"/>
      <c r="H837" s="23"/>
    </row>
    <row r="838" spans="2:8" ht="15.75" customHeight="1" x14ac:dyDescent="0.3">
      <c r="B838" s="23"/>
      <c r="E838" s="23"/>
      <c r="H838" s="23"/>
    </row>
    <row r="839" spans="2:8" ht="15.75" customHeight="1" x14ac:dyDescent="0.3">
      <c r="B839" s="23"/>
      <c r="E839" s="23"/>
      <c r="H839" s="23"/>
    </row>
    <row r="840" spans="2:8" ht="15.75" customHeight="1" x14ac:dyDescent="0.3">
      <c r="B840" s="23"/>
      <c r="E840" s="23"/>
      <c r="H840" s="23"/>
    </row>
    <row r="841" spans="2:8" ht="15.75" customHeight="1" x14ac:dyDescent="0.3">
      <c r="B841" s="23"/>
      <c r="E841" s="23"/>
      <c r="H841" s="23"/>
    </row>
    <row r="842" spans="2:8" ht="15.75" customHeight="1" x14ac:dyDescent="0.3">
      <c r="B842" s="23"/>
      <c r="E842" s="23"/>
      <c r="H842" s="23"/>
    </row>
    <row r="843" spans="2:8" ht="15.75" customHeight="1" x14ac:dyDescent="0.3">
      <c r="B843" s="23"/>
      <c r="E843" s="23"/>
      <c r="H843" s="23"/>
    </row>
    <row r="844" spans="2:8" ht="15.75" customHeight="1" x14ac:dyDescent="0.3">
      <c r="B844" s="23"/>
      <c r="E844" s="23"/>
      <c r="H844" s="23"/>
    </row>
    <row r="845" spans="2:8" ht="15.75" customHeight="1" x14ac:dyDescent="0.3">
      <c r="B845" s="23"/>
      <c r="E845" s="23"/>
      <c r="H845" s="23"/>
    </row>
    <row r="846" spans="2:8" ht="15.75" customHeight="1" x14ac:dyDescent="0.3">
      <c r="B846" s="23"/>
      <c r="E846" s="23"/>
      <c r="H846" s="23"/>
    </row>
    <row r="847" spans="2:8" ht="15.75" customHeight="1" x14ac:dyDescent="0.3">
      <c r="B847" s="23"/>
      <c r="E847" s="23"/>
      <c r="H847" s="23"/>
    </row>
    <row r="848" spans="2:8" ht="15.75" customHeight="1" x14ac:dyDescent="0.3">
      <c r="B848" s="23"/>
      <c r="E848" s="23"/>
      <c r="H848" s="23"/>
    </row>
    <row r="849" spans="2:8" ht="15.75" customHeight="1" x14ac:dyDescent="0.3">
      <c r="B849" s="23"/>
      <c r="E849" s="23"/>
      <c r="H849" s="23"/>
    </row>
    <row r="850" spans="2:8" ht="15.75" customHeight="1" x14ac:dyDescent="0.3">
      <c r="B850" s="23"/>
      <c r="E850" s="23"/>
      <c r="H850" s="23"/>
    </row>
    <row r="851" spans="2:8" ht="15.75" customHeight="1" x14ac:dyDescent="0.3">
      <c r="B851" s="23"/>
      <c r="E851" s="23"/>
      <c r="H851" s="23"/>
    </row>
    <row r="852" spans="2:8" ht="15.75" customHeight="1" x14ac:dyDescent="0.3">
      <c r="B852" s="23"/>
      <c r="E852" s="23"/>
      <c r="H852" s="23"/>
    </row>
    <row r="853" spans="2:8" ht="15.75" customHeight="1" x14ac:dyDescent="0.3">
      <c r="B853" s="23"/>
      <c r="E853" s="23"/>
      <c r="H853" s="23"/>
    </row>
    <row r="854" spans="2:8" ht="15.75" customHeight="1" x14ac:dyDescent="0.3">
      <c r="B854" s="23"/>
      <c r="E854" s="23"/>
      <c r="H854" s="23"/>
    </row>
    <row r="855" spans="2:8" ht="15.75" customHeight="1" x14ac:dyDescent="0.3">
      <c r="B855" s="23"/>
      <c r="E855" s="23"/>
      <c r="H855" s="23"/>
    </row>
    <row r="856" spans="2:8" ht="15.75" customHeight="1" x14ac:dyDescent="0.3">
      <c r="B856" s="23"/>
      <c r="E856" s="23"/>
      <c r="H856" s="23"/>
    </row>
    <row r="857" spans="2:8" ht="15.75" customHeight="1" x14ac:dyDescent="0.3">
      <c r="B857" s="23"/>
      <c r="E857" s="23"/>
      <c r="H857" s="23"/>
    </row>
    <row r="858" spans="2:8" ht="15.75" customHeight="1" x14ac:dyDescent="0.3">
      <c r="B858" s="23"/>
      <c r="E858" s="23"/>
      <c r="H858" s="23"/>
    </row>
    <row r="859" spans="2:8" ht="15.75" customHeight="1" x14ac:dyDescent="0.3">
      <c r="B859" s="23"/>
      <c r="E859" s="23"/>
      <c r="H859" s="23"/>
    </row>
    <row r="860" spans="2:8" ht="15.75" customHeight="1" x14ac:dyDescent="0.3">
      <c r="B860" s="23"/>
      <c r="E860" s="23"/>
      <c r="H860" s="23"/>
    </row>
    <row r="861" spans="2:8" ht="15.75" customHeight="1" x14ac:dyDescent="0.3">
      <c r="B861" s="23"/>
      <c r="E861" s="23"/>
      <c r="H861" s="23"/>
    </row>
    <row r="862" spans="2:8" ht="15.75" customHeight="1" x14ac:dyDescent="0.3">
      <c r="B862" s="23"/>
      <c r="E862" s="23"/>
      <c r="H862" s="23"/>
    </row>
    <row r="863" spans="2:8" ht="15.75" customHeight="1" x14ac:dyDescent="0.3">
      <c r="B863" s="23"/>
      <c r="E863" s="23"/>
      <c r="H863" s="23"/>
    </row>
    <row r="864" spans="2:8" ht="15.75" customHeight="1" x14ac:dyDescent="0.3">
      <c r="B864" s="23"/>
      <c r="E864" s="23"/>
      <c r="H864" s="23"/>
    </row>
    <row r="865" spans="2:8" ht="15.75" customHeight="1" x14ac:dyDescent="0.3">
      <c r="B865" s="23"/>
      <c r="E865" s="23"/>
      <c r="H865" s="23"/>
    </row>
    <row r="866" spans="2:8" ht="15.75" customHeight="1" x14ac:dyDescent="0.3">
      <c r="B866" s="23"/>
      <c r="E866" s="23"/>
      <c r="H866" s="23"/>
    </row>
    <row r="867" spans="2:8" ht="15.75" customHeight="1" x14ac:dyDescent="0.3">
      <c r="B867" s="23"/>
      <c r="E867" s="23"/>
      <c r="H867" s="23"/>
    </row>
    <row r="868" spans="2:8" ht="15.75" customHeight="1" x14ac:dyDescent="0.3">
      <c r="B868" s="23"/>
      <c r="E868" s="23"/>
      <c r="H868" s="23"/>
    </row>
    <row r="869" spans="2:8" ht="15.75" customHeight="1" x14ac:dyDescent="0.3">
      <c r="B869" s="23"/>
      <c r="E869" s="23"/>
      <c r="H869" s="23"/>
    </row>
    <row r="870" spans="2:8" ht="15.75" customHeight="1" x14ac:dyDescent="0.3">
      <c r="B870" s="23"/>
      <c r="E870" s="23"/>
      <c r="H870" s="23"/>
    </row>
    <row r="871" spans="2:8" ht="15.75" customHeight="1" x14ac:dyDescent="0.3">
      <c r="B871" s="23"/>
      <c r="E871" s="23"/>
      <c r="H871" s="23"/>
    </row>
    <row r="872" spans="2:8" ht="15.75" customHeight="1" x14ac:dyDescent="0.3">
      <c r="B872" s="23"/>
      <c r="E872" s="23"/>
      <c r="H872" s="23"/>
    </row>
    <row r="873" spans="2:8" ht="15.75" customHeight="1" x14ac:dyDescent="0.3">
      <c r="B873" s="23"/>
      <c r="E873" s="23"/>
      <c r="H873" s="23"/>
    </row>
    <row r="874" spans="2:8" ht="15.75" customHeight="1" x14ac:dyDescent="0.3">
      <c r="B874" s="23"/>
      <c r="E874" s="23"/>
      <c r="H874" s="23"/>
    </row>
    <row r="875" spans="2:8" ht="15.75" customHeight="1" x14ac:dyDescent="0.3">
      <c r="B875" s="23"/>
      <c r="E875" s="23"/>
      <c r="H875" s="23"/>
    </row>
    <row r="876" spans="2:8" ht="15.75" customHeight="1" x14ac:dyDescent="0.3">
      <c r="B876" s="23"/>
      <c r="E876" s="23"/>
      <c r="H876" s="23"/>
    </row>
    <row r="877" spans="2:8" ht="15.75" customHeight="1" x14ac:dyDescent="0.3">
      <c r="B877" s="23"/>
      <c r="E877" s="23"/>
      <c r="H877" s="23"/>
    </row>
    <row r="878" spans="2:8" ht="15.75" customHeight="1" x14ac:dyDescent="0.3">
      <c r="B878" s="23"/>
      <c r="E878" s="23"/>
      <c r="H878" s="23"/>
    </row>
    <row r="879" spans="2:8" ht="15.75" customHeight="1" x14ac:dyDescent="0.3">
      <c r="B879" s="23"/>
      <c r="E879" s="23"/>
      <c r="H879" s="23"/>
    </row>
    <row r="880" spans="2:8" ht="15.75" customHeight="1" x14ac:dyDescent="0.3">
      <c r="B880" s="23"/>
      <c r="E880" s="23"/>
      <c r="H880" s="23"/>
    </row>
    <row r="881" spans="2:8" ht="15.75" customHeight="1" x14ac:dyDescent="0.3">
      <c r="B881" s="23"/>
      <c r="E881" s="23"/>
      <c r="H881" s="23"/>
    </row>
    <row r="882" spans="2:8" ht="15.75" customHeight="1" x14ac:dyDescent="0.3">
      <c r="B882" s="23"/>
      <c r="E882" s="23"/>
      <c r="H882" s="23"/>
    </row>
    <row r="883" spans="2:8" ht="15.75" customHeight="1" x14ac:dyDescent="0.3">
      <c r="B883" s="23"/>
      <c r="E883" s="23"/>
      <c r="H883" s="23"/>
    </row>
    <row r="884" spans="2:8" ht="15.75" customHeight="1" x14ac:dyDescent="0.3">
      <c r="B884" s="23"/>
      <c r="E884" s="23"/>
      <c r="H884" s="23"/>
    </row>
    <row r="885" spans="2:8" ht="15.75" customHeight="1" x14ac:dyDescent="0.3">
      <c r="B885" s="23"/>
      <c r="E885" s="23"/>
      <c r="H885" s="23"/>
    </row>
    <row r="886" spans="2:8" ht="15.75" customHeight="1" x14ac:dyDescent="0.3">
      <c r="B886" s="23"/>
      <c r="E886" s="23"/>
      <c r="H886" s="23"/>
    </row>
    <row r="887" spans="2:8" ht="15.75" customHeight="1" x14ac:dyDescent="0.3">
      <c r="B887" s="23"/>
      <c r="E887" s="23"/>
      <c r="H887" s="23"/>
    </row>
    <row r="888" spans="2:8" ht="15.75" customHeight="1" x14ac:dyDescent="0.3">
      <c r="B888" s="23"/>
      <c r="E888" s="23"/>
      <c r="H888" s="23"/>
    </row>
    <row r="889" spans="2:8" ht="15.75" customHeight="1" x14ac:dyDescent="0.3">
      <c r="B889" s="23"/>
      <c r="E889" s="23"/>
      <c r="H889" s="23"/>
    </row>
    <row r="890" spans="2:8" ht="15.75" customHeight="1" x14ac:dyDescent="0.3">
      <c r="B890" s="23"/>
      <c r="E890" s="23"/>
      <c r="H890" s="23"/>
    </row>
    <row r="891" spans="2:8" ht="15.75" customHeight="1" x14ac:dyDescent="0.3">
      <c r="B891" s="23"/>
      <c r="E891" s="23"/>
      <c r="H891" s="23"/>
    </row>
    <row r="892" spans="2:8" ht="15.75" customHeight="1" x14ac:dyDescent="0.3">
      <c r="B892" s="23"/>
      <c r="E892" s="23"/>
      <c r="H892" s="23"/>
    </row>
    <row r="893" spans="2:8" ht="15.75" customHeight="1" x14ac:dyDescent="0.3">
      <c r="B893" s="23"/>
      <c r="E893" s="23"/>
      <c r="H893" s="23"/>
    </row>
    <row r="894" spans="2:8" ht="15.75" customHeight="1" x14ac:dyDescent="0.3">
      <c r="B894" s="23"/>
      <c r="E894" s="23"/>
      <c r="H894" s="23"/>
    </row>
    <row r="895" spans="2:8" ht="15.75" customHeight="1" x14ac:dyDescent="0.3">
      <c r="B895" s="23"/>
      <c r="E895" s="23"/>
      <c r="H895" s="23"/>
    </row>
    <row r="896" spans="2:8" ht="15.75" customHeight="1" x14ac:dyDescent="0.3">
      <c r="B896" s="23"/>
      <c r="E896" s="23"/>
      <c r="H896" s="23"/>
    </row>
    <row r="897" spans="2:8" ht="15.75" customHeight="1" x14ac:dyDescent="0.3">
      <c r="B897" s="23"/>
      <c r="E897" s="23"/>
      <c r="H897" s="23"/>
    </row>
    <row r="898" spans="2:8" ht="15.75" customHeight="1" x14ac:dyDescent="0.3">
      <c r="B898" s="23"/>
      <c r="E898" s="23"/>
      <c r="H898" s="23"/>
    </row>
    <row r="899" spans="2:8" ht="15.75" customHeight="1" x14ac:dyDescent="0.3">
      <c r="B899" s="23"/>
      <c r="E899" s="23"/>
      <c r="H899" s="23"/>
    </row>
    <row r="900" spans="2:8" ht="15.75" customHeight="1" x14ac:dyDescent="0.3">
      <c r="B900" s="23"/>
      <c r="E900" s="23"/>
      <c r="H900" s="23"/>
    </row>
    <row r="901" spans="2:8" ht="15.75" customHeight="1" x14ac:dyDescent="0.3">
      <c r="B901" s="23"/>
      <c r="E901" s="23"/>
      <c r="H901" s="23"/>
    </row>
    <row r="902" spans="2:8" ht="15.75" customHeight="1" x14ac:dyDescent="0.3">
      <c r="B902" s="23"/>
      <c r="E902" s="23"/>
      <c r="H902" s="23"/>
    </row>
    <row r="903" spans="2:8" ht="15.75" customHeight="1" x14ac:dyDescent="0.3">
      <c r="B903" s="23"/>
      <c r="E903" s="23"/>
      <c r="H903" s="23"/>
    </row>
    <row r="904" spans="2:8" ht="15.75" customHeight="1" x14ac:dyDescent="0.3">
      <c r="B904" s="23"/>
      <c r="E904" s="23"/>
      <c r="H904" s="23"/>
    </row>
    <row r="905" spans="2:8" ht="15.75" customHeight="1" x14ac:dyDescent="0.3">
      <c r="B905" s="23"/>
      <c r="E905" s="23"/>
      <c r="H905" s="23"/>
    </row>
    <row r="906" spans="2:8" ht="15.75" customHeight="1" x14ac:dyDescent="0.3">
      <c r="B906" s="23"/>
      <c r="E906" s="23"/>
      <c r="H906" s="23"/>
    </row>
    <row r="907" spans="2:8" ht="15.75" customHeight="1" x14ac:dyDescent="0.3">
      <c r="B907" s="23"/>
      <c r="E907" s="23"/>
      <c r="H907" s="23"/>
    </row>
    <row r="908" spans="2:8" ht="15.75" customHeight="1" x14ac:dyDescent="0.3">
      <c r="B908" s="23"/>
      <c r="E908" s="23"/>
      <c r="H908" s="23"/>
    </row>
    <row r="909" spans="2:8" ht="15.75" customHeight="1" x14ac:dyDescent="0.3">
      <c r="B909" s="23"/>
      <c r="E909" s="23"/>
      <c r="H909" s="23"/>
    </row>
    <row r="910" spans="2:8" ht="15.75" customHeight="1" x14ac:dyDescent="0.3">
      <c r="B910" s="23"/>
      <c r="E910" s="23"/>
      <c r="H910" s="23"/>
    </row>
    <row r="911" spans="2:8" ht="15.75" customHeight="1" x14ac:dyDescent="0.3">
      <c r="B911" s="23"/>
      <c r="E911" s="23"/>
      <c r="H911" s="23"/>
    </row>
    <row r="912" spans="2:8" ht="15.75" customHeight="1" x14ac:dyDescent="0.3">
      <c r="B912" s="23"/>
      <c r="E912" s="23"/>
      <c r="H912" s="23"/>
    </row>
    <row r="913" spans="2:8" ht="15.75" customHeight="1" x14ac:dyDescent="0.3">
      <c r="B913" s="23"/>
      <c r="E913" s="23"/>
      <c r="H913" s="23"/>
    </row>
    <row r="914" spans="2:8" ht="15.75" customHeight="1" x14ac:dyDescent="0.3">
      <c r="B914" s="23"/>
      <c r="E914" s="23"/>
      <c r="H914" s="23"/>
    </row>
    <row r="915" spans="2:8" ht="15.75" customHeight="1" x14ac:dyDescent="0.3">
      <c r="B915" s="23"/>
      <c r="E915" s="23"/>
      <c r="H915" s="23"/>
    </row>
    <row r="916" spans="2:8" ht="15.75" customHeight="1" x14ac:dyDescent="0.3">
      <c r="B916" s="23"/>
      <c r="E916" s="23"/>
      <c r="H916" s="23"/>
    </row>
    <row r="917" spans="2:8" ht="15.75" customHeight="1" x14ac:dyDescent="0.3">
      <c r="B917" s="23"/>
      <c r="E917" s="23"/>
      <c r="H917" s="23"/>
    </row>
    <row r="918" spans="2:8" ht="15.75" customHeight="1" x14ac:dyDescent="0.3">
      <c r="B918" s="23"/>
      <c r="E918" s="23"/>
      <c r="H918" s="23"/>
    </row>
    <row r="919" spans="2:8" ht="15.75" customHeight="1" x14ac:dyDescent="0.3">
      <c r="B919" s="23"/>
      <c r="E919" s="23"/>
      <c r="H919" s="23"/>
    </row>
    <row r="920" spans="2:8" ht="15.75" customHeight="1" x14ac:dyDescent="0.3">
      <c r="B920" s="23"/>
      <c r="E920" s="23"/>
      <c r="H920" s="23"/>
    </row>
    <row r="921" spans="2:8" ht="15.75" customHeight="1" x14ac:dyDescent="0.3">
      <c r="B921" s="23"/>
      <c r="E921" s="23"/>
      <c r="H921" s="23"/>
    </row>
    <row r="922" spans="2:8" ht="15.75" customHeight="1" x14ac:dyDescent="0.3">
      <c r="B922" s="23"/>
      <c r="E922" s="23"/>
      <c r="H922" s="23"/>
    </row>
    <row r="923" spans="2:8" ht="15.75" customHeight="1" x14ac:dyDescent="0.3">
      <c r="B923" s="23"/>
      <c r="E923" s="23"/>
      <c r="H923" s="23"/>
    </row>
    <row r="924" spans="2:8" ht="15.75" customHeight="1" x14ac:dyDescent="0.3">
      <c r="B924" s="23"/>
      <c r="E924" s="23"/>
      <c r="H924" s="23"/>
    </row>
    <row r="925" spans="2:8" ht="15.75" customHeight="1" x14ac:dyDescent="0.3">
      <c r="B925" s="23"/>
      <c r="E925" s="23"/>
      <c r="H925" s="23"/>
    </row>
    <row r="926" spans="2:8" ht="15.75" customHeight="1" x14ac:dyDescent="0.3">
      <c r="B926" s="23"/>
      <c r="E926" s="23"/>
      <c r="H926" s="23"/>
    </row>
    <row r="927" spans="2:8" ht="15.75" customHeight="1" x14ac:dyDescent="0.3">
      <c r="B927" s="23"/>
      <c r="E927" s="23"/>
      <c r="H927" s="23"/>
    </row>
    <row r="928" spans="2:8" ht="15.75" customHeight="1" x14ac:dyDescent="0.3">
      <c r="B928" s="23"/>
      <c r="E928" s="23"/>
      <c r="H928" s="23"/>
    </row>
    <row r="929" spans="2:8" ht="15.75" customHeight="1" x14ac:dyDescent="0.3">
      <c r="B929" s="23"/>
      <c r="E929" s="23"/>
      <c r="H929" s="23"/>
    </row>
    <row r="930" spans="2:8" ht="15.75" customHeight="1" x14ac:dyDescent="0.3">
      <c r="B930" s="23"/>
      <c r="E930" s="23"/>
      <c r="H930" s="23"/>
    </row>
    <row r="931" spans="2:8" ht="15.75" customHeight="1" x14ac:dyDescent="0.3">
      <c r="B931" s="23"/>
      <c r="E931" s="23"/>
      <c r="H931" s="23"/>
    </row>
    <row r="932" spans="2:8" ht="15.75" customHeight="1" x14ac:dyDescent="0.3">
      <c r="B932" s="23"/>
      <c r="E932" s="23"/>
      <c r="H932" s="23"/>
    </row>
    <row r="933" spans="2:8" ht="15.75" customHeight="1" x14ac:dyDescent="0.3">
      <c r="B933" s="23"/>
      <c r="E933" s="23"/>
      <c r="H933" s="23"/>
    </row>
    <row r="934" spans="2:8" ht="15.75" customHeight="1" x14ac:dyDescent="0.3">
      <c r="B934" s="23"/>
      <c r="E934" s="23"/>
      <c r="H934" s="23"/>
    </row>
    <row r="935" spans="2:8" ht="15.75" customHeight="1" x14ac:dyDescent="0.3">
      <c r="B935" s="23"/>
      <c r="E935" s="23"/>
      <c r="H935" s="23"/>
    </row>
    <row r="936" spans="2:8" ht="15.75" customHeight="1" x14ac:dyDescent="0.3">
      <c r="B936" s="23"/>
      <c r="E936" s="23"/>
      <c r="H936" s="23"/>
    </row>
    <row r="937" spans="2:8" ht="15.75" customHeight="1" x14ac:dyDescent="0.3">
      <c r="B937" s="23"/>
      <c r="E937" s="23"/>
      <c r="H937" s="23"/>
    </row>
    <row r="938" spans="2:8" ht="15.75" customHeight="1" x14ac:dyDescent="0.3">
      <c r="B938" s="23"/>
      <c r="E938" s="23"/>
      <c r="H938" s="23"/>
    </row>
    <row r="939" spans="2:8" ht="15.75" customHeight="1" x14ac:dyDescent="0.3">
      <c r="B939" s="23"/>
      <c r="E939" s="23"/>
      <c r="H939" s="23"/>
    </row>
    <row r="940" spans="2:8" ht="15.75" customHeight="1" x14ac:dyDescent="0.3">
      <c r="B940" s="23"/>
      <c r="E940" s="23"/>
      <c r="H940" s="23"/>
    </row>
    <row r="941" spans="2:8" ht="15.75" customHeight="1" x14ac:dyDescent="0.3">
      <c r="B941" s="23"/>
      <c r="E941" s="23"/>
      <c r="H941" s="23"/>
    </row>
    <row r="942" spans="2:8" ht="15.75" customHeight="1" x14ac:dyDescent="0.3">
      <c r="B942" s="23"/>
      <c r="E942" s="23"/>
      <c r="H942" s="23"/>
    </row>
    <row r="943" spans="2:8" ht="15.75" customHeight="1" x14ac:dyDescent="0.3">
      <c r="B943" s="23"/>
      <c r="E943" s="23"/>
      <c r="H943" s="23"/>
    </row>
    <row r="944" spans="2:8" ht="15.75" customHeight="1" x14ac:dyDescent="0.3">
      <c r="B944" s="23"/>
      <c r="E944" s="23"/>
      <c r="H944" s="23"/>
    </row>
    <row r="945" spans="2:8" ht="15.75" customHeight="1" x14ac:dyDescent="0.3">
      <c r="B945" s="23"/>
      <c r="E945" s="23"/>
      <c r="H945" s="23"/>
    </row>
    <row r="946" spans="2:8" ht="15.75" customHeight="1" x14ac:dyDescent="0.3">
      <c r="B946" s="23"/>
      <c r="E946" s="23"/>
      <c r="H946" s="23"/>
    </row>
    <row r="947" spans="2:8" ht="15.75" customHeight="1" x14ac:dyDescent="0.3">
      <c r="B947" s="23"/>
      <c r="E947" s="23"/>
      <c r="H947" s="23"/>
    </row>
    <row r="948" spans="2:8" ht="15.75" customHeight="1" x14ac:dyDescent="0.3">
      <c r="B948" s="23"/>
      <c r="E948" s="23"/>
      <c r="H948" s="23"/>
    </row>
    <row r="949" spans="2:8" ht="15.75" customHeight="1" x14ac:dyDescent="0.3">
      <c r="B949" s="23"/>
      <c r="E949" s="23"/>
      <c r="H949" s="23"/>
    </row>
    <row r="950" spans="2:8" ht="15.75" customHeight="1" x14ac:dyDescent="0.3">
      <c r="B950" s="23"/>
      <c r="E950" s="23"/>
      <c r="H950" s="23"/>
    </row>
    <row r="951" spans="2:8" ht="15.75" customHeight="1" x14ac:dyDescent="0.3">
      <c r="B951" s="23"/>
      <c r="E951" s="23"/>
      <c r="H951" s="23"/>
    </row>
    <row r="952" spans="2:8" ht="15.75" customHeight="1" x14ac:dyDescent="0.3">
      <c r="B952" s="23"/>
      <c r="E952" s="23"/>
      <c r="H952" s="23"/>
    </row>
    <row r="953" spans="2:8" ht="15.75" customHeight="1" x14ac:dyDescent="0.3">
      <c r="B953" s="23"/>
      <c r="E953" s="23"/>
      <c r="H953" s="23"/>
    </row>
    <row r="954" spans="2:8" ht="15.75" customHeight="1" x14ac:dyDescent="0.3">
      <c r="B954" s="23"/>
      <c r="E954" s="23"/>
      <c r="H954" s="23"/>
    </row>
    <row r="955" spans="2:8" ht="15.75" customHeight="1" x14ac:dyDescent="0.3">
      <c r="B955" s="23"/>
      <c r="E955" s="23"/>
      <c r="H955" s="23"/>
    </row>
    <row r="956" spans="2:8" ht="15.75" customHeight="1" x14ac:dyDescent="0.3">
      <c r="B956" s="23"/>
      <c r="E956" s="23"/>
      <c r="H956" s="23"/>
    </row>
    <row r="957" spans="2:8" ht="15.75" customHeight="1" x14ac:dyDescent="0.3">
      <c r="B957" s="23"/>
      <c r="E957" s="23"/>
      <c r="H957" s="23"/>
    </row>
    <row r="958" spans="2:8" ht="15.75" customHeight="1" x14ac:dyDescent="0.3">
      <c r="B958" s="23"/>
      <c r="E958" s="23"/>
      <c r="H958" s="23"/>
    </row>
    <row r="959" spans="2:8" ht="15.75" customHeight="1" x14ac:dyDescent="0.3">
      <c r="B959" s="23"/>
      <c r="E959" s="23"/>
      <c r="H959" s="23"/>
    </row>
    <row r="960" spans="2:8" ht="15.75" customHeight="1" x14ac:dyDescent="0.3">
      <c r="B960" s="23"/>
      <c r="E960" s="23"/>
      <c r="H960" s="23"/>
    </row>
    <row r="961" spans="2:8" ht="15.75" customHeight="1" x14ac:dyDescent="0.3">
      <c r="B961" s="23"/>
      <c r="E961" s="23"/>
      <c r="H961" s="23"/>
    </row>
    <row r="962" spans="2:8" ht="15.75" customHeight="1" x14ac:dyDescent="0.3">
      <c r="B962" s="23"/>
      <c r="E962" s="23"/>
      <c r="H962" s="23"/>
    </row>
    <row r="963" spans="2:8" ht="15.75" customHeight="1" x14ac:dyDescent="0.3">
      <c r="B963" s="23"/>
      <c r="E963" s="23"/>
      <c r="H963" s="23"/>
    </row>
    <row r="964" spans="2:8" ht="15.75" customHeight="1" x14ac:dyDescent="0.3">
      <c r="B964" s="23"/>
      <c r="E964" s="23"/>
      <c r="H964" s="23"/>
    </row>
    <row r="965" spans="2:8" ht="15.75" customHeight="1" x14ac:dyDescent="0.3">
      <c r="B965" s="23"/>
      <c r="E965" s="23"/>
      <c r="H965" s="23"/>
    </row>
    <row r="966" spans="2:8" ht="15.75" customHeight="1" x14ac:dyDescent="0.3">
      <c r="B966" s="23"/>
      <c r="E966" s="23"/>
      <c r="H966" s="23"/>
    </row>
    <row r="967" spans="2:8" ht="15.75" customHeight="1" x14ac:dyDescent="0.3">
      <c r="B967" s="23"/>
      <c r="E967" s="23"/>
      <c r="H967" s="23"/>
    </row>
    <row r="968" spans="2:8" ht="15.75" customHeight="1" x14ac:dyDescent="0.3">
      <c r="B968" s="23"/>
      <c r="E968" s="23"/>
      <c r="H968" s="23"/>
    </row>
    <row r="969" spans="2:8" ht="15.75" customHeight="1" x14ac:dyDescent="0.3">
      <c r="B969" s="23"/>
      <c r="E969" s="23"/>
      <c r="H969" s="23"/>
    </row>
    <row r="970" spans="2:8" ht="15.75" customHeight="1" x14ac:dyDescent="0.3">
      <c r="B970" s="23"/>
      <c r="E970" s="23"/>
      <c r="H970" s="23"/>
    </row>
    <row r="971" spans="2:8" ht="15.75" customHeight="1" x14ac:dyDescent="0.3">
      <c r="B971" s="23"/>
      <c r="E971" s="23"/>
      <c r="H971" s="23"/>
    </row>
    <row r="972" spans="2:8" ht="15.75" customHeight="1" x14ac:dyDescent="0.3">
      <c r="B972" s="23"/>
      <c r="E972" s="23"/>
      <c r="H972" s="23"/>
    </row>
    <row r="973" spans="2:8" ht="15.75" customHeight="1" x14ac:dyDescent="0.3">
      <c r="B973" s="23"/>
      <c r="E973" s="23"/>
      <c r="H973" s="23"/>
    </row>
    <row r="974" spans="2:8" ht="15.75" customHeight="1" x14ac:dyDescent="0.3">
      <c r="B974" s="23"/>
      <c r="E974" s="23"/>
      <c r="H974" s="23"/>
    </row>
    <row r="975" spans="2:8" ht="15.75" customHeight="1" x14ac:dyDescent="0.3">
      <c r="B975" s="23"/>
      <c r="E975" s="23"/>
      <c r="H975" s="23"/>
    </row>
    <row r="976" spans="2:8" ht="15.75" customHeight="1" x14ac:dyDescent="0.3">
      <c r="B976" s="23"/>
      <c r="E976" s="23"/>
      <c r="H976" s="23"/>
    </row>
    <row r="977" spans="2:8" ht="15.75" customHeight="1" x14ac:dyDescent="0.3">
      <c r="B977" s="23"/>
      <c r="E977" s="23"/>
      <c r="H977" s="23"/>
    </row>
    <row r="978" spans="2:8" ht="15.75" customHeight="1" x14ac:dyDescent="0.3">
      <c r="B978" s="23"/>
      <c r="E978" s="23"/>
      <c r="H978" s="23"/>
    </row>
    <row r="979" spans="2:8" ht="15.75" customHeight="1" x14ac:dyDescent="0.3">
      <c r="B979" s="23"/>
      <c r="E979" s="23"/>
      <c r="H979" s="23"/>
    </row>
    <row r="980" spans="2:8" ht="15.75" customHeight="1" x14ac:dyDescent="0.3">
      <c r="B980" s="23"/>
      <c r="E980" s="23"/>
      <c r="H980" s="23"/>
    </row>
    <row r="981" spans="2:8" ht="15.75" customHeight="1" x14ac:dyDescent="0.3">
      <c r="B981" s="23"/>
      <c r="E981" s="23"/>
      <c r="H981" s="23"/>
    </row>
    <row r="982" spans="2:8" ht="15.75" customHeight="1" x14ac:dyDescent="0.3">
      <c r="B982" s="23"/>
      <c r="E982" s="23"/>
      <c r="H982" s="23"/>
    </row>
    <row r="983" spans="2:8" ht="15.75" customHeight="1" x14ac:dyDescent="0.3">
      <c r="B983" s="23"/>
      <c r="E983" s="23"/>
      <c r="H983" s="23"/>
    </row>
    <row r="984" spans="2:8" ht="15.75" customHeight="1" x14ac:dyDescent="0.3">
      <c r="B984" s="23"/>
      <c r="E984" s="23"/>
      <c r="H984" s="23"/>
    </row>
    <row r="985" spans="2:8" ht="15.75" customHeight="1" x14ac:dyDescent="0.3">
      <c r="B985" s="23"/>
      <c r="E985" s="23"/>
      <c r="H985" s="23"/>
    </row>
    <row r="986" spans="2:8" ht="15.75" customHeight="1" x14ac:dyDescent="0.3">
      <c r="B986" s="23"/>
      <c r="E986" s="23"/>
      <c r="H986" s="23"/>
    </row>
    <row r="987" spans="2:8" ht="15.75" customHeight="1" x14ac:dyDescent="0.3">
      <c r="B987" s="23"/>
      <c r="E987" s="23"/>
      <c r="H987" s="23"/>
    </row>
    <row r="988" spans="2:8" ht="15.75" customHeight="1" x14ac:dyDescent="0.3">
      <c r="B988" s="23"/>
      <c r="E988" s="23"/>
      <c r="H988" s="23"/>
    </row>
    <row r="989" spans="2:8" ht="15.75" customHeight="1" x14ac:dyDescent="0.3">
      <c r="B989" s="23"/>
      <c r="E989" s="23"/>
      <c r="H989" s="23"/>
    </row>
    <row r="990" spans="2:8" ht="15.75" customHeight="1" x14ac:dyDescent="0.3">
      <c r="B990" s="23"/>
      <c r="E990" s="23"/>
      <c r="H990" s="23"/>
    </row>
    <row r="991" spans="2:8" ht="15.75" customHeight="1" x14ac:dyDescent="0.3">
      <c r="B991" s="23"/>
      <c r="E991" s="23"/>
      <c r="H991" s="23"/>
    </row>
    <row r="992" spans="2:8" ht="15.75" customHeight="1" x14ac:dyDescent="0.3">
      <c r="B992" s="23"/>
      <c r="E992" s="23"/>
      <c r="H992" s="23"/>
    </row>
    <row r="993" spans="2:8" ht="15.75" customHeight="1" x14ac:dyDescent="0.3">
      <c r="B993" s="23"/>
      <c r="E993" s="23"/>
      <c r="H993" s="23"/>
    </row>
    <row r="994" spans="2:8" ht="15.75" customHeight="1" x14ac:dyDescent="0.3">
      <c r="B994" s="23"/>
      <c r="E994" s="23"/>
      <c r="H994" s="23"/>
    </row>
    <row r="995" spans="2:8" ht="15.75" customHeight="1" x14ac:dyDescent="0.3">
      <c r="B995" s="23"/>
      <c r="E995" s="23"/>
      <c r="H995" s="23"/>
    </row>
    <row r="996" spans="2:8" ht="15.75" customHeight="1" x14ac:dyDescent="0.3">
      <c r="B996" s="23"/>
      <c r="E996" s="23"/>
      <c r="H996" s="23"/>
    </row>
    <row r="997" spans="2:8" ht="15.75" customHeight="1" x14ac:dyDescent="0.3">
      <c r="B997" s="23"/>
      <c r="E997" s="23"/>
      <c r="H997" s="23"/>
    </row>
    <row r="998" spans="2:8" ht="15.75" customHeight="1" x14ac:dyDescent="0.3">
      <c r="B998" s="23"/>
      <c r="E998" s="23"/>
      <c r="H998" s="23"/>
    </row>
    <row r="999" spans="2:8" ht="15.75" customHeight="1" x14ac:dyDescent="0.3">
      <c r="B999" s="23"/>
      <c r="E999" s="23"/>
      <c r="H999" s="23"/>
    </row>
    <row r="1000" spans="2:8" ht="15.75" customHeight="1" x14ac:dyDescent="0.3">
      <c r="B1000" s="23"/>
      <c r="E1000" s="23"/>
      <c r="H1000" s="23"/>
    </row>
    <row r="1001" spans="2:8" ht="15.75" customHeight="1" x14ac:dyDescent="0.3">
      <c r="B1001" s="23"/>
      <c r="E1001" s="23"/>
      <c r="H1001" s="23"/>
    </row>
    <row r="1002" spans="2:8" ht="15.75" customHeight="1" x14ac:dyDescent="0.3">
      <c r="B1002" s="23"/>
      <c r="E1002" s="23"/>
      <c r="H1002" s="2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0507-3CFC-4BBF-A585-A60F738B49E3}">
  <dimension ref="A3:M67"/>
  <sheetViews>
    <sheetView zoomScaleNormal="100" workbookViewId="0">
      <selection activeCell="A14" sqref="A14"/>
    </sheetView>
  </sheetViews>
  <sheetFormatPr defaultRowHeight="14.5" x14ac:dyDescent="0.35"/>
  <cols>
    <col min="1" max="1" width="19.453125" customWidth="1"/>
    <col min="2" max="2" width="16.81640625" bestFit="1" customWidth="1"/>
    <col min="3" max="3" width="26.1796875" bestFit="1" customWidth="1"/>
    <col min="4" max="4" width="16.81640625" bestFit="1" customWidth="1"/>
    <col min="5" max="5" width="13.1796875" bestFit="1" customWidth="1"/>
    <col min="6" max="6" width="17.7265625" bestFit="1" customWidth="1"/>
    <col min="7" max="7" width="17.453125" bestFit="1" customWidth="1"/>
    <col min="8" max="8" width="15.453125" bestFit="1" customWidth="1"/>
    <col min="9" max="9" width="15.453125" customWidth="1"/>
    <col min="10" max="10" width="10" bestFit="1" customWidth="1"/>
    <col min="11" max="11" width="10.54296875" bestFit="1" customWidth="1"/>
  </cols>
  <sheetData>
    <row r="3" spans="1:9" x14ac:dyDescent="0.35">
      <c r="A3" s="122" t="s">
        <v>3865</v>
      </c>
      <c r="B3" s="123"/>
      <c r="C3" s="123"/>
      <c r="D3" s="124" t="s">
        <v>3870</v>
      </c>
      <c r="E3" s="123"/>
      <c r="F3" s="123"/>
      <c r="G3" s="125"/>
    </row>
    <row r="4" spans="1:9" x14ac:dyDescent="0.35">
      <c r="A4" s="126" t="s">
        <v>4000</v>
      </c>
      <c r="B4" s="127">
        <v>852731900</v>
      </c>
      <c r="C4" s="146" t="s">
        <v>4023</v>
      </c>
      <c r="D4" s="127" t="s">
        <v>4001</v>
      </c>
      <c r="F4" s="101" t="s">
        <v>4002</v>
      </c>
      <c r="G4" s="128">
        <v>46272</v>
      </c>
    </row>
    <row r="5" spans="1:9" x14ac:dyDescent="0.35">
      <c r="A5" s="126" t="s">
        <v>3841</v>
      </c>
      <c r="B5" s="127">
        <v>18000000</v>
      </c>
      <c r="C5" s="127" t="s">
        <v>4022</v>
      </c>
      <c r="D5" s="127" t="s">
        <v>3843</v>
      </c>
      <c r="G5" s="129"/>
    </row>
    <row r="6" spans="1:9" x14ac:dyDescent="0.35">
      <c r="A6" s="130"/>
      <c r="B6" s="131">
        <f>SUM(B4:B5)</f>
        <v>870731900</v>
      </c>
      <c r="C6" s="127"/>
      <c r="D6" s="127"/>
      <c r="G6" s="129"/>
    </row>
    <row r="7" spans="1:9" x14ac:dyDescent="0.35">
      <c r="A7" s="130"/>
      <c r="B7" s="127"/>
      <c r="C7" s="127"/>
      <c r="D7" s="127"/>
      <c r="G7" s="129"/>
      <c r="H7">
        <v>48994.6564</v>
      </c>
    </row>
    <row r="8" spans="1:9" x14ac:dyDescent="0.35">
      <c r="A8" s="132" t="s">
        <v>4003</v>
      </c>
      <c r="B8" s="127"/>
      <c r="G8" s="129"/>
    </row>
    <row r="9" spans="1:9" x14ac:dyDescent="0.35">
      <c r="A9" s="133" t="s">
        <v>4004</v>
      </c>
      <c r="B9" s="127">
        <v>18000000</v>
      </c>
      <c r="C9" s="127" t="s">
        <v>4022</v>
      </c>
      <c r="G9" s="129"/>
    </row>
    <row r="10" spans="1:9" x14ac:dyDescent="0.35">
      <c r="A10" s="132" t="s">
        <v>3869</v>
      </c>
      <c r="B10" s="131">
        <f>SUM(B9:B9)</f>
        <v>18000000</v>
      </c>
      <c r="G10" s="129"/>
    </row>
    <row r="11" spans="1:9" x14ac:dyDescent="0.35">
      <c r="A11" s="130"/>
      <c r="B11" s="127"/>
      <c r="C11" s="127"/>
      <c r="D11" s="127"/>
      <c r="G11" s="129"/>
    </row>
    <row r="12" spans="1:9" x14ac:dyDescent="0.35">
      <c r="A12" s="130"/>
      <c r="B12" s="127"/>
      <c r="C12" s="127"/>
      <c r="D12" s="127"/>
      <c r="G12" s="134">
        <f>+B6-G17</f>
        <v>0</v>
      </c>
    </row>
    <row r="13" spans="1:9" x14ac:dyDescent="0.35">
      <c r="A13" s="135" t="s">
        <v>2165</v>
      </c>
      <c r="B13" s="131" t="s">
        <v>3835</v>
      </c>
      <c r="C13" s="131" t="s">
        <v>4006</v>
      </c>
      <c r="D13" s="131" t="s">
        <v>3869</v>
      </c>
      <c r="E13" s="131" t="s">
        <v>4007</v>
      </c>
      <c r="F13" s="131" t="s">
        <v>4008</v>
      </c>
      <c r="G13" s="136" t="s">
        <v>4009</v>
      </c>
    </row>
    <row r="14" spans="1:9" x14ac:dyDescent="0.35">
      <c r="A14" s="130" t="s">
        <v>12</v>
      </c>
      <c r="B14" s="127">
        <v>8450.5</v>
      </c>
      <c r="C14" s="127">
        <v>47000</v>
      </c>
      <c r="D14" s="127">
        <f t="shared" ref="D14:D16" si="0">+B14*C14</f>
        <v>397173500</v>
      </c>
      <c r="E14" s="6">
        <f>+$B$10/$B$17</f>
        <v>994.65648433139745</v>
      </c>
      <c r="F14" s="137">
        <f t="shared" ref="F14:F16" si="1">+C14+E14</f>
        <v>47994.656484331397</v>
      </c>
      <c r="G14" s="134">
        <f t="shared" ref="G14:G16" si="2">+B14*F14</f>
        <v>405578844.62084246</v>
      </c>
      <c r="H14" t="s">
        <v>4020</v>
      </c>
      <c r="I14" t="s">
        <v>3806</v>
      </c>
    </row>
    <row r="15" spans="1:9" x14ac:dyDescent="0.35">
      <c r="A15" s="130" t="s">
        <v>12</v>
      </c>
      <c r="B15" s="127">
        <v>7459.2</v>
      </c>
      <c r="C15" s="127">
        <v>47000</v>
      </c>
      <c r="D15" s="127">
        <f t="shared" si="0"/>
        <v>350582400</v>
      </c>
      <c r="E15" s="6">
        <f>+$B$10/$B$17</f>
        <v>994.65648433139745</v>
      </c>
      <c r="F15" s="137">
        <f t="shared" si="1"/>
        <v>47994.656484331397</v>
      </c>
      <c r="G15" s="134">
        <f t="shared" si="2"/>
        <v>358001741.64792472</v>
      </c>
      <c r="H15" t="s">
        <v>4021</v>
      </c>
      <c r="I15" t="s">
        <v>3806</v>
      </c>
    </row>
    <row r="16" spans="1:9" x14ac:dyDescent="0.35">
      <c r="A16" s="130" t="s">
        <v>8</v>
      </c>
      <c r="B16" s="127">
        <v>2187</v>
      </c>
      <c r="C16" s="127">
        <v>48000</v>
      </c>
      <c r="D16" s="127">
        <f t="shared" si="0"/>
        <v>104976000</v>
      </c>
      <c r="E16" s="6">
        <f>+$B$10/$B$17</f>
        <v>994.65648433139745</v>
      </c>
      <c r="F16" s="137">
        <f t="shared" si="1"/>
        <v>48994.656484331397</v>
      </c>
      <c r="G16" s="134">
        <f t="shared" si="2"/>
        <v>107151313.73123276</v>
      </c>
      <c r="H16" t="s">
        <v>4021</v>
      </c>
      <c r="I16" t="s">
        <v>3802</v>
      </c>
    </row>
    <row r="17" spans="1:11" x14ac:dyDescent="0.35">
      <c r="A17" s="138" t="s">
        <v>3869</v>
      </c>
      <c r="B17" s="139">
        <f>SUM(B14:B16)</f>
        <v>18096.7</v>
      </c>
      <c r="C17" s="139"/>
      <c r="D17" s="139">
        <f>SUM(D14:D16)</f>
        <v>852731900</v>
      </c>
      <c r="E17" s="140"/>
      <c r="F17" s="140"/>
      <c r="G17" s="141">
        <f>SUM(G14:G16)</f>
        <v>870731899.99999988</v>
      </c>
    </row>
    <row r="18" spans="1:11" x14ac:dyDescent="0.35">
      <c r="B18" s="117"/>
      <c r="C18" s="117"/>
      <c r="D18" s="117"/>
    </row>
    <row r="20" spans="1:11" x14ac:dyDescent="0.35">
      <c r="A20" s="122" t="s">
        <v>3865</v>
      </c>
      <c r="B20" s="123"/>
      <c r="C20" s="123"/>
      <c r="D20" s="124" t="s">
        <v>3870</v>
      </c>
      <c r="E20" s="123"/>
      <c r="F20" s="123"/>
      <c r="G20" s="125"/>
    </row>
    <row r="21" spans="1:11" x14ac:dyDescent="0.35">
      <c r="A21" s="126" t="s">
        <v>4000</v>
      </c>
      <c r="B21" s="127">
        <v>189000000</v>
      </c>
      <c r="C21" s="127" t="s">
        <v>4010</v>
      </c>
      <c r="D21" s="127" t="s">
        <v>4001</v>
      </c>
      <c r="F21" s="101" t="s">
        <v>4002</v>
      </c>
      <c r="G21" s="128">
        <v>46259</v>
      </c>
    </row>
    <row r="22" spans="1:11" x14ac:dyDescent="0.35">
      <c r="A22" s="126" t="s">
        <v>3841</v>
      </c>
      <c r="B22" s="127">
        <v>11000000</v>
      </c>
      <c r="C22" s="127"/>
      <c r="D22" s="127" t="s">
        <v>3843</v>
      </c>
      <c r="G22" s="129"/>
    </row>
    <row r="23" spans="1:11" x14ac:dyDescent="0.35">
      <c r="A23" s="130"/>
      <c r="B23" s="131">
        <f>SUM(B21:B22)</f>
        <v>200000000</v>
      </c>
      <c r="C23" s="127"/>
      <c r="D23" s="127"/>
      <c r="G23" s="129"/>
    </row>
    <row r="24" spans="1:11" x14ac:dyDescent="0.35">
      <c r="A24" s="130"/>
      <c r="B24" s="127"/>
      <c r="C24" s="127"/>
      <c r="D24" s="127"/>
      <c r="G24" s="129"/>
    </row>
    <row r="25" spans="1:11" x14ac:dyDescent="0.35">
      <c r="A25" s="132" t="s">
        <v>4003</v>
      </c>
      <c r="B25" s="127"/>
      <c r="G25" s="129"/>
    </row>
    <row r="26" spans="1:11" x14ac:dyDescent="0.35">
      <c r="A26" s="133" t="s">
        <v>4011</v>
      </c>
      <c r="B26" s="127">
        <v>11000000</v>
      </c>
      <c r="C26" t="s">
        <v>4012</v>
      </c>
      <c r="G26" s="129"/>
    </row>
    <row r="27" spans="1:11" x14ac:dyDescent="0.35">
      <c r="A27" s="132" t="s">
        <v>3869</v>
      </c>
      <c r="B27" s="131">
        <f>SUM(B26:B26)</f>
        <v>11000000</v>
      </c>
      <c r="G27" s="129"/>
    </row>
    <row r="28" spans="1:11" x14ac:dyDescent="0.35">
      <c r="A28" s="130"/>
      <c r="B28" s="127"/>
      <c r="C28" s="127"/>
      <c r="D28" s="127"/>
      <c r="G28" s="129"/>
    </row>
    <row r="29" spans="1:11" x14ac:dyDescent="0.35">
      <c r="A29" s="130"/>
      <c r="B29" s="127"/>
      <c r="C29" s="127"/>
      <c r="D29" s="127"/>
      <c r="G29" s="134">
        <f>+B23-G32</f>
        <v>-7.8999996185302734E-2</v>
      </c>
    </row>
    <row r="30" spans="1:11" x14ac:dyDescent="0.35">
      <c r="A30" s="135" t="s">
        <v>2165</v>
      </c>
      <c r="B30" s="131" t="s">
        <v>3835</v>
      </c>
      <c r="C30" s="131" t="s">
        <v>4006</v>
      </c>
      <c r="D30" s="131" t="s">
        <v>3869</v>
      </c>
      <c r="E30" s="131" t="s">
        <v>4007</v>
      </c>
      <c r="F30" s="131" t="s">
        <v>4008</v>
      </c>
      <c r="G30" s="136" t="s">
        <v>4009</v>
      </c>
    </row>
    <row r="31" spans="1:11" x14ac:dyDescent="0.35">
      <c r="A31" s="130" t="s">
        <v>2179</v>
      </c>
      <c r="B31" s="127">
        <v>6985</v>
      </c>
      <c r="C31" s="127">
        <v>27057.981400000001</v>
      </c>
      <c r="D31" s="127">
        <f>+B31*C31</f>
        <v>189000000.079</v>
      </c>
      <c r="E31" s="6">
        <f>+B27/B32</f>
        <v>1574.8031496062993</v>
      </c>
      <c r="F31" s="137">
        <f>+C31+E31</f>
        <v>28632.784549606298</v>
      </c>
      <c r="G31" s="134">
        <f>+B31*F31</f>
        <v>200000000.079</v>
      </c>
      <c r="K31" s="142">
        <v>27057.981388690048</v>
      </c>
    </row>
    <row r="32" spans="1:11" x14ac:dyDescent="0.35">
      <c r="A32" s="138" t="s">
        <v>3869</v>
      </c>
      <c r="B32" s="139">
        <f>SUM(B31:B31)</f>
        <v>6985</v>
      </c>
      <c r="C32" s="139"/>
      <c r="D32" s="139">
        <f>SUM(D31:D31)</f>
        <v>189000000.079</v>
      </c>
      <c r="E32" s="140"/>
      <c r="F32" s="140"/>
      <c r="G32" s="141">
        <f>SUM(G31:G31)</f>
        <v>200000000.079</v>
      </c>
    </row>
    <row r="35" spans="1:7" x14ac:dyDescent="0.35">
      <c r="A35" s="122" t="s">
        <v>3865</v>
      </c>
      <c r="B35" s="123"/>
      <c r="C35" s="123"/>
      <c r="D35" s="124" t="s">
        <v>3870</v>
      </c>
      <c r="E35" s="123"/>
      <c r="F35" s="123"/>
      <c r="G35" s="125"/>
    </row>
    <row r="36" spans="1:7" x14ac:dyDescent="0.35">
      <c r="A36" s="126" t="s">
        <v>4000</v>
      </c>
      <c r="B36" s="127">
        <v>275317200</v>
      </c>
      <c r="C36" s="127" t="s">
        <v>4013</v>
      </c>
      <c r="D36" s="127" t="s">
        <v>4001</v>
      </c>
      <c r="F36" s="101" t="s">
        <v>4002</v>
      </c>
      <c r="G36" s="128">
        <v>46255</v>
      </c>
    </row>
    <row r="37" spans="1:7" x14ac:dyDescent="0.35">
      <c r="A37" s="126" t="s">
        <v>3841</v>
      </c>
      <c r="B37" s="127">
        <v>11000000</v>
      </c>
      <c r="C37" s="127"/>
      <c r="D37" s="127" t="s">
        <v>3843</v>
      </c>
      <c r="G37" s="129"/>
    </row>
    <row r="38" spans="1:7" x14ac:dyDescent="0.35">
      <c r="A38" s="130"/>
      <c r="B38" s="131">
        <f>SUM(B36:B37)</f>
        <v>286317200</v>
      </c>
      <c r="C38" s="127"/>
      <c r="D38" s="127"/>
      <c r="G38" s="129"/>
    </row>
    <row r="39" spans="1:7" x14ac:dyDescent="0.35">
      <c r="A39" s="130"/>
      <c r="B39" s="127"/>
      <c r="C39" s="127"/>
      <c r="D39" s="127"/>
      <c r="G39" s="129"/>
    </row>
    <row r="40" spans="1:7" x14ac:dyDescent="0.35">
      <c r="A40" s="132" t="s">
        <v>4003</v>
      </c>
      <c r="B40" s="127"/>
      <c r="G40" s="129"/>
    </row>
    <row r="41" spans="1:7" x14ac:dyDescent="0.35">
      <c r="A41" s="133" t="s">
        <v>4011</v>
      </c>
      <c r="B41" s="127">
        <v>11000000</v>
      </c>
      <c r="C41" t="s">
        <v>4014</v>
      </c>
      <c r="G41" s="129"/>
    </row>
    <row r="42" spans="1:7" x14ac:dyDescent="0.35">
      <c r="A42" s="132" t="s">
        <v>3869</v>
      </c>
      <c r="B42" s="131">
        <f>SUM(B41:B41)</f>
        <v>11000000</v>
      </c>
      <c r="G42" s="129"/>
    </row>
    <row r="43" spans="1:7" x14ac:dyDescent="0.35">
      <c r="A43" s="130"/>
      <c r="B43" s="127"/>
      <c r="C43" s="127"/>
      <c r="D43" s="127"/>
      <c r="G43" s="129"/>
    </row>
    <row r="44" spans="1:7" x14ac:dyDescent="0.35">
      <c r="A44" s="130"/>
      <c r="B44" s="127"/>
      <c r="C44" s="127"/>
      <c r="D44" s="127"/>
      <c r="G44" s="134">
        <f>+B38-G48</f>
        <v>0</v>
      </c>
    </row>
    <row r="45" spans="1:7" x14ac:dyDescent="0.35">
      <c r="A45" s="135" t="s">
        <v>2165</v>
      </c>
      <c r="B45" s="131" t="s">
        <v>3835</v>
      </c>
      <c r="C45" s="131" t="s">
        <v>4006</v>
      </c>
      <c r="D45" s="131" t="s">
        <v>3869</v>
      </c>
      <c r="E45" s="131" t="s">
        <v>4007</v>
      </c>
      <c r="F45" s="131" t="s">
        <v>4008</v>
      </c>
      <c r="G45" s="136" t="s">
        <v>4009</v>
      </c>
    </row>
    <row r="46" spans="1:7" x14ac:dyDescent="0.35">
      <c r="A46" s="130" t="s">
        <v>12</v>
      </c>
      <c r="B46" s="127">
        <v>4001.7</v>
      </c>
      <c r="C46" s="127">
        <v>48000</v>
      </c>
      <c r="D46" s="127">
        <f>+B46*C46</f>
        <v>192081600</v>
      </c>
      <c r="E46" s="6">
        <f>+B42/B48</f>
        <v>1577.1966047258547</v>
      </c>
      <c r="F46" s="137">
        <f>+C46+E46</f>
        <v>49577.196604725854</v>
      </c>
      <c r="G46" s="143">
        <f>+B46*F46</f>
        <v>198393067.65313143</v>
      </c>
    </row>
    <row r="47" spans="1:7" x14ac:dyDescent="0.35">
      <c r="A47" s="130" t="s">
        <v>4015</v>
      </c>
      <c r="B47" s="127">
        <v>2972.7</v>
      </c>
      <c r="C47" s="127">
        <v>28000</v>
      </c>
      <c r="D47" s="127">
        <f>+B47*C47</f>
        <v>83235600</v>
      </c>
      <c r="E47" s="6">
        <f>+B42/B48</f>
        <v>1577.1966047258547</v>
      </c>
      <c r="F47" s="137">
        <f>+C47+E47</f>
        <v>29577.196604725854</v>
      </c>
      <c r="G47" s="143">
        <f>+B47*F47</f>
        <v>87924132.346868545</v>
      </c>
    </row>
    <row r="48" spans="1:7" x14ac:dyDescent="0.35">
      <c r="A48" s="138" t="s">
        <v>3869</v>
      </c>
      <c r="B48" s="139">
        <f>SUM(B46:B47)</f>
        <v>6974.4</v>
      </c>
      <c r="C48" s="139"/>
      <c r="D48" s="139">
        <f>SUM(D46:D47)</f>
        <v>275317200</v>
      </c>
      <c r="E48" s="140"/>
      <c r="F48" s="140"/>
      <c r="G48" s="141">
        <f>SUM(G46:G47)</f>
        <v>286317200</v>
      </c>
    </row>
    <row r="51" spans="1:13" x14ac:dyDescent="0.35">
      <c r="A51" s="122" t="s">
        <v>3865</v>
      </c>
      <c r="B51" s="123"/>
      <c r="C51" s="123"/>
      <c r="D51" s="124" t="s">
        <v>3870</v>
      </c>
      <c r="E51" s="123"/>
      <c r="F51" s="123"/>
      <c r="G51" s="125"/>
    </row>
    <row r="52" spans="1:13" x14ac:dyDescent="0.35">
      <c r="A52" s="126" t="s">
        <v>4000</v>
      </c>
      <c r="B52" s="127">
        <v>590191800</v>
      </c>
      <c r="C52" t="s">
        <v>4016</v>
      </c>
      <c r="D52" s="127" t="s">
        <v>4001</v>
      </c>
      <c r="F52" s="101" t="s">
        <v>4002</v>
      </c>
      <c r="G52" s="128">
        <v>46247</v>
      </c>
    </row>
    <row r="53" spans="1:13" x14ac:dyDescent="0.35">
      <c r="A53" s="126" t="s">
        <v>3841</v>
      </c>
      <c r="B53" s="127">
        <v>29000000</v>
      </c>
      <c r="C53" s="127"/>
      <c r="D53" s="127" t="s">
        <v>3843</v>
      </c>
      <c r="G53" s="129"/>
    </row>
    <row r="54" spans="1:13" x14ac:dyDescent="0.35">
      <c r="A54" s="130"/>
      <c r="B54" s="131">
        <f>SUM(B52:B53)</f>
        <v>619191800</v>
      </c>
      <c r="C54" s="127"/>
      <c r="D54" s="127"/>
      <c r="G54" s="129"/>
    </row>
    <row r="55" spans="1:13" x14ac:dyDescent="0.35">
      <c r="A55" s="130"/>
      <c r="B55" s="127"/>
      <c r="C55" s="127"/>
      <c r="D55" s="127"/>
      <c r="G55" s="129"/>
    </row>
    <row r="56" spans="1:13" x14ac:dyDescent="0.35">
      <c r="A56" s="132" t="s">
        <v>4003</v>
      </c>
      <c r="B56" s="127"/>
      <c r="G56" s="129"/>
    </row>
    <row r="57" spans="1:13" x14ac:dyDescent="0.35">
      <c r="A57" s="133" t="s">
        <v>4004</v>
      </c>
      <c r="B57" s="127">
        <v>18000000</v>
      </c>
      <c r="C57" t="s">
        <v>4017</v>
      </c>
      <c r="G57" s="129"/>
    </row>
    <row r="58" spans="1:13" x14ac:dyDescent="0.35">
      <c r="A58" s="133" t="s">
        <v>4005</v>
      </c>
      <c r="B58" s="127">
        <v>11000000</v>
      </c>
      <c r="C58" t="s">
        <v>4017</v>
      </c>
      <c r="G58" s="129"/>
    </row>
    <row r="59" spans="1:13" x14ac:dyDescent="0.35">
      <c r="A59" s="132" t="s">
        <v>3869</v>
      </c>
      <c r="B59" s="131">
        <f>SUM(B57:B58)</f>
        <v>29000000</v>
      </c>
      <c r="G59" s="129"/>
    </row>
    <row r="60" spans="1:13" x14ac:dyDescent="0.35">
      <c r="A60" s="130"/>
      <c r="B60" s="127"/>
      <c r="C60" s="127"/>
      <c r="D60" s="127"/>
      <c r="G60" s="129"/>
    </row>
    <row r="61" spans="1:13" x14ac:dyDescent="0.35">
      <c r="A61" s="130"/>
      <c r="B61" s="127"/>
      <c r="C61" s="127"/>
      <c r="D61" s="127"/>
      <c r="G61" s="134">
        <f>+B54-G67</f>
        <v>0</v>
      </c>
      <c r="M61">
        <f>12024.53+11408.71+7635.88</f>
        <v>31069.119999999999</v>
      </c>
    </row>
    <row r="62" spans="1:13" x14ac:dyDescent="0.35">
      <c r="A62" s="135" t="s">
        <v>2165</v>
      </c>
      <c r="B62" s="131" t="s">
        <v>3835</v>
      </c>
      <c r="C62" s="131" t="s">
        <v>4006</v>
      </c>
      <c r="D62" s="131" t="s">
        <v>3869</v>
      </c>
      <c r="E62" s="131" t="s">
        <v>4007</v>
      </c>
      <c r="F62" s="131" t="s">
        <v>4008</v>
      </c>
      <c r="G62" s="136" t="s">
        <v>4009</v>
      </c>
    </row>
    <row r="63" spans="1:13" x14ac:dyDescent="0.35">
      <c r="A63" s="130" t="s">
        <v>8</v>
      </c>
      <c r="B63" s="127">
        <v>3002.7</v>
      </c>
      <c r="C63" s="127">
        <v>38000</v>
      </c>
      <c r="D63" s="127">
        <f>+B63*C63</f>
        <v>114102600</v>
      </c>
      <c r="E63" s="144">
        <f>+$B$59/$B$67</f>
        <v>1168.6950914806157</v>
      </c>
      <c r="F63" s="144">
        <f>+C63+E63</f>
        <v>39168.695091480615</v>
      </c>
      <c r="G63" s="145">
        <f>+B63*F63</f>
        <v>117611840.75118883</v>
      </c>
    </row>
    <row r="64" spans="1:13" x14ac:dyDescent="0.35">
      <c r="A64" s="130" t="s">
        <v>4018</v>
      </c>
      <c r="B64" s="127">
        <v>624.1</v>
      </c>
      <c r="C64" s="127">
        <v>37000</v>
      </c>
      <c r="D64" s="127">
        <f>+B64*C64</f>
        <v>23091700</v>
      </c>
      <c r="E64" s="144">
        <f t="shared" ref="E64:E66" si="3">+$B$59/$B$67</f>
        <v>1168.6950914806157</v>
      </c>
      <c r="F64" s="144">
        <f>+C64+E64</f>
        <v>38168.695091480615</v>
      </c>
      <c r="G64" s="145">
        <f>+B64*F64</f>
        <v>23821082.606593054</v>
      </c>
    </row>
    <row r="65" spans="1:7" x14ac:dyDescent="0.35">
      <c r="A65" s="130" t="s">
        <v>4019</v>
      </c>
      <c r="B65" s="127">
        <v>6263</v>
      </c>
      <c r="C65" s="127">
        <v>48500</v>
      </c>
      <c r="D65" s="127">
        <f t="shared" ref="D65:D66" si="4">+B65*C65</f>
        <v>303755500</v>
      </c>
      <c r="E65" s="144">
        <f t="shared" si="3"/>
        <v>1168.6950914806157</v>
      </c>
      <c r="F65" s="144">
        <f t="shared" ref="F65:F66" si="5">+C65+E65</f>
        <v>49668.695091480615</v>
      </c>
      <c r="G65" s="145">
        <f t="shared" ref="G65:G66" si="6">+B65*F65</f>
        <v>311075037.35794312</v>
      </c>
    </row>
    <row r="66" spans="1:7" x14ac:dyDescent="0.35">
      <c r="A66" s="130" t="s">
        <v>3850</v>
      </c>
      <c r="B66" s="127">
        <v>14924.2</v>
      </c>
      <c r="C66" s="127">
        <v>10000</v>
      </c>
      <c r="D66" s="127">
        <f t="shared" si="4"/>
        <v>149242000</v>
      </c>
      <c r="E66" s="144">
        <f t="shared" si="3"/>
        <v>1168.6950914806157</v>
      </c>
      <c r="F66" s="144">
        <f t="shared" si="5"/>
        <v>11168.695091480615</v>
      </c>
      <c r="G66" s="145">
        <f t="shared" si="6"/>
        <v>166683839.284275</v>
      </c>
    </row>
    <row r="67" spans="1:7" x14ac:dyDescent="0.35">
      <c r="A67" s="138" t="s">
        <v>3869</v>
      </c>
      <c r="B67" s="139">
        <f>SUM(B63:B66)</f>
        <v>24814</v>
      </c>
      <c r="C67" s="139"/>
      <c r="D67" s="139">
        <f>SUM(D63:D66)</f>
        <v>590191800</v>
      </c>
      <c r="E67" s="140"/>
      <c r="F67" s="140"/>
      <c r="G67" s="141">
        <f>SUM(G63:G66)</f>
        <v>619191800</v>
      </c>
    </row>
  </sheetData>
  <pageMargins left="0.7" right="0.7" top="0.75" bottom="0.75" header="0.3" footer="0.3"/>
  <pageSetup scale="6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874D-2F64-42D6-AC71-7DB747B0EC71}">
  <sheetPr>
    <tabColor rgb="FFFF0000"/>
    <pageSetUpPr fitToPage="1"/>
  </sheetPr>
  <dimension ref="A1:R89"/>
  <sheetViews>
    <sheetView zoomScale="80" zoomScaleNormal="80" workbookViewId="0">
      <pane xSplit="3" ySplit="9" topLeftCell="D10" activePane="bottomRight" state="frozen"/>
      <selection pane="topRight" activeCell="D1" sqref="D1"/>
      <selection pane="bottomLeft" activeCell="A6" sqref="A6"/>
      <selection pane="bottomRight" activeCell="K3" sqref="K3"/>
    </sheetView>
  </sheetViews>
  <sheetFormatPr defaultRowHeight="14.5" x14ac:dyDescent="0.35"/>
  <cols>
    <col min="1" max="1" width="19.54296875" bestFit="1" customWidth="1"/>
    <col min="2" max="2" width="16.26953125" style="2" bestFit="1" customWidth="1"/>
    <col min="3" max="3" width="15.1796875" customWidth="1"/>
    <col min="4" max="4" width="2" customWidth="1"/>
    <col min="5" max="5" width="13.1796875" style="2" hidden="1" customWidth="1"/>
    <col min="6" max="6" width="16.26953125" style="2" hidden="1" customWidth="1"/>
    <col min="7" max="7" width="19.81640625" style="2" customWidth="1"/>
    <col min="8" max="8" width="42.453125" style="2" bestFit="1" customWidth="1"/>
    <col min="9" max="9" width="11.26953125" style="2" bestFit="1" customWidth="1"/>
    <col min="10" max="10" width="10" style="2" customWidth="1"/>
    <col min="11" max="11" width="17.81640625" style="2" bestFit="1" customWidth="1"/>
    <col min="12" max="12" width="15.1796875" style="2" customWidth="1"/>
    <col min="13" max="13" width="16.26953125" style="2" bestFit="1" customWidth="1"/>
    <col min="14" max="14" width="17" style="2" bestFit="1" customWidth="1"/>
    <col min="15" max="15" width="17" style="2" customWidth="1"/>
    <col min="16" max="16" width="22.26953125" style="2" bestFit="1" customWidth="1"/>
    <col min="17" max="17" width="30.7265625" bestFit="1" customWidth="1"/>
    <col min="18" max="18" width="13.81640625" bestFit="1" customWidth="1"/>
    <col min="19" max="19" width="7.26953125" bestFit="1" customWidth="1"/>
    <col min="20" max="20" width="3" customWidth="1"/>
    <col min="21" max="21" width="11.7265625" bestFit="1" customWidth="1"/>
    <col min="22" max="22" width="18.1796875" bestFit="1" customWidth="1"/>
    <col min="23" max="23" width="12.453125" bestFit="1" customWidth="1"/>
    <col min="24" max="24" width="11.26953125" bestFit="1" customWidth="1"/>
    <col min="25" max="25" width="8.54296875" bestFit="1" customWidth="1"/>
    <col min="26" max="26" width="18.1796875" bestFit="1" customWidth="1"/>
    <col min="27" max="27" width="16.1796875" bestFit="1" customWidth="1"/>
    <col min="28" max="28" width="18.1796875" bestFit="1" customWidth="1"/>
    <col min="29" max="29" width="14" bestFit="1" customWidth="1"/>
    <col min="30" max="30" width="22.26953125" bestFit="1" customWidth="1"/>
  </cols>
  <sheetData>
    <row r="1" spans="1:18" x14ac:dyDescent="0.35">
      <c r="I1" s="2">
        <f>+I8/E10</f>
        <v>0</v>
      </c>
    </row>
    <row r="2" spans="1:18" x14ac:dyDescent="0.35">
      <c r="A2" t="s">
        <v>3865</v>
      </c>
    </row>
    <row r="3" spans="1:18" x14ac:dyDescent="0.35">
      <c r="A3" s="101" t="s">
        <v>3866</v>
      </c>
      <c r="B3" s="2">
        <v>168700000</v>
      </c>
      <c r="C3" s="19">
        <v>7000</v>
      </c>
      <c r="G3" s="101" t="s">
        <v>3870</v>
      </c>
      <c r="H3" s="2" t="s">
        <v>3871</v>
      </c>
      <c r="I3" s="2">
        <f>+B3/C3</f>
        <v>24100</v>
      </c>
      <c r="K3" s="93" t="s">
        <v>3942</v>
      </c>
      <c r="Q3" s="25"/>
      <c r="R3" s="2"/>
    </row>
    <row r="4" spans="1:18" x14ac:dyDescent="0.35">
      <c r="A4" s="101" t="s">
        <v>3867</v>
      </c>
      <c r="B4" s="2">
        <v>9000000</v>
      </c>
      <c r="G4" s="101" t="s">
        <v>3872</v>
      </c>
      <c r="H4" s="115">
        <v>46242</v>
      </c>
      <c r="K4" s="2" t="s">
        <v>3940</v>
      </c>
    </row>
    <row r="5" spans="1:18" x14ac:dyDescent="0.35">
      <c r="A5" s="101" t="s">
        <v>3868</v>
      </c>
      <c r="B5" s="2">
        <v>10500800</v>
      </c>
      <c r="K5" s="2" t="s">
        <v>3941</v>
      </c>
      <c r="Q5">
        <f>+B3*0.25/100</f>
        <v>421750</v>
      </c>
    </row>
    <row r="6" spans="1:18" x14ac:dyDescent="0.35">
      <c r="A6" s="102" t="s">
        <v>3869</v>
      </c>
      <c r="B6" s="19">
        <f>SUM(B3:B5)</f>
        <v>188200800</v>
      </c>
      <c r="Q6" s="25"/>
    </row>
    <row r="7" spans="1:18" ht="4.5" customHeight="1" x14ac:dyDescent="0.35">
      <c r="A7" s="101"/>
    </row>
    <row r="8" spans="1:18" x14ac:dyDescent="0.35">
      <c r="A8" s="8"/>
      <c r="B8" s="19"/>
      <c r="C8" s="18"/>
      <c r="E8" s="18"/>
      <c r="K8" s="19" t="s">
        <v>3931</v>
      </c>
      <c r="L8" s="28">
        <f>SUM(K11:K65)/M10-1</f>
        <v>-3.3379507419734722E-2</v>
      </c>
    </row>
    <row r="9" spans="1:18" ht="28.5" customHeight="1" x14ac:dyDescent="0.35">
      <c r="A9" s="112" t="s">
        <v>27</v>
      </c>
      <c r="B9" s="119" t="s">
        <v>3938</v>
      </c>
      <c r="C9" s="112" t="s">
        <v>4</v>
      </c>
      <c r="D9" s="1"/>
      <c r="E9" s="113" t="s">
        <v>28</v>
      </c>
      <c r="F9" s="110" t="s">
        <v>6</v>
      </c>
      <c r="G9" s="110" t="s">
        <v>3937</v>
      </c>
      <c r="H9" s="114" t="s">
        <v>3926</v>
      </c>
      <c r="I9" s="110" t="s">
        <v>3835</v>
      </c>
      <c r="J9" s="119" t="s">
        <v>2177</v>
      </c>
      <c r="K9" s="119" t="s">
        <v>3932</v>
      </c>
      <c r="L9" s="119" t="s">
        <v>3935</v>
      </c>
      <c r="M9" s="120" t="s">
        <v>2173</v>
      </c>
      <c r="N9" s="121" t="s">
        <v>3939</v>
      </c>
      <c r="O9" s="121" t="s">
        <v>3936</v>
      </c>
      <c r="P9" s="110" t="s">
        <v>3826</v>
      </c>
    </row>
    <row r="10" spans="1:18" x14ac:dyDescent="0.35">
      <c r="A10" s="4"/>
      <c r="B10" s="24"/>
      <c r="C10" s="4"/>
      <c r="D10" s="1"/>
      <c r="E10" s="5">
        <f>+C3</f>
        <v>7000</v>
      </c>
      <c r="F10" s="5">
        <f>+B6</f>
        <v>188200800</v>
      </c>
      <c r="G10" s="5"/>
      <c r="H10" s="5"/>
      <c r="I10" s="5">
        <f>SUM(I11:I79)</f>
        <v>6093.0999999999985</v>
      </c>
      <c r="J10" s="111">
        <f>SUM(J11:J79)</f>
        <v>0.87044285714285718</v>
      </c>
      <c r="K10" s="5">
        <f>+SUM(K11:K79)</f>
        <v>181918750</v>
      </c>
      <c r="L10" s="5"/>
      <c r="M10" s="5">
        <f>+SUM(M11:M79)</f>
        <v>188200800</v>
      </c>
      <c r="N10" s="5"/>
      <c r="O10" s="5">
        <f>+SUM(O11:O79)</f>
        <v>-6282049.9999999907</v>
      </c>
    </row>
    <row r="11" spans="1:18" x14ac:dyDescent="0.35">
      <c r="A11" t="s">
        <v>3873</v>
      </c>
      <c r="B11" s="2">
        <f>_xlfn.IFNA(_xlfn.XLOOKUP(A11,'Price list'!A:A,'Price list'!B:B),0)</f>
        <v>0</v>
      </c>
      <c r="C11" t="s">
        <v>9</v>
      </c>
      <c r="G11" s="3"/>
      <c r="H11" s="3" t="str">
        <f>IF(G11=0,"",_xlfn.XLOOKUP(G11,List_item!A:A,List_item!B:B))</f>
        <v/>
      </c>
      <c r="I11" s="3">
        <v>0</v>
      </c>
      <c r="J11" s="26">
        <f t="shared" ref="J11:J74" si="0">IF(F11/E$10&gt;0,F11/E$10,I11/E$10)</f>
        <v>0</v>
      </c>
      <c r="K11" s="3">
        <f t="shared" ref="K11:K74" si="1">+B11*(F11+I11)</f>
        <v>0</v>
      </c>
      <c r="L11" s="27">
        <f t="shared" ref="L11:L74" si="2">IFERROR(((K11/SUM($K$11:$K$79))*$F$10)/(F11+I11),0)</f>
        <v>0</v>
      </c>
      <c r="M11" s="3">
        <f t="shared" ref="M11:M74" si="3">+L11*(F11+I11)</f>
        <v>0</v>
      </c>
      <c r="N11" s="3">
        <f t="shared" ref="N11:N74" si="4">IF(L11=0,0,B11-L11)</f>
        <v>0</v>
      </c>
      <c r="O11" s="3">
        <f>+K11-M11</f>
        <v>0</v>
      </c>
    </row>
    <row r="12" spans="1:18" x14ac:dyDescent="0.35">
      <c r="A12" t="s">
        <v>3874</v>
      </c>
      <c r="B12" s="2">
        <f>_xlfn.IFNA(_xlfn.XLOOKUP(A12,'Price list'!A:A,'Price list'!B:B),0)</f>
        <v>0</v>
      </c>
      <c r="C12" t="s">
        <v>9</v>
      </c>
      <c r="G12" s="3"/>
      <c r="H12" s="3" t="str">
        <f>IF(G12=0,"",_xlfn.XLOOKUP(G12,List_item!A:A,List_item!B:B))</f>
        <v/>
      </c>
      <c r="I12" s="3">
        <v>0</v>
      </c>
      <c r="J12" s="26">
        <f t="shared" si="0"/>
        <v>0</v>
      </c>
      <c r="K12" s="3">
        <f t="shared" si="1"/>
        <v>0</v>
      </c>
      <c r="L12" s="27">
        <f t="shared" si="2"/>
        <v>0</v>
      </c>
      <c r="M12" s="3">
        <f t="shared" si="3"/>
        <v>0</v>
      </c>
      <c r="N12" s="3">
        <f t="shared" si="4"/>
        <v>0</v>
      </c>
      <c r="O12" s="3">
        <f t="shared" ref="O12:O75" si="5">+K12-M12</f>
        <v>0</v>
      </c>
      <c r="R12" s="3"/>
    </row>
    <row r="13" spans="1:18" x14ac:dyDescent="0.35">
      <c r="A13" t="s">
        <v>3875</v>
      </c>
      <c r="B13" s="2">
        <f>_xlfn.IFNA(_xlfn.XLOOKUP(A13,'Price list'!A:A,'Price list'!B:B),0)</f>
        <v>36500</v>
      </c>
      <c r="C13" t="s">
        <v>9</v>
      </c>
      <c r="E13" s="3"/>
      <c r="G13" s="3"/>
      <c r="H13" s="3" t="str">
        <f>IF(G13=0,"",_xlfn.XLOOKUP(G13,List_item!A:A,List_item!B:B))</f>
        <v/>
      </c>
      <c r="I13" s="3">
        <v>0</v>
      </c>
      <c r="J13" s="26">
        <f t="shared" si="0"/>
        <v>0</v>
      </c>
      <c r="K13" s="3">
        <f t="shared" si="1"/>
        <v>0</v>
      </c>
      <c r="L13" s="27">
        <f t="shared" si="2"/>
        <v>0</v>
      </c>
      <c r="M13" s="3">
        <f t="shared" si="3"/>
        <v>0</v>
      </c>
      <c r="N13" s="3">
        <f t="shared" si="4"/>
        <v>0</v>
      </c>
      <c r="O13" s="3">
        <f t="shared" si="5"/>
        <v>0</v>
      </c>
    </row>
    <row r="14" spans="1:18" x14ac:dyDescent="0.35">
      <c r="A14" t="s">
        <v>3876</v>
      </c>
      <c r="B14" s="2">
        <f>_xlfn.IFNA(_xlfn.XLOOKUP(A14,'Price list'!A:A,'Price list'!B:B),0)</f>
        <v>36500</v>
      </c>
      <c r="C14" t="s">
        <v>9</v>
      </c>
      <c r="G14" s="3" t="s">
        <v>2220</v>
      </c>
      <c r="H14" s="3" t="str">
        <f>IF(G14=0,"",_xlfn.XLOOKUP(G14,List_item!A:A,List_item!B:B))</f>
        <v>Karkas Uk 0.6 Karkas Uk 0.6 Frozen Premium</v>
      </c>
      <c r="I14" s="3">
        <v>4.5999999999999996</v>
      </c>
      <c r="J14" s="26">
        <f t="shared" si="0"/>
        <v>6.5714285714285712E-4</v>
      </c>
      <c r="K14" s="3">
        <f t="shared" si="1"/>
        <v>167900</v>
      </c>
      <c r="L14" s="27">
        <f t="shared" si="2"/>
        <v>37760.424365272964</v>
      </c>
      <c r="M14" s="3">
        <f t="shared" si="3"/>
        <v>173697.95208025561</v>
      </c>
      <c r="N14" s="3">
        <f t="shared" si="4"/>
        <v>-1260.4243652729638</v>
      </c>
      <c r="O14" s="3">
        <f t="shared" si="5"/>
        <v>-5797.9520802556071</v>
      </c>
    </row>
    <row r="15" spans="1:18" x14ac:dyDescent="0.35">
      <c r="A15" t="s">
        <v>3877</v>
      </c>
      <c r="B15" s="2">
        <f>_xlfn.IFNA(_xlfn.XLOOKUP(A15,'Price list'!A:A,'Price list'!B:B),0)</f>
        <v>36500</v>
      </c>
      <c r="C15" t="s">
        <v>9</v>
      </c>
      <c r="E15"/>
      <c r="F15"/>
      <c r="G15" s="3" t="s">
        <v>2221</v>
      </c>
      <c r="H15" s="3" t="str">
        <f>IF(G15=0,"",_xlfn.XLOOKUP(G15,List_item!A:A,List_item!B:B))</f>
        <v>Karkas Uk 0.7 Karkas Uk 0.7 Frozen Premium</v>
      </c>
      <c r="I15" s="3">
        <v>29.5</v>
      </c>
      <c r="J15" s="26">
        <f t="shared" si="0"/>
        <v>4.2142857142857147E-3</v>
      </c>
      <c r="K15" s="3">
        <f t="shared" si="1"/>
        <v>1076750</v>
      </c>
      <c r="L15" s="27">
        <f t="shared" si="2"/>
        <v>37760.424365272956</v>
      </c>
      <c r="M15" s="3">
        <f t="shared" si="3"/>
        <v>1113932.5187755523</v>
      </c>
      <c r="N15" s="3">
        <f t="shared" si="4"/>
        <v>-1260.4243652729565</v>
      </c>
      <c r="O15" s="3">
        <f t="shared" si="5"/>
        <v>-37182.518775552278</v>
      </c>
      <c r="P15" s="3"/>
    </row>
    <row r="16" spans="1:18" x14ac:dyDescent="0.35">
      <c r="A16" t="s">
        <v>3878</v>
      </c>
      <c r="B16" s="2">
        <f>_xlfn.IFNA(_xlfn.XLOOKUP(A16,'Price list'!A:A,'Price list'!B:B),0)</f>
        <v>36500</v>
      </c>
      <c r="C16" t="s">
        <v>9</v>
      </c>
      <c r="E16" s="3"/>
      <c r="F16"/>
      <c r="G16" s="3" t="s">
        <v>2222</v>
      </c>
      <c r="H16" s="3" t="str">
        <f>IF(G16=0,"",_xlfn.XLOOKUP(G16,List_item!A:A,List_item!B:B))</f>
        <v>Karkas Uk 0.8 Frozen Premium</v>
      </c>
      <c r="I16" s="3">
        <v>130</v>
      </c>
      <c r="J16" s="26">
        <f t="shared" si="0"/>
        <v>1.8571428571428572E-2</v>
      </c>
      <c r="K16" s="3">
        <f t="shared" si="1"/>
        <v>4745000</v>
      </c>
      <c r="L16" s="27">
        <f t="shared" si="2"/>
        <v>37760.424365272964</v>
      </c>
      <c r="M16" s="3">
        <f t="shared" si="3"/>
        <v>4908855.1674854849</v>
      </c>
      <c r="N16" s="3">
        <f t="shared" si="4"/>
        <v>-1260.4243652729638</v>
      </c>
      <c r="O16" s="3">
        <f t="shared" si="5"/>
        <v>-163855.16748548485</v>
      </c>
      <c r="P16" s="3"/>
    </row>
    <row r="17" spans="1:16" x14ac:dyDescent="0.35">
      <c r="A17" s="103" t="s">
        <v>3879</v>
      </c>
      <c r="B17" s="104">
        <f>_xlfn.IFNA(_xlfn.XLOOKUP(A17,'Price list'!A:A,'Price list'!B:B),0)</f>
        <v>36500</v>
      </c>
      <c r="C17" s="103" t="s">
        <v>9</v>
      </c>
      <c r="D17" s="103"/>
      <c r="E17" s="105"/>
      <c r="F17" s="103"/>
      <c r="G17" s="104" t="s">
        <v>826</v>
      </c>
      <c r="H17" s="104" t="str">
        <f>IF(G17=0,"",_xlfn.XLOOKUP(G17,List_item!A:A,List_item!B:B))</f>
        <v>Karkas Uk 0.9 Karkas Uk 0.9 Fresh Premium</v>
      </c>
      <c r="I17" s="104">
        <v>508.3</v>
      </c>
      <c r="J17" s="106">
        <f t="shared" si="0"/>
        <v>7.2614285714285715E-2</v>
      </c>
      <c r="K17" s="104">
        <f t="shared" si="1"/>
        <v>18552950</v>
      </c>
      <c r="L17" s="107">
        <f t="shared" si="2"/>
        <v>37760.424365272956</v>
      </c>
      <c r="M17" s="104">
        <f t="shared" si="3"/>
        <v>19193623.704868246</v>
      </c>
      <c r="N17" s="104">
        <f t="shared" si="4"/>
        <v>-1260.4243652729565</v>
      </c>
      <c r="O17" s="104">
        <f t="shared" si="5"/>
        <v>-640673.70486824587</v>
      </c>
      <c r="P17" s="104"/>
    </row>
    <row r="18" spans="1:16" x14ac:dyDescent="0.35">
      <c r="A18" s="103" t="s">
        <v>3880</v>
      </c>
      <c r="B18" s="104">
        <f>_xlfn.IFNA(_xlfn.XLOOKUP(A18,'Price list'!A:A,'Price list'!B:B),0)</f>
        <v>36500</v>
      </c>
      <c r="C18" s="103" t="s">
        <v>9</v>
      </c>
      <c r="D18" s="103"/>
      <c r="E18" s="104"/>
      <c r="F18" s="104"/>
      <c r="G18" s="104" t="s">
        <v>891</v>
      </c>
      <c r="H18" s="104" t="str">
        <f>IF(G18=0,"",_xlfn.XLOOKUP(G18,List_item!A:A,List_item!B:B))</f>
        <v>Karkas Uk 1.0 Karkas Uk 1.0 Fresh Premium</v>
      </c>
      <c r="I18" s="104">
        <v>1006.6</v>
      </c>
      <c r="J18" s="106">
        <f t="shared" si="0"/>
        <v>0.14380000000000001</v>
      </c>
      <c r="K18" s="104">
        <f t="shared" si="1"/>
        <v>36740900</v>
      </c>
      <c r="L18" s="107">
        <f t="shared" si="2"/>
        <v>37760.424365272956</v>
      </c>
      <c r="M18" s="104">
        <f t="shared" si="3"/>
        <v>38009643.166083761</v>
      </c>
      <c r="N18" s="104">
        <f t="shared" si="4"/>
        <v>-1260.4243652729565</v>
      </c>
      <c r="O18" s="104">
        <f t="shared" si="5"/>
        <v>-1268743.1660837606</v>
      </c>
      <c r="P18" s="104"/>
    </row>
    <row r="19" spans="1:16" x14ac:dyDescent="0.35">
      <c r="A19" s="103" t="s">
        <v>3881</v>
      </c>
      <c r="B19" s="104">
        <f>_xlfn.IFNA(_xlfn.XLOOKUP(A19,'Price list'!A:A,'Price list'!B:B),0)</f>
        <v>36500</v>
      </c>
      <c r="C19" s="103" t="s">
        <v>9</v>
      </c>
      <c r="D19" s="103"/>
      <c r="E19" s="104"/>
      <c r="F19" s="104"/>
      <c r="G19" s="104" t="s">
        <v>957</v>
      </c>
      <c r="H19" s="104" t="str">
        <f>IF(G19=0,"",_xlfn.XLOOKUP(G19,List_item!A:A,List_item!B:B))</f>
        <v>Karkas Uk 1.1 Karkas Uk 1.1 Fresh Premium</v>
      </c>
      <c r="I19" s="104">
        <v>1324</v>
      </c>
      <c r="J19" s="106">
        <f t="shared" si="0"/>
        <v>0.18914285714285714</v>
      </c>
      <c r="K19" s="104">
        <f t="shared" si="1"/>
        <v>48326000</v>
      </c>
      <c r="L19" s="107">
        <f t="shared" si="2"/>
        <v>37760.424365272956</v>
      </c>
      <c r="M19" s="104">
        <f t="shared" si="3"/>
        <v>49994801.859621391</v>
      </c>
      <c r="N19" s="104">
        <f t="shared" si="4"/>
        <v>-1260.4243652729565</v>
      </c>
      <c r="O19" s="104">
        <f t="shared" si="5"/>
        <v>-1668801.8596213907</v>
      </c>
      <c r="P19" s="104"/>
    </row>
    <row r="20" spans="1:16" x14ac:dyDescent="0.35">
      <c r="A20" s="103" t="s">
        <v>3882</v>
      </c>
      <c r="B20" s="104">
        <f>_xlfn.IFNA(_xlfn.XLOOKUP(A20,'Price list'!A:A,'Price list'!B:B),0)</f>
        <v>36500</v>
      </c>
      <c r="C20" s="103" t="s">
        <v>9</v>
      </c>
      <c r="D20" s="103"/>
      <c r="E20" s="104"/>
      <c r="F20" s="104"/>
      <c r="G20" s="104" t="s">
        <v>1023</v>
      </c>
      <c r="H20" s="104" t="str">
        <f>IF(G20=0,"",_xlfn.XLOOKUP(G20,List_item!A:A,List_item!B:B))</f>
        <v>Karkas Uk 1.2 Karkas Uk 1.2 Fresh Premium</v>
      </c>
      <c r="I20" s="104">
        <v>889</v>
      </c>
      <c r="J20" s="106">
        <f t="shared" si="0"/>
        <v>0.127</v>
      </c>
      <c r="K20" s="104">
        <f t="shared" si="1"/>
        <v>32448500</v>
      </c>
      <c r="L20" s="107">
        <f t="shared" si="2"/>
        <v>37760.424365272956</v>
      </c>
      <c r="M20" s="104">
        <f t="shared" si="3"/>
        <v>33569017.260727659</v>
      </c>
      <c r="N20" s="104">
        <f t="shared" si="4"/>
        <v>-1260.4243652729565</v>
      </c>
      <c r="O20" s="104">
        <f t="shared" si="5"/>
        <v>-1120517.2607276589</v>
      </c>
      <c r="P20" s="104"/>
    </row>
    <row r="21" spans="1:16" x14ac:dyDescent="0.35">
      <c r="A21" s="103" t="s">
        <v>3883</v>
      </c>
      <c r="B21" s="104">
        <f>_xlfn.IFNA(_xlfn.XLOOKUP(A21,'Price list'!A:A,'Price list'!B:B),0)</f>
        <v>36500</v>
      </c>
      <c r="C21" s="103" t="s">
        <v>9</v>
      </c>
      <c r="D21" s="103"/>
      <c r="E21" s="104"/>
      <c r="F21" s="104"/>
      <c r="G21" s="104" t="s">
        <v>1089</v>
      </c>
      <c r="H21" s="104" t="str">
        <f>IF(G21=0,"",_xlfn.XLOOKUP(G21,List_item!A:A,List_item!B:B))</f>
        <v>Karkas Uk 1.3 Karkas Uk 1.3 Fresh Premium</v>
      </c>
      <c r="I21" s="104">
        <v>356.9</v>
      </c>
      <c r="J21" s="106">
        <f t="shared" si="0"/>
        <v>5.098571428571428E-2</v>
      </c>
      <c r="K21" s="104">
        <f t="shared" si="1"/>
        <v>13026850</v>
      </c>
      <c r="L21" s="107">
        <f t="shared" si="2"/>
        <v>37760.424365272956</v>
      </c>
      <c r="M21" s="104">
        <f t="shared" si="3"/>
        <v>13476695.455965918</v>
      </c>
      <c r="N21" s="104">
        <f t="shared" si="4"/>
        <v>-1260.4243652729565</v>
      </c>
      <c r="O21" s="104">
        <f t="shared" si="5"/>
        <v>-449845.45596591756</v>
      </c>
      <c r="P21" s="104"/>
    </row>
    <row r="22" spans="1:16" x14ac:dyDescent="0.35">
      <c r="A22" s="103" t="s">
        <v>3884</v>
      </c>
      <c r="B22" s="104">
        <f>_xlfn.IFNA(_xlfn.XLOOKUP(A22,'Price list'!A:A,'Price list'!B:B),0)</f>
        <v>36500</v>
      </c>
      <c r="C22" s="103" t="s">
        <v>9</v>
      </c>
      <c r="D22" s="103"/>
      <c r="E22" s="104"/>
      <c r="F22" s="104"/>
      <c r="G22" s="104" t="s">
        <v>1155</v>
      </c>
      <c r="H22" s="104" t="str">
        <f>IF(G22=0,"",_xlfn.XLOOKUP(G22,List_item!A:A,List_item!B:B))</f>
        <v>Karkas Uk 1.4 Karkas Uk 1.4 Fresh Premium</v>
      </c>
      <c r="I22" s="104">
        <v>24.4</v>
      </c>
      <c r="J22" s="106">
        <f t="shared" si="0"/>
        <v>3.4857142857142856E-3</v>
      </c>
      <c r="K22" s="104">
        <f t="shared" si="1"/>
        <v>890600</v>
      </c>
      <c r="L22" s="107">
        <f t="shared" si="2"/>
        <v>37760.424365272956</v>
      </c>
      <c r="M22" s="104">
        <f t="shared" si="3"/>
        <v>921354.35451266007</v>
      </c>
      <c r="N22" s="104">
        <f t="shared" si="4"/>
        <v>-1260.4243652729565</v>
      </c>
      <c r="O22" s="104">
        <f t="shared" si="5"/>
        <v>-30754.354512660066</v>
      </c>
      <c r="P22" s="104"/>
    </row>
    <row r="23" spans="1:16" x14ac:dyDescent="0.35">
      <c r="A23" t="s">
        <v>3849</v>
      </c>
      <c r="B23" s="2">
        <f>_xlfn.IFNA(_xlfn.XLOOKUP(A23,'Price list'!A:A,'Price list'!B:B),0)</f>
        <v>36500</v>
      </c>
      <c r="C23" t="s">
        <v>9</v>
      </c>
      <c r="E23" s="3"/>
      <c r="G23" s="3"/>
      <c r="H23" s="3" t="str">
        <f>IF(G23=0,"",_xlfn.XLOOKUP(G23,List_item!A:A,List_item!B:B))</f>
        <v/>
      </c>
      <c r="I23" s="3">
        <v>0</v>
      </c>
      <c r="J23" s="26">
        <f t="shared" si="0"/>
        <v>0</v>
      </c>
      <c r="K23" s="3">
        <f t="shared" si="1"/>
        <v>0</v>
      </c>
      <c r="L23" s="27">
        <f t="shared" si="2"/>
        <v>0</v>
      </c>
      <c r="M23" s="3">
        <f t="shared" si="3"/>
        <v>0</v>
      </c>
      <c r="N23" s="3">
        <f t="shared" si="4"/>
        <v>0</v>
      </c>
      <c r="O23" s="3">
        <f t="shared" si="5"/>
        <v>0</v>
      </c>
    </row>
    <row r="24" spans="1:16" x14ac:dyDescent="0.35">
      <c r="A24" t="s">
        <v>3885</v>
      </c>
      <c r="B24" s="2">
        <f>_xlfn.IFNA(_xlfn.XLOOKUP(A24,'Price list'!A:A,'Price list'!B:B),0)</f>
        <v>36500</v>
      </c>
      <c r="C24" t="s">
        <v>9</v>
      </c>
      <c r="E24" s="3"/>
      <c r="G24" s="3"/>
      <c r="H24" s="3" t="str">
        <f>IF(G24=0,"",_xlfn.XLOOKUP(G24,List_item!A:A,List_item!B:B))</f>
        <v/>
      </c>
      <c r="I24" s="3">
        <v>0</v>
      </c>
      <c r="J24" s="26">
        <f t="shared" si="0"/>
        <v>0</v>
      </c>
      <c r="K24" s="3">
        <f t="shared" si="1"/>
        <v>0</v>
      </c>
      <c r="L24" s="27">
        <f t="shared" si="2"/>
        <v>0</v>
      </c>
      <c r="M24" s="3">
        <f t="shared" si="3"/>
        <v>0</v>
      </c>
      <c r="N24" s="3">
        <f t="shared" si="4"/>
        <v>0</v>
      </c>
      <c r="O24" s="3">
        <f t="shared" si="5"/>
        <v>0</v>
      </c>
    </row>
    <row r="25" spans="1:16" x14ac:dyDescent="0.35">
      <c r="A25" t="s">
        <v>3886</v>
      </c>
      <c r="B25" s="2">
        <f>_xlfn.IFNA(_xlfn.XLOOKUP(A25,'Price list'!A:A,'Price list'!B:B),0)</f>
        <v>36500</v>
      </c>
      <c r="C25" t="s">
        <v>9</v>
      </c>
      <c r="G25" s="3"/>
      <c r="H25" s="3" t="str">
        <f>IF(G25=0,"",_xlfn.XLOOKUP(G25,List_item!A:A,List_item!B:B))</f>
        <v/>
      </c>
      <c r="I25" s="3">
        <v>0</v>
      </c>
      <c r="J25" s="26">
        <f t="shared" si="0"/>
        <v>0</v>
      </c>
      <c r="K25" s="3">
        <f t="shared" si="1"/>
        <v>0</v>
      </c>
      <c r="L25" s="27">
        <f t="shared" si="2"/>
        <v>0</v>
      </c>
      <c r="M25" s="3">
        <f t="shared" si="3"/>
        <v>0</v>
      </c>
      <c r="N25" s="3">
        <f t="shared" si="4"/>
        <v>0</v>
      </c>
      <c r="O25" s="3">
        <f t="shared" si="5"/>
        <v>0</v>
      </c>
    </row>
    <row r="26" spans="1:16" x14ac:dyDescent="0.35">
      <c r="A26" t="s">
        <v>3887</v>
      </c>
      <c r="B26" s="2">
        <f>_xlfn.IFNA(_xlfn.XLOOKUP(A26,'Price list'!A:A,'Price list'!B:B),0)</f>
        <v>36500</v>
      </c>
      <c r="C26" t="s">
        <v>9</v>
      </c>
      <c r="E26" s="3"/>
      <c r="G26" s="3"/>
      <c r="H26" s="3" t="str">
        <f>IF(G26=0,"",_xlfn.XLOOKUP(G26,List_item!A:A,List_item!B:B))</f>
        <v/>
      </c>
      <c r="I26" s="3">
        <v>0</v>
      </c>
      <c r="J26" s="26">
        <f t="shared" si="0"/>
        <v>0</v>
      </c>
      <c r="K26" s="3">
        <f t="shared" si="1"/>
        <v>0</v>
      </c>
      <c r="L26" s="27">
        <f t="shared" si="2"/>
        <v>0</v>
      </c>
      <c r="M26" s="3">
        <f t="shared" si="3"/>
        <v>0</v>
      </c>
      <c r="N26" s="3">
        <f t="shared" si="4"/>
        <v>0</v>
      </c>
      <c r="O26" s="3">
        <f t="shared" si="5"/>
        <v>0</v>
      </c>
    </row>
    <row r="27" spans="1:16" x14ac:dyDescent="0.35">
      <c r="A27" t="s">
        <v>3888</v>
      </c>
      <c r="B27" s="2">
        <f>_xlfn.IFNA(_xlfn.XLOOKUP(A27,'Price list'!A:A,'Price list'!B:B),0)</f>
        <v>36500</v>
      </c>
      <c r="C27" t="s">
        <v>9</v>
      </c>
      <c r="E27" s="3"/>
      <c r="F27" s="3"/>
      <c r="G27" s="3"/>
      <c r="H27" s="3" t="str">
        <f>IF(G27=0,"",_xlfn.XLOOKUP(G27,List_item!A:A,List_item!B:B))</f>
        <v/>
      </c>
      <c r="I27" s="3">
        <v>0</v>
      </c>
      <c r="J27" s="26">
        <f t="shared" si="0"/>
        <v>0</v>
      </c>
      <c r="K27" s="3">
        <f t="shared" si="1"/>
        <v>0</v>
      </c>
      <c r="L27" s="27">
        <f t="shared" si="2"/>
        <v>0</v>
      </c>
      <c r="M27" s="3">
        <f t="shared" si="3"/>
        <v>0</v>
      </c>
      <c r="N27" s="3">
        <f t="shared" si="4"/>
        <v>0</v>
      </c>
      <c r="O27" s="3">
        <f t="shared" si="5"/>
        <v>0</v>
      </c>
    </row>
    <row r="28" spans="1:16" x14ac:dyDescent="0.35">
      <c r="A28" t="s">
        <v>3889</v>
      </c>
      <c r="B28" s="2">
        <f>_xlfn.IFNA(_xlfn.XLOOKUP(A28,'Price list'!A:A,'Price list'!B:B),0)</f>
        <v>36500</v>
      </c>
      <c r="C28" t="s">
        <v>9</v>
      </c>
      <c r="H28" s="2" t="str">
        <f>IF(G28=0,"",_xlfn.XLOOKUP(G28,List_item!A:A,List_item!B:B))</f>
        <v/>
      </c>
      <c r="I28" s="3">
        <v>0</v>
      </c>
      <c r="J28" s="26">
        <f t="shared" si="0"/>
        <v>0</v>
      </c>
      <c r="K28" s="3">
        <f t="shared" si="1"/>
        <v>0</v>
      </c>
      <c r="L28" s="27">
        <f t="shared" si="2"/>
        <v>0</v>
      </c>
      <c r="M28" s="3">
        <f t="shared" si="3"/>
        <v>0</v>
      </c>
      <c r="N28" s="3">
        <f t="shared" si="4"/>
        <v>0</v>
      </c>
      <c r="O28" s="3">
        <f t="shared" si="5"/>
        <v>0</v>
      </c>
    </row>
    <row r="29" spans="1:16" x14ac:dyDescent="0.35">
      <c r="A29" t="s">
        <v>3890</v>
      </c>
      <c r="B29" s="2">
        <f>_xlfn.IFNA(_xlfn.XLOOKUP(A29,'Price list'!A:A,'Price list'!B:B),0)</f>
        <v>0</v>
      </c>
      <c r="C29" t="s">
        <v>9</v>
      </c>
      <c r="H29" s="2" t="str">
        <f>IF(G29=0,"",_xlfn.XLOOKUP(G29,List_item!A:A,List_item!B:B))</f>
        <v/>
      </c>
      <c r="I29" s="3">
        <v>0</v>
      </c>
      <c r="J29" s="26">
        <f t="shared" si="0"/>
        <v>0</v>
      </c>
      <c r="K29" s="3">
        <f t="shared" si="1"/>
        <v>0</v>
      </c>
      <c r="L29" s="27">
        <f t="shared" si="2"/>
        <v>0</v>
      </c>
      <c r="M29" s="3">
        <f t="shared" si="3"/>
        <v>0</v>
      </c>
      <c r="N29" s="3">
        <f t="shared" si="4"/>
        <v>0</v>
      </c>
      <c r="O29" s="3">
        <f t="shared" si="5"/>
        <v>0</v>
      </c>
    </row>
    <row r="30" spans="1:16" x14ac:dyDescent="0.35">
      <c r="A30" t="s">
        <v>8</v>
      </c>
      <c r="B30" s="2">
        <f>_xlfn.IFNA(_xlfn.XLOOKUP(A30,'Price list'!A:A,'Price list'!B:B),0)</f>
        <v>50000</v>
      </c>
      <c r="C30" t="s">
        <v>9</v>
      </c>
      <c r="H30" s="2" t="str">
        <f>IF(G30=0,"",_xlfn.XLOOKUP(G30,List_item!A:A,List_item!B:B))</f>
        <v/>
      </c>
      <c r="I30" s="3">
        <v>0</v>
      </c>
      <c r="J30" s="26">
        <f t="shared" si="0"/>
        <v>0</v>
      </c>
      <c r="K30" s="3">
        <f t="shared" si="1"/>
        <v>0</v>
      </c>
      <c r="L30" s="27">
        <f t="shared" si="2"/>
        <v>0</v>
      </c>
      <c r="M30" s="3">
        <f t="shared" si="3"/>
        <v>0</v>
      </c>
      <c r="N30" s="3">
        <f t="shared" si="4"/>
        <v>0</v>
      </c>
      <c r="O30" s="3">
        <f t="shared" si="5"/>
        <v>0</v>
      </c>
    </row>
    <row r="31" spans="1:16" x14ac:dyDescent="0.35">
      <c r="A31" t="s">
        <v>10</v>
      </c>
      <c r="B31" s="2">
        <f>_xlfn.IFNA(_xlfn.XLOOKUP(A31,'Price list'!A:A,'Price list'!B:B),0)</f>
        <v>48000</v>
      </c>
      <c r="C31" t="s">
        <v>9</v>
      </c>
      <c r="H31" s="2" t="str">
        <f>IF(G31=0,"",_xlfn.XLOOKUP(G31,List_item!A:A,List_item!B:B))</f>
        <v/>
      </c>
      <c r="I31" s="3">
        <v>0</v>
      </c>
      <c r="J31" s="26">
        <f t="shared" si="0"/>
        <v>0</v>
      </c>
      <c r="K31" s="3">
        <f t="shared" si="1"/>
        <v>0</v>
      </c>
      <c r="L31" s="27">
        <f t="shared" si="2"/>
        <v>0</v>
      </c>
      <c r="M31" s="3">
        <f t="shared" si="3"/>
        <v>0</v>
      </c>
      <c r="N31" s="3">
        <f t="shared" si="4"/>
        <v>0</v>
      </c>
      <c r="O31" s="3">
        <f t="shared" si="5"/>
        <v>0</v>
      </c>
    </row>
    <row r="32" spans="1:16" x14ac:dyDescent="0.35">
      <c r="A32" t="s">
        <v>12</v>
      </c>
      <c r="B32" s="2">
        <f>_xlfn.IFNA(_xlfn.XLOOKUP(A32,'Price list'!A:A,'Price list'!B:B),0)</f>
        <v>49000</v>
      </c>
      <c r="C32" t="s">
        <v>9</v>
      </c>
      <c r="H32" s="2" t="str">
        <f>IF(G32=0,"",_xlfn.XLOOKUP(G32,List_item!A:A,List_item!B:B))</f>
        <v/>
      </c>
      <c r="I32" s="3">
        <v>0</v>
      </c>
      <c r="J32" s="26">
        <f t="shared" si="0"/>
        <v>0</v>
      </c>
      <c r="K32" s="3">
        <f t="shared" si="1"/>
        <v>0</v>
      </c>
      <c r="L32" s="27">
        <f t="shared" si="2"/>
        <v>0</v>
      </c>
      <c r="M32" s="3">
        <f t="shared" si="3"/>
        <v>0</v>
      </c>
      <c r="N32" s="3">
        <f t="shared" si="4"/>
        <v>0</v>
      </c>
      <c r="O32" s="3">
        <f t="shared" si="5"/>
        <v>0</v>
      </c>
    </row>
    <row r="33" spans="1:16" x14ac:dyDescent="0.35">
      <c r="A33" t="s">
        <v>2159</v>
      </c>
      <c r="B33" s="2">
        <f>_xlfn.IFNA(_xlfn.XLOOKUP(A33,'Price list'!A:A,'Price list'!B:B),0)</f>
        <v>5500</v>
      </c>
      <c r="C33" t="s">
        <v>9</v>
      </c>
      <c r="H33" s="2" t="str">
        <f>IF(G33=0,"",_xlfn.XLOOKUP(G33,List_item!A:A,List_item!B:B))</f>
        <v/>
      </c>
      <c r="I33" s="3">
        <v>0</v>
      </c>
      <c r="J33" s="26">
        <f t="shared" si="0"/>
        <v>0</v>
      </c>
      <c r="K33" s="3">
        <f t="shared" si="1"/>
        <v>0</v>
      </c>
      <c r="L33" s="27">
        <f t="shared" si="2"/>
        <v>0</v>
      </c>
      <c r="M33" s="3">
        <f t="shared" si="3"/>
        <v>0</v>
      </c>
      <c r="N33" s="3">
        <f t="shared" si="4"/>
        <v>0</v>
      </c>
      <c r="O33" s="3">
        <f t="shared" si="5"/>
        <v>0</v>
      </c>
    </row>
    <row r="34" spans="1:16" x14ac:dyDescent="0.35">
      <c r="A34" t="s">
        <v>3891</v>
      </c>
      <c r="B34" s="2">
        <f>_xlfn.IFNA(_xlfn.XLOOKUP(A34,'Price list'!A:A,'Price list'!B:B),0)</f>
        <v>20000</v>
      </c>
      <c r="C34" t="s">
        <v>9</v>
      </c>
      <c r="H34" s="2" t="str">
        <f>IF(G34=0,"",_xlfn.XLOOKUP(G34,List_item!A:A,List_item!B:B))</f>
        <v/>
      </c>
      <c r="I34" s="3">
        <v>0</v>
      </c>
      <c r="J34" s="26">
        <f t="shared" si="0"/>
        <v>0</v>
      </c>
      <c r="K34" s="3">
        <f t="shared" si="1"/>
        <v>0</v>
      </c>
      <c r="L34" s="27">
        <f t="shared" si="2"/>
        <v>0</v>
      </c>
      <c r="M34" s="3">
        <f t="shared" si="3"/>
        <v>0</v>
      </c>
      <c r="N34" s="3">
        <f t="shared" si="4"/>
        <v>0</v>
      </c>
      <c r="O34" s="3">
        <f t="shared" si="5"/>
        <v>0</v>
      </c>
    </row>
    <row r="35" spans="1:16" x14ac:dyDescent="0.35">
      <c r="A35" t="s">
        <v>3892</v>
      </c>
      <c r="B35" s="2">
        <f>_xlfn.IFNA(_xlfn.XLOOKUP(A35,'Price list'!A:A,'Price list'!B:B),0)</f>
        <v>22000</v>
      </c>
      <c r="C35" t="s">
        <v>9</v>
      </c>
      <c r="H35" s="2" t="str">
        <f>IF(G35=0,"",_xlfn.XLOOKUP(G35,List_item!A:A,List_item!B:B))</f>
        <v/>
      </c>
      <c r="I35" s="3">
        <v>0</v>
      </c>
      <c r="J35" s="26">
        <f t="shared" si="0"/>
        <v>0</v>
      </c>
      <c r="K35" s="3">
        <f t="shared" si="1"/>
        <v>0</v>
      </c>
      <c r="L35" s="27">
        <f t="shared" si="2"/>
        <v>0</v>
      </c>
      <c r="M35" s="3">
        <f t="shared" si="3"/>
        <v>0</v>
      </c>
      <c r="N35" s="3">
        <f t="shared" si="4"/>
        <v>0</v>
      </c>
      <c r="O35" s="3">
        <f t="shared" si="5"/>
        <v>0</v>
      </c>
    </row>
    <row r="36" spans="1:16" x14ac:dyDescent="0.35">
      <c r="A36" t="s">
        <v>3852</v>
      </c>
      <c r="B36" s="2">
        <f>_xlfn.IFNA(_xlfn.XLOOKUP(A36,'Price list'!A:A,'Price list'!B:B),0)</f>
        <v>18000</v>
      </c>
      <c r="C36" t="s">
        <v>9</v>
      </c>
      <c r="H36" s="2" t="str">
        <f>IF(G36=0,"",_xlfn.XLOOKUP(G36,List_item!A:A,List_item!B:B))</f>
        <v/>
      </c>
      <c r="I36" s="3">
        <v>0</v>
      </c>
      <c r="J36" s="26">
        <f t="shared" si="0"/>
        <v>0</v>
      </c>
      <c r="K36" s="3">
        <f t="shared" si="1"/>
        <v>0</v>
      </c>
      <c r="L36" s="27">
        <f t="shared" si="2"/>
        <v>0</v>
      </c>
      <c r="M36" s="3">
        <f t="shared" si="3"/>
        <v>0</v>
      </c>
      <c r="N36" s="3">
        <f t="shared" si="4"/>
        <v>0</v>
      </c>
      <c r="O36" s="3">
        <f t="shared" si="5"/>
        <v>0</v>
      </c>
    </row>
    <row r="37" spans="1:16" x14ac:dyDescent="0.35">
      <c r="A37" t="s">
        <v>17</v>
      </c>
      <c r="B37" s="2">
        <f>_xlfn.IFNA(_xlfn.XLOOKUP(A37,'Price list'!A:A,'Price list'!B:B),0)</f>
        <v>3500</v>
      </c>
      <c r="C37" t="s">
        <v>9</v>
      </c>
      <c r="H37" s="2" t="str">
        <f>IF(G37=0,"",_xlfn.XLOOKUP(G37,List_item!A:A,List_item!B:B))</f>
        <v/>
      </c>
      <c r="I37" s="3">
        <v>0</v>
      </c>
      <c r="J37" s="26">
        <f t="shared" si="0"/>
        <v>0</v>
      </c>
      <c r="K37" s="3">
        <f t="shared" si="1"/>
        <v>0</v>
      </c>
      <c r="L37" s="27">
        <f t="shared" si="2"/>
        <v>0</v>
      </c>
      <c r="M37" s="3">
        <f t="shared" si="3"/>
        <v>0</v>
      </c>
      <c r="N37" s="3">
        <f t="shared" si="4"/>
        <v>0</v>
      </c>
      <c r="O37" s="3">
        <f t="shared" si="5"/>
        <v>0</v>
      </c>
    </row>
    <row r="38" spans="1:16" x14ac:dyDescent="0.35">
      <c r="A38" t="s">
        <v>2199</v>
      </c>
      <c r="B38" s="2">
        <f>_xlfn.IFNA(_xlfn.XLOOKUP(A38,'Price list'!A:A,'Price list'!B:B),0)</f>
        <v>38000</v>
      </c>
      <c r="C38" t="s">
        <v>9</v>
      </c>
      <c r="H38" s="2" t="str">
        <f>IF(G38=0,"",_xlfn.XLOOKUP(G38,List_item!A:A,List_item!B:B))</f>
        <v/>
      </c>
      <c r="I38" s="3">
        <v>0</v>
      </c>
      <c r="J38" s="26">
        <f t="shared" si="0"/>
        <v>0</v>
      </c>
      <c r="K38" s="3">
        <f t="shared" si="1"/>
        <v>0</v>
      </c>
      <c r="L38" s="27">
        <f t="shared" si="2"/>
        <v>0</v>
      </c>
      <c r="M38" s="3">
        <f t="shared" si="3"/>
        <v>0</v>
      </c>
      <c r="N38" s="3">
        <f t="shared" si="4"/>
        <v>0</v>
      </c>
      <c r="O38" s="3">
        <f t="shared" si="5"/>
        <v>0</v>
      </c>
    </row>
    <row r="39" spans="1:16" x14ac:dyDescent="0.35">
      <c r="A39" s="103" t="s">
        <v>2161</v>
      </c>
      <c r="B39" s="104">
        <f>_xlfn.IFNA(_xlfn.XLOOKUP(A39,'Price list'!A:A,'Price list'!B:B),0)</f>
        <v>18000</v>
      </c>
      <c r="C39" s="103" t="s">
        <v>9</v>
      </c>
      <c r="D39" s="103"/>
      <c r="E39" s="104"/>
      <c r="F39" s="104"/>
      <c r="G39" s="104" t="s">
        <v>245</v>
      </c>
      <c r="H39" s="104" t="str">
        <f>IF(G39=0,"",_xlfn.XLOOKUP(G39,List_item!A:A,List_item!B:B))</f>
        <v>Boneless BL Fresh Lemak</v>
      </c>
      <c r="I39" s="104">
        <v>11</v>
      </c>
      <c r="J39" s="106">
        <f t="shared" si="0"/>
        <v>1.5714285714285715E-3</v>
      </c>
      <c r="K39" s="104">
        <f t="shared" si="1"/>
        <v>198000</v>
      </c>
      <c r="L39" s="107">
        <f t="shared" si="2"/>
        <v>18621.57913903872</v>
      </c>
      <c r="M39" s="104">
        <f t="shared" si="3"/>
        <v>204837.37052942591</v>
      </c>
      <c r="N39" s="104">
        <f t="shared" si="4"/>
        <v>-621.57913903872031</v>
      </c>
      <c r="O39" s="104">
        <f t="shared" si="5"/>
        <v>-6837.3705294259125</v>
      </c>
      <c r="P39" s="104"/>
    </row>
    <row r="40" spans="1:16" x14ac:dyDescent="0.35">
      <c r="A40" s="103" t="s">
        <v>2162</v>
      </c>
      <c r="B40" s="104">
        <f>_xlfn.IFNA(_xlfn.XLOOKUP(A40,'Price list'!A:A,'Price list'!B:B),0)</f>
        <v>8000</v>
      </c>
      <c r="C40" s="103"/>
      <c r="D40" s="103"/>
      <c r="E40" s="104"/>
      <c r="F40" s="104"/>
      <c r="G40" s="104" t="s">
        <v>20</v>
      </c>
      <c r="H40" s="104" t="str">
        <f>IF(G40=0,"",_xlfn.XLOOKUP(G40,List_item!A:A,List_item!B:B))</f>
        <v>Boneless BL Fresh Kepala</v>
      </c>
      <c r="I40" s="104">
        <v>325.60000000000002</v>
      </c>
      <c r="J40" s="106">
        <f t="shared" si="0"/>
        <v>4.6514285714285716E-2</v>
      </c>
      <c r="K40" s="104">
        <f t="shared" si="1"/>
        <v>2604800</v>
      </c>
      <c r="L40" s="107">
        <f t="shared" si="2"/>
        <v>8276.2573951283193</v>
      </c>
      <c r="M40" s="104">
        <f t="shared" si="3"/>
        <v>2694749.4078537808</v>
      </c>
      <c r="N40" s="104">
        <f t="shared" si="4"/>
        <v>-276.25739512831933</v>
      </c>
      <c r="O40" s="104">
        <f t="shared" si="5"/>
        <v>-89949.40785378078</v>
      </c>
      <c r="P40" s="104"/>
    </row>
    <row r="41" spans="1:16" x14ac:dyDescent="0.35">
      <c r="A41" s="103" t="s">
        <v>0</v>
      </c>
      <c r="B41" s="104">
        <f>_xlfn.IFNA(_xlfn.XLOOKUP(A41,'Price list'!A:A,'Price list'!B:B),0)</f>
        <v>10000</v>
      </c>
      <c r="C41" s="103" t="s">
        <v>9</v>
      </c>
      <c r="D41" s="103"/>
      <c r="E41" s="104"/>
      <c r="F41" s="104"/>
      <c r="G41" s="104" t="s">
        <v>21</v>
      </c>
      <c r="H41" s="104" t="str">
        <f>IF(G41=0,"",_xlfn.XLOOKUP(G41,List_item!A:A,List_item!B:B))</f>
        <v>Boneless BL Fresh Ceker</v>
      </c>
      <c r="I41" s="104">
        <v>184.9</v>
      </c>
      <c r="J41" s="106">
        <f t="shared" si="0"/>
        <v>2.6414285714285717E-2</v>
      </c>
      <c r="K41" s="104">
        <f t="shared" si="1"/>
        <v>1849000</v>
      </c>
      <c r="L41" s="107">
        <f t="shared" si="2"/>
        <v>10345.321743910399</v>
      </c>
      <c r="M41" s="104">
        <f t="shared" si="3"/>
        <v>1912849.990449033</v>
      </c>
      <c r="N41" s="104">
        <f t="shared" si="4"/>
        <v>-345.32174391039916</v>
      </c>
      <c r="O41" s="104">
        <f t="shared" si="5"/>
        <v>-63849.990449032979</v>
      </c>
      <c r="P41" s="104"/>
    </row>
    <row r="42" spans="1:16" x14ac:dyDescent="0.35">
      <c r="A42" t="s">
        <v>24</v>
      </c>
      <c r="B42" s="2">
        <f>_xlfn.IFNA(_xlfn.XLOOKUP(A42,'Price list'!A:A,'Price list'!B:B),0)</f>
        <v>4000</v>
      </c>
      <c r="C42" t="s">
        <v>9</v>
      </c>
      <c r="H42" s="2" t="str">
        <f>IF(G42=0,"",_xlfn.XLOOKUP(G42,List_item!A:A,List_item!B:B))</f>
        <v/>
      </c>
      <c r="I42" s="3">
        <v>0</v>
      </c>
      <c r="J42" s="26">
        <f t="shared" si="0"/>
        <v>0</v>
      </c>
      <c r="K42" s="3">
        <f t="shared" si="1"/>
        <v>0</v>
      </c>
      <c r="L42" s="27">
        <f t="shared" si="2"/>
        <v>0</v>
      </c>
      <c r="M42" s="3">
        <f t="shared" si="3"/>
        <v>0</v>
      </c>
      <c r="N42" s="3">
        <f t="shared" si="4"/>
        <v>0</v>
      </c>
      <c r="O42" s="3">
        <f t="shared" si="5"/>
        <v>0</v>
      </c>
    </row>
    <row r="43" spans="1:16" x14ac:dyDescent="0.35">
      <c r="A43" s="92" t="s">
        <v>3893</v>
      </c>
      <c r="B43" s="93">
        <v>0</v>
      </c>
      <c r="C43" s="92" t="s">
        <v>9</v>
      </c>
      <c r="D43" s="92"/>
      <c r="E43" s="93"/>
      <c r="F43" s="93"/>
      <c r="G43" s="93"/>
      <c r="H43" s="93" t="str">
        <f>IF(G43=0,"",_xlfn.XLOOKUP(G43,List_item!A:A,List_item!B:B))</f>
        <v/>
      </c>
      <c r="I43" s="93">
        <v>323.79999999999995</v>
      </c>
      <c r="J43" s="108">
        <f t="shared" si="0"/>
        <v>4.6257142857142851E-2</v>
      </c>
      <c r="K43" s="93">
        <f t="shared" si="1"/>
        <v>0</v>
      </c>
      <c r="L43" s="109">
        <f t="shared" si="2"/>
        <v>0</v>
      </c>
      <c r="M43" s="93">
        <f t="shared" si="3"/>
        <v>0</v>
      </c>
      <c r="N43" s="93">
        <f t="shared" si="4"/>
        <v>0</v>
      </c>
      <c r="O43" s="93">
        <f t="shared" si="5"/>
        <v>0</v>
      </c>
      <c r="P43" s="93" t="s">
        <v>3925</v>
      </c>
    </row>
    <row r="44" spans="1:16" x14ac:dyDescent="0.35">
      <c r="A44" t="s">
        <v>2167</v>
      </c>
      <c r="B44" s="2">
        <f>_xlfn.IFNA(_xlfn.XLOOKUP(A44,'Price list'!A:A,'Price list'!B:B),0)</f>
        <v>16000</v>
      </c>
      <c r="C44" t="s">
        <v>9</v>
      </c>
      <c r="H44" s="2" t="str">
        <f>IF(G44=0,"",_xlfn.XLOOKUP(G44,List_item!A:A,List_item!B:B))</f>
        <v/>
      </c>
      <c r="I44" s="3">
        <v>0</v>
      </c>
      <c r="J44" s="26">
        <f t="shared" si="0"/>
        <v>0</v>
      </c>
      <c r="K44" s="3">
        <f t="shared" si="1"/>
        <v>0</v>
      </c>
      <c r="L44" s="27">
        <f t="shared" si="2"/>
        <v>0</v>
      </c>
      <c r="M44" s="3">
        <f t="shared" si="3"/>
        <v>0</v>
      </c>
      <c r="N44" s="3">
        <f t="shared" si="4"/>
        <v>0</v>
      </c>
      <c r="O44" s="3">
        <f t="shared" si="5"/>
        <v>0</v>
      </c>
    </row>
    <row r="45" spans="1:16" x14ac:dyDescent="0.35">
      <c r="A45" t="s">
        <v>2168</v>
      </c>
      <c r="B45" s="2">
        <f>_xlfn.IFNA(_xlfn.XLOOKUP(A45,'Price list'!A:A,'Price list'!B:B),0)</f>
        <v>10000</v>
      </c>
      <c r="C45" t="s">
        <v>9</v>
      </c>
      <c r="H45" s="2" t="str">
        <f>IF(G45=0,"",_xlfn.XLOOKUP(G45,List_item!A:A,List_item!B:B))</f>
        <v/>
      </c>
      <c r="I45" s="3">
        <v>0</v>
      </c>
      <c r="J45" s="26">
        <f t="shared" si="0"/>
        <v>0</v>
      </c>
      <c r="K45" s="3">
        <f t="shared" si="1"/>
        <v>0</v>
      </c>
      <c r="L45" s="27">
        <f t="shared" si="2"/>
        <v>0</v>
      </c>
      <c r="M45" s="3">
        <f t="shared" si="3"/>
        <v>0</v>
      </c>
      <c r="N45" s="3">
        <f t="shared" si="4"/>
        <v>0</v>
      </c>
      <c r="O45" s="3">
        <f t="shared" si="5"/>
        <v>0</v>
      </c>
    </row>
    <row r="46" spans="1:16" x14ac:dyDescent="0.35">
      <c r="A46" t="s">
        <v>2169</v>
      </c>
      <c r="B46" s="2">
        <f>_xlfn.IFNA(_xlfn.XLOOKUP(A46,'Price list'!A:A,'Price list'!B:B),0)</f>
        <v>5000</v>
      </c>
      <c r="C46" t="s">
        <v>9</v>
      </c>
      <c r="H46" s="2" t="str">
        <f>IF(G46=0,"",_xlfn.XLOOKUP(G46,List_item!A:A,List_item!B:B))</f>
        <v/>
      </c>
      <c r="I46" s="3">
        <v>0</v>
      </c>
      <c r="J46" s="26">
        <f t="shared" si="0"/>
        <v>0</v>
      </c>
      <c r="K46" s="3">
        <f t="shared" si="1"/>
        <v>0</v>
      </c>
      <c r="L46" s="27">
        <f t="shared" si="2"/>
        <v>0</v>
      </c>
      <c r="M46" s="3">
        <f t="shared" si="3"/>
        <v>0</v>
      </c>
      <c r="N46" s="3">
        <f t="shared" si="4"/>
        <v>0</v>
      </c>
      <c r="O46" s="3">
        <f t="shared" si="5"/>
        <v>0</v>
      </c>
    </row>
    <row r="47" spans="1:16" x14ac:dyDescent="0.35">
      <c r="A47" s="103" t="s">
        <v>3894</v>
      </c>
      <c r="B47" s="104">
        <f>_xlfn.IFNA(_xlfn.XLOOKUP(A47,'Price list'!A:A,'Price list'!B:B),0)</f>
        <v>5000</v>
      </c>
      <c r="C47" s="103" t="s">
        <v>9</v>
      </c>
      <c r="D47" s="103"/>
      <c r="E47" s="104"/>
      <c r="F47" s="104"/>
      <c r="G47" s="104" t="s">
        <v>23</v>
      </c>
      <c r="H47" s="104" t="str">
        <f>IF(G47=0,"",_xlfn.XLOOKUP(G47,List_item!A:A,List_item!B:B))</f>
        <v>Boneless BL Fresh HJA</v>
      </c>
      <c r="I47" s="104">
        <v>427.2</v>
      </c>
      <c r="J47" s="106">
        <f t="shared" si="0"/>
        <v>6.1028571428571425E-2</v>
      </c>
      <c r="K47" s="104">
        <f t="shared" si="1"/>
        <v>2136000</v>
      </c>
      <c r="L47" s="107">
        <f t="shared" si="2"/>
        <v>5172.6608719551987</v>
      </c>
      <c r="M47" s="104">
        <f t="shared" si="3"/>
        <v>2209760.724499261</v>
      </c>
      <c r="N47" s="104">
        <f t="shared" si="4"/>
        <v>-172.66087195519867</v>
      </c>
      <c r="O47" s="104">
        <f t="shared" si="5"/>
        <v>-73760.724499261007</v>
      </c>
      <c r="P47" s="104"/>
    </row>
    <row r="48" spans="1:16" x14ac:dyDescent="0.35">
      <c r="A48" t="s">
        <v>2170</v>
      </c>
      <c r="B48" s="2">
        <f>_xlfn.IFNA(_xlfn.XLOOKUP(A48,'Price list'!A:A,'Price list'!B:B),0)</f>
        <v>45000</v>
      </c>
      <c r="C48" t="s">
        <v>9</v>
      </c>
      <c r="H48" s="2" t="str">
        <f>IF(G48=0,"",_xlfn.XLOOKUP(G48,List_item!A:A,List_item!B:B))</f>
        <v/>
      </c>
      <c r="I48" s="3">
        <v>0</v>
      </c>
      <c r="J48" s="26">
        <f t="shared" si="0"/>
        <v>0</v>
      </c>
      <c r="K48" s="3">
        <f t="shared" si="1"/>
        <v>0</v>
      </c>
      <c r="L48" s="27">
        <f t="shared" si="2"/>
        <v>0</v>
      </c>
      <c r="M48" s="3">
        <f t="shared" si="3"/>
        <v>0</v>
      </c>
      <c r="N48" s="3">
        <f t="shared" si="4"/>
        <v>0</v>
      </c>
      <c r="O48" s="3">
        <f t="shared" si="5"/>
        <v>0</v>
      </c>
    </row>
    <row r="49" spans="1:16" x14ac:dyDescent="0.35">
      <c r="A49" t="s">
        <v>2171</v>
      </c>
      <c r="B49" s="2">
        <f>_xlfn.IFNA(_xlfn.XLOOKUP(A49,'Price list'!A:A,'Price list'!B:B),0)</f>
        <v>44000</v>
      </c>
      <c r="C49" t="s">
        <v>9</v>
      </c>
      <c r="H49" s="2" t="str">
        <f>IF(G49=0,"",_xlfn.XLOOKUP(G49,List_item!A:A,List_item!B:B))</f>
        <v/>
      </c>
      <c r="I49" s="3">
        <v>0</v>
      </c>
      <c r="J49" s="26">
        <f t="shared" si="0"/>
        <v>0</v>
      </c>
      <c r="K49" s="3">
        <f t="shared" si="1"/>
        <v>0</v>
      </c>
      <c r="L49" s="27">
        <f t="shared" si="2"/>
        <v>0</v>
      </c>
      <c r="M49" s="3">
        <f t="shared" si="3"/>
        <v>0</v>
      </c>
      <c r="N49" s="3">
        <f t="shared" si="4"/>
        <v>0</v>
      </c>
      <c r="O49" s="3">
        <f t="shared" si="5"/>
        <v>0</v>
      </c>
    </row>
    <row r="50" spans="1:16" x14ac:dyDescent="0.35">
      <c r="A50" t="s">
        <v>3895</v>
      </c>
      <c r="B50" s="2">
        <f>_xlfn.IFNA(_xlfn.XLOOKUP(A50,'Price list'!A:A,'Price list'!B:B),0)</f>
        <v>0</v>
      </c>
      <c r="C50" t="s">
        <v>9</v>
      </c>
      <c r="H50" s="2" t="str">
        <f>IF(G50=0,"",_xlfn.XLOOKUP(G50,List_item!A:A,List_item!B:B))</f>
        <v/>
      </c>
      <c r="I50" s="3">
        <v>0</v>
      </c>
      <c r="J50" s="26">
        <f t="shared" si="0"/>
        <v>0</v>
      </c>
      <c r="K50" s="3">
        <f t="shared" si="1"/>
        <v>0</v>
      </c>
      <c r="L50" s="27">
        <f t="shared" si="2"/>
        <v>0</v>
      </c>
      <c r="M50" s="3">
        <f t="shared" si="3"/>
        <v>0</v>
      </c>
      <c r="N50" s="3">
        <f t="shared" si="4"/>
        <v>0</v>
      </c>
      <c r="O50" s="3">
        <f t="shared" si="5"/>
        <v>0</v>
      </c>
    </row>
    <row r="51" spans="1:16" x14ac:dyDescent="0.35">
      <c r="A51" t="s">
        <v>3896</v>
      </c>
      <c r="B51" s="2">
        <f>_xlfn.IFNA(_xlfn.XLOOKUP(A51,'Price list'!A:A,'Price list'!B:B),0)</f>
        <v>35000</v>
      </c>
      <c r="C51" t="s">
        <v>9</v>
      </c>
      <c r="H51" s="2" t="str">
        <f>IF(G51=0,"",_xlfn.XLOOKUP(G51,List_item!A:A,List_item!B:B))</f>
        <v/>
      </c>
      <c r="I51" s="3">
        <v>0</v>
      </c>
      <c r="J51" s="26">
        <f t="shared" si="0"/>
        <v>0</v>
      </c>
      <c r="K51" s="3">
        <f t="shared" si="1"/>
        <v>0</v>
      </c>
      <c r="L51" s="27">
        <f t="shared" si="2"/>
        <v>0</v>
      </c>
      <c r="M51" s="3">
        <f t="shared" si="3"/>
        <v>0</v>
      </c>
      <c r="N51" s="3">
        <f t="shared" si="4"/>
        <v>0</v>
      </c>
      <c r="O51" s="3">
        <f t="shared" si="5"/>
        <v>0</v>
      </c>
    </row>
    <row r="52" spans="1:16" x14ac:dyDescent="0.35">
      <c r="A52" t="s">
        <v>3897</v>
      </c>
      <c r="B52" s="2">
        <f>_xlfn.IFNA(_xlfn.XLOOKUP(A52,'Price list'!A:A,'Price list'!B:B),0)</f>
        <v>35000</v>
      </c>
      <c r="C52" t="s">
        <v>9</v>
      </c>
      <c r="H52" s="2" t="str">
        <f>IF(G52=0,"",_xlfn.XLOOKUP(G52,List_item!A:A,List_item!B:B))</f>
        <v/>
      </c>
      <c r="I52" s="3">
        <v>0</v>
      </c>
      <c r="J52" s="26">
        <f t="shared" si="0"/>
        <v>0</v>
      </c>
      <c r="K52" s="3">
        <f t="shared" si="1"/>
        <v>0</v>
      </c>
      <c r="L52" s="27">
        <f t="shared" si="2"/>
        <v>0</v>
      </c>
      <c r="M52" s="3">
        <f t="shared" si="3"/>
        <v>0</v>
      </c>
      <c r="N52" s="3">
        <f t="shared" si="4"/>
        <v>0</v>
      </c>
      <c r="O52" s="3">
        <f t="shared" si="5"/>
        <v>0</v>
      </c>
    </row>
    <row r="53" spans="1:16" x14ac:dyDescent="0.35">
      <c r="A53" t="s">
        <v>3898</v>
      </c>
      <c r="B53" s="2">
        <f>_xlfn.IFNA(_xlfn.XLOOKUP(A53,'Price list'!A:A,'Price list'!B:B),0)</f>
        <v>35000</v>
      </c>
      <c r="C53" t="s">
        <v>9</v>
      </c>
      <c r="H53" s="2" t="str">
        <f>IF(G53=0,"",_xlfn.XLOOKUP(G53,List_item!A:A,List_item!B:B))</f>
        <v/>
      </c>
      <c r="I53" s="3">
        <v>0</v>
      </c>
      <c r="J53" s="26">
        <f t="shared" si="0"/>
        <v>0</v>
      </c>
      <c r="K53" s="3">
        <f t="shared" si="1"/>
        <v>0</v>
      </c>
      <c r="L53" s="27">
        <f t="shared" si="2"/>
        <v>0</v>
      </c>
      <c r="M53" s="3">
        <f t="shared" si="3"/>
        <v>0</v>
      </c>
      <c r="N53" s="3">
        <f t="shared" si="4"/>
        <v>0</v>
      </c>
      <c r="O53" s="3">
        <f t="shared" si="5"/>
        <v>0</v>
      </c>
    </row>
    <row r="54" spans="1:16" x14ac:dyDescent="0.35">
      <c r="A54" t="s">
        <v>3899</v>
      </c>
      <c r="B54" s="2">
        <f>_xlfn.IFNA(_xlfn.XLOOKUP(A54,'Price list'!A:A,'Price list'!B:B),0)</f>
        <v>35000</v>
      </c>
      <c r="C54" t="s">
        <v>9</v>
      </c>
      <c r="G54" s="2" t="s">
        <v>701</v>
      </c>
      <c r="H54" s="2" t="str">
        <f>IF(G54=0,"",_xlfn.XLOOKUP(G54,List_item!A:A,List_item!B:B))</f>
        <v>Karkas Uk 0.7 Karkas Uk 0.7 Frozen Grade A</v>
      </c>
      <c r="I54" s="3">
        <v>6.9</v>
      </c>
      <c r="J54" s="26">
        <f t="shared" si="0"/>
        <v>9.8571428571428573E-4</v>
      </c>
      <c r="K54" s="3">
        <f t="shared" si="1"/>
        <v>241500</v>
      </c>
      <c r="L54" s="27">
        <f t="shared" si="2"/>
        <v>36208.626103686394</v>
      </c>
      <c r="M54" s="3">
        <f t="shared" si="3"/>
        <v>249839.52011543614</v>
      </c>
      <c r="N54" s="3">
        <f t="shared" si="4"/>
        <v>-1208.6261036863943</v>
      </c>
      <c r="O54" s="3">
        <f t="shared" si="5"/>
        <v>-8339.5201154361421</v>
      </c>
    </row>
    <row r="55" spans="1:16" x14ac:dyDescent="0.35">
      <c r="A55" t="s">
        <v>3900</v>
      </c>
      <c r="B55" s="2">
        <f>_xlfn.IFNA(_xlfn.XLOOKUP(A55,'Price list'!A:A,'Price list'!B:B),0)</f>
        <v>35000</v>
      </c>
      <c r="C55" t="s">
        <v>9</v>
      </c>
      <c r="G55" s="2" t="s">
        <v>766</v>
      </c>
      <c r="H55" s="2" t="str">
        <f>IF(G55=0,"",_xlfn.XLOOKUP(G55,List_item!A:A,List_item!B:B))</f>
        <v>Karkas Uk 0.8 Karkas Uk 0.8 Frozen Grade A</v>
      </c>
      <c r="I55" s="3">
        <v>27.9</v>
      </c>
      <c r="J55" s="26">
        <f t="shared" si="0"/>
        <v>3.9857142857142851E-3</v>
      </c>
      <c r="K55" s="3">
        <f t="shared" si="1"/>
        <v>976500</v>
      </c>
      <c r="L55" s="27">
        <f t="shared" si="2"/>
        <v>36208.626103686402</v>
      </c>
      <c r="M55" s="3">
        <f t="shared" si="3"/>
        <v>1010220.6682928506</v>
      </c>
      <c r="N55" s="3">
        <f t="shared" si="4"/>
        <v>-1208.6261036864016</v>
      </c>
      <c r="O55" s="3">
        <f t="shared" si="5"/>
        <v>-33720.668292850605</v>
      </c>
    </row>
    <row r="56" spans="1:16" x14ac:dyDescent="0.35">
      <c r="A56" t="s">
        <v>3901</v>
      </c>
      <c r="B56" s="2">
        <f>_xlfn.IFNA(_xlfn.XLOOKUP(A56,'Price list'!A:A,'Price list'!B:B),0)</f>
        <v>35000</v>
      </c>
      <c r="C56" t="s">
        <v>9</v>
      </c>
      <c r="G56" s="2" t="s">
        <v>831</v>
      </c>
      <c r="H56" s="2" t="str">
        <f>IF(G56=0,"",_xlfn.XLOOKUP(G56,List_item!A:A,List_item!B:B))</f>
        <v>Karkas Uk 0.9 Karkas Uk 0.9 Frozen Grade A</v>
      </c>
      <c r="I56" s="3">
        <v>57.7</v>
      </c>
      <c r="J56" s="26">
        <f t="shared" si="0"/>
        <v>8.2428571428571438E-3</v>
      </c>
      <c r="K56" s="3">
        <f t="shared" si="1"/>
        <v>2019500</v>
      </c>
      <c r="L56" s="27">
        <f t="shared" si="2"/>
        <v>36208.626103686394</v>
      </c>
      <c r="M56" s="3">
        <f t="shared" si="3"/>
        <v>2089237.726182705</v>
      </c>
      <c r="N56" s="3">
        <f t="shared" si="4"/>
        <v>-1208.6261036863943</v>
      </c>
      <c r="O56" s="3">
        <f t="shared" si="5"/>
        <v>-69737.726182705024</v>
      </c>
    </row>
    <row r="57" spans="1:16" x14ac:dyDescent="0.35">
      <c r="A57" s="103" t="s">
        <v>3902</v>
      </c>
      <c r="B57" s="104">
        <f>_xlfn.IFNA(_xlfn.XLOOKUP(A57,'Price list'!A:A,'Price list'!B:B),0)</f>
        <v>35000</v>
      </c>
      <c r="C57" s="103" t="s">
        <v>9</v>
      </c>
      <c r="D57" s="103"/>
      <c r="E57" s="104"/>
      <c r="F57" s="104"/>
      <c r="G57" s="104" t="s">
        <v>891</v>
      </c>
      <c r="H57" s="104" t="str">
        <f>IF(G57=0,"",_xlfn.XLOOKUP(G57,List_item!A:A,List_item!B:B))</f>
        <v>Karkas Uk 1.0 Karkas Uk 1.0 Fresh Premium</v>
      </c>
      <c r="I57" s="104">
        <v>128.80000000000001</v>
      </c>
      <c r="J57" s="106">
        <f t="shared" si="0"/>
        <v>1.8400000000000003E-2</v>
      </c>
      <c r="K57" s="104">
        <f t="shared" si="1"/>
        <v>4508000</v>
      </c>
      <c r="L57" s="107">
        <f t="shared" si="2"/>
        <v>36208.626103686402</v>
      </c>
      <c r="M57" s="104">
        <f t="shared" si="3"/>
        <v>4663671.0421548085</v>
      </c>
      <c r="N57" s="104">
        <f t="shared" si="4"/>
        <v>-1208.6261036864016</v>
      </c>
      <c r="O57" s="104">
        <f t="shared" si="5"/>
        <v>-155671.04215480853</v>
      </c>
      <c r="P57" s="104"/>
    </row>
    <row r="58" spans="1:16" x14ac:dyDescent="0.35">
      <c r="A58" s="103" t="s">
        <v>3903</v>
      </c>
      <c r="B58" s="104">
        <f>_xlfn.IFNA(_xlfn.XLOOKUP(A58,'Price list'!A:A,'Price list'!B:B),0)</f>
        <v>35000</v>
      </c>
      <c r="C58" s="103" t="s">
        <v>9</v>
      </c>
      <c r="D58" s="103"/>
      <c r="E58" s="104"/>
      <c r="F58" s="104"/>
      <c r="G58" s="104" t="s">
        <v>930</v>
      </c>
      <c r="H58" s="104" t="str">
        <f>IF(G58=0,"",_xlfn.XLOOKUP(G58,List_item!A:A,List_item!B:B))</f>
        <v>Karkas Uk 1.1 Karkas Uk 1.1 Fresh Grade A</v>
      </c>
      <c r="I58" s="104">
        <v>168.2</v>
      </c>
      <c r="J58" s="106">
        <f t="shared" si="0"/>
        <v>2.4028571428571427E-2</v>
      </c>
      <c r="K58" s="104">
        <f t="shared" si="1"/>
        <v>5887000</v>
      </c>
      <c r="L58" s="107">
        <f t="shared" si="2"/>
        <v>36208.626103686394</v>
      </c>
      <c r="M58" s="104">
        <f t="shared" si="3"/>
        <v>6090290.9106400507</v>
      </c>
      <c r="N58" s="104">
        <f t="shared" si="4"/>
        <v>-1208.6261036863943</v>
      </c>
      <c r="O58" s="104">
        <f t="shared" si="5"/>
        <v>-203290.91064005066</v>
      </c>
      <c r="P58" s="104"/>
    </row>
    <row r="59" spans="1:16" x14ac:dyDescent="0.35">
      <c r="A59" s="103" t="s">
        <v>3904</v>
      </c>
      <c r="B59" s="104">
        <f>_xlfn.IFNA(_xlfn.XLOOKUP(A59,'Price list'!A:A,'Price list'!B:B),0)</f>
        <v>35000</v>
      </c>
      <c r="C59" s="103" t="s">
        <v>9</v>
      </c>
      <c r="D59" s="103"/>
      <c r="E59" s="104"/>
      <c r="F59" s="104"/>
      <c r="G59" s="104" t="s">
        <v>996</v>
      </c>
      <c r="H59" s="104" t="str">
        <f>IF(G59=0,"",_xlfn.XLOOKUP(G59,List_item!A:A,List_item!B:B))</f>
        <v>Karkas Uk 1.2 Karkas Uk 1.2 Fresh Grade A</v>
      </c>
      <c r="I59" s="104">
        <v>120.8</v>
      </c>
      <c r="J59" s="106">
        <f t="shared" si="0"/>
        <v>1.7257142857142856E-2</v>
      </c>
      <c r="K59" s="104">
        <f t="shared" si="1"/>
        <v>4228000</v>
      </c>
      <c r="L59" s="107">
        <f t="shared" si="2"/>
        <v>36208.626103686402</v>
      </c>
      <c r="M59" s="104">
        <f t="shared" si="3"/>
        <v>4374002.0333253173</v>
      </c>
      <c r="N59" s="104">
        <f t="shared" si="4"/>
        <v>-1208.6261036864016</v>
      </c>
      <c r="O59" s="104">
        <f t="shared" si="5"/>
        <v>-146002.03332531732</v>
      </c>
      <c r="P59" s="104"/>
    </row>
    <row r="60" spans="1:16" x14ac:dyDescent="0.35">
      <c r="A60" s="103" t="s">
        <v>3905</v>
      </c>
      <c r="B60" s="104">
        <f>_xlfn.IFNA(_xlfn.XLOOKUP(A60,'Price list'!A:A,'Price list'!B:B),0)</f>
        <v>35000</v>
      </c>
      <c r="C60" s="103" t="s">
        <v>9</v>
      </c>
      <c r="D60" s="103"/>
      <c r="E60" s="104"/>
      <c r="F60" s="104"/>
      <c r="G60" s="104" t="s">
        <v>1062</v>
      </c>
      <c r="H60" s="104" t="str">
        <f>IF(G60=0,"",_xlfn.XLOOKUP(G60,List_item!A:A,List_item!B:B))</f>
        <v>Karkas Uk 1.3 Karkas Uk 1.3 Fresh Grade A</v>
      </c>
      <c r="I60" s="104">
        <v>26.9</v>
      </c>
      <c r="J60" s="106">
        <f t="shared" si="0"/>
        <v>3.8428571428571427E-3</v>
      </c>
      <c r="K60" s="104">
        <f t="shared" si="1"/>
        <v>941500</v>
      </c>
      <c r="L60" s="107">
        <f t="shared" si="2"/>
        <v>36208.626103686402</v>
      </c>
      <c r="M60" s="104">
        <f t="shared" si="3"/>
        <v>974012.0421891642</v>
      </c>
      <c r="N60" s="104">
        <f t="shared" si="4"/>
        <v>-1208.6261036864016</v>
      </c>
      <c r="O60" s="104">
        <f t="shared" si="5"/>
        <v>-32512.042189164204</v>
      </c>
      <c r="P60" s="104"/>
    </row>
    <row r="61" spans="1:16" x14ac:dyDescent="0.35">
      <c r="A61" t="s">
        <v>3906</v>
      </c>
      <c r="B61" s="2">
        <f>_xlfn.IFNA(_xlfn.XLOOKUP(A61,'Price list'!A:A,'Price list'!B:B),0)</f>
        <v>35000</v>
      </c>
      <c r="C61" t="s">
        <v>9</v>
      </c>
      <c r="G61" s="2" t="s">
        <v>1160</v>
      </c>
      <c r="H61" s="2" t="str">
        <f>IF(G61=0,"",_xlfn.XLOOKUP(G61,List_item!A:A,List_item!B:B))</f>
        <v>Karkas Uk 1.4 Karkas Uk 1.4 Frozen Grade A</v>
      </c>
      <c r="I61" s="3">
        <v>10.1</v>
      </c>
      <c r="J61" s="26">
        <f t="shared" si="0"/>
        <v>1.4428571428571429E-3</v>
      </c>
      <c r="K61" s="3">
        <f t="shared" si="1"/>
        <v>353500</v>
      </c>
      <c r="L61" s="27">
        <f t="shared" si="2"/>
        <v>36208.626103686394</v>
      </c>
      <c r="M61" s="3">
        <f t="shared" si="3"/>
        <v>365707.1236472326</v>
      </c>
      <c r="N61" s="3">
        <f t="shared" si="4"/>
        <v>-1208.6261036863943</v>
      </c>
      <c r="O61" s="3">
        <f t="shared" si="5"/>
        <v>-12207.123647232598</v>
      </c>
    </row>
    <row r="62" spans="1:16" x14ac:dyDescent="0.35">
      <c r="A62" t="s">
        <v>3907</v>
      </c>
      <c r="B62" s="2">
        <f>_xlfn.IFNA(_xlfn.XLOOKUP(A62,'Price list'!A:A,'Price list'!B:B),0)</f>
        <v>35000</v>
      </c>
      <c r="C62" t="s">
        <v>9</v>
      </c>
      <c r="H62" s="2" t="str">
        <f>IF(G62=0,"",_xlfn.XLOOKUP(G62,List_item!A:A,List_item!B:B))</f>
        <v/>
      </c>
      <c r="I62" s="3">
        <v>0</v>
      </c>
      <c r="J62" s="26">
        <f t="shared" si="0"/>
        <v>0</v>
      </c>
      <c r="K62" s="3">
        <f t="shared" si="1"/>
        <v>0</v>
      </c>
      <c r="L62" s="27">
        <f t="shared" si="2"/>
        <v>0</v>
      </c>
      <c r="M62" s="3">
        <f t="shared" si="3"/>
        <v>0</v>
      </c>
      <c r="N62" s="3">
        <f t="shared" si="4"/>
        <v>0</v>
      </c>
      <c r="O62" s="3">
        <f t="shared" si="5"/>
        <v>0</v>
      </c>
    </row>
    <row r="63" spans="1:16" x14ac:dyDescent="0.35">
      <c r="A63" t="s">
        <v>3908</v>
      </c>
      <c r="B63" s="2">
        <f>_xlfn.IFNA(_xlfn.XLOOKUP(A63,'Price list'!A:A,'Price list'!B:B),0)</f>
        <v>35000</v>
      </c>
      <c r="C63" t="s">
        <v>9</v>
      </c>
      <c r="H63" s="2" t="str">
        <f>IF(G63=0,"",_xlfn.XLOOKUP(G63,List_item!A:A,List_item!B:B))</f>
        <v/>
      </c>
      <c r="I63" s="3">
        <v>0</v>
      </c>
      <c r="J63" s="26">
        <f t="shared" si="0"/>
        <v>0</v>
      </c>
      <c r="K63" s="3">
        <f t="shared" si="1"/>
        <v>0</v>
      </c>
      <c r="L63" s="27">
        <f t="shared" si="2"/>
        <v>0</v>
      </c>
      <c r="M63" s="3">
        <f t="shared" si="3"/>
        <v>0</v>
      </c>
      <c r="N63" s="3">
        <f t="shared" si="4"/>
        <v>0</v>
      </c>
      <c r="O63" s="3">
        <f t="shared" si="5"/>
        <v>0</v>
      </c>
    </row>
    <row r="64" spans="1:16" x14ac:dyDescent="0.35">
      <c r="A64" t="s">
        <v>3909</v>
      </c>
      <c r="B64" s="2">
        <f>_xlfn.IFNA(_xlfn.XLOOKUP(A64,'Price list'!A:A,'Price list'!B:B),0)</f>
        <v>35000</v>
      </c>
      <c r="C64" t="s">
        <v>9</v>
      </c>
      <c r="H64" s="2" t="str">
        <f>IF(G64=0,"",_xlfn.XLOOKUP(G64,List_item!A:A,List_item!B:B))</f>
        <v/>
      </c>
      <c r="I64" s="3">
        <v>0</v>
      </c>
      <c r="J64" s="26">
        <f t="shared" si="0"/>
        <v>0</v>
      </c>
      <c r="K64" s="3">
        <f t="shared" si="1"/>
        <v>0</v>
      </c>
      <c r="L64" s="27">
        <f t="shared" si="2"/>
        <v>0</v>
      </c>
      <c r="M64" s="3">
        <f t="shared" si="3"/>
        <v>0</v>
      </c>
      <c r="N64" s="3">
        <f t="shared" si="4"/>
        <v>0</v>
      </c>
      <c r="O64" s="3">
        <f t="shared" si="5"/>
        <v>0</v>
      </c>
    </row>
    <row r="65" spans="1:15" x14ac:dyDescent="0.35">
      <c r="A65" t="s">
        <v>3910</v>
      </c>
      <c r="B65" s="2">
        <f>_xlfn.IFNA(_xlfn.XLOOKUP(A65,'Price list'!A:A,'Price list'!B:B),0)</f>
        <v>0</v>
      </c>
      <c r="C65" t="s">
        <v>9</v>
      </c>
      <c r="H65" s="2" t="str">
        <f>IF(G65=0,"",_xlfn.XLOOKUP(G65,List_item!A:A,List_item!B:B))</f>
        <v/>
      </c>
      <c r="I65" s="3">
        <v>0</v>
      </c>
      <c r="J65" s="26">
        <f t="shared" si="0"/>
        <v>0</v>
      </c>
      <c r="K65" s="2">
        <f t="shared" si="1"/>
        <v>0</v>
      </c>
      <c r="L65" s="27">
        <f t="shared" si="2"/>
        <v>0</v>
      </c>
      <c r="M65" s="2">
        <f t="shared" si="3"/>
        <v>0</v>
      </c>
      <c r="N65" s="2">
        <f t="shared" si="4"/>
        <v>0</v>
      </c>
      <c r="O65" s="2">
        <f t="shared" si="5"/>
        <v>0</v>
      </c>
    </row>
    <row r="66" spans="1:15" x14ac:dyDescent="0.35">
      <c r="A66" t="s">
        <v>3911</v>
      </c>
      <c r="B66" s="2">
        <f>_xlfn.IFNA(_xlfn.XLOOKUP(A66,'Price list'!A:A,'Price list'!B:B),0)</f>
        <v>35000</v>
      </c>
      <c r="C66" t="s">
        <v>9</v>
      </c>
      <c r="H66" s="2" t="str">
        <f>IF(G66=0,"",_xlfn.XLOOKUP(G66,List_item!A:A,List_item!B:B))</f>
        <v/>
      </c>
      <c r="I66" s="3">
        <v>0</v>
      </c>
      <c r="J66" s="26">
        <f t="shared" si="0"/>
        <v>0</v>
      </c>
      <c r="K66" s="2">
        <f t="shared" si="1"/>
        <v>0</v>
      </c>
      <c r="L66" s="27">
        <f t="shared" si="2"/>
        <v>0</v>
      </c>
      <c r="M66" s="2">
        <f t="shared" si="3"/>
        <v>0</v>
      </c>
      <c r="N66" s="2">
        <f t="shared" si="4"/>
        <v>0</v>
      </c>
      <c r="O66" s="2">
        <f t="shared" si="5"/>
        <v>0</v>
      </c>
    </row>
    <row r="67" spans="1:15" x14ac:dyDescent="0.35">
      <c r="A67" t="s">
        <v>3912</v>
      </c>
      <c r="B67" s="2">
        <f>_xlfn.IFNA(_xlfn.XLOOKUP(A67,'Price list'!A:A,'Price list'!B:B),0)</f>
        <v>35000</v>
      </c>
      <c r="C67" t="s">
        <v>9</v>
      </c>
      <c r="H67" s="2" t="str">
        <f>IF(G67=0,"",_xlfn.XLOOKUP(G67,List_item!A:A,List_item!B:B))</f>
        <v/>
      </c>
      <c r="I67" s="3">
        <v>0</v>
      </c>
      <c r="J67" s="26">
        <f t="shared" si="0"/>
        <v>0</v>
      </c>
      <c r="K67" s="2">
        <f t="shared" si="1"/>
        <v>0</v>
      </c>
      <c r="L67" s="27">
        <f t="shared" si="2"/>
        <v>0</v>
      </c>
      <c r="M67" s="2">
        <f t="shared" si="3"/>
        <v>0</v>
      </c>
      <c r="N67" s="2">
        <f t="shared" si="4"/>
        <v>0</v>
      </c>
      <c r="O67" s="2">
        <f t="shared" si="5"/>
        <v>0</v>
      </c>
    </row>
    <row r="68" spans="1:15" x14ac:dyDescent="0.35">
      <c r="A68" t="s">
        <v>3913</v>
      </c>
      <c r="B68" s="2">
        <f>_xlfn.IFNA(_xlfn.XLOOKUP(A68,'Price list'!A:A,'Price list'!B:B),0)</f>
        <v>0</v>
      </c>
      <c r="C68" t="s">
        <v>9</v>
      </c>
      <c r="H68" s="2" t="str">
        <f>IF(G68=0,"",_xlfn.XLOOKUP(G68,List_item!A:A,List_item!B:B))</f>
        <v/>
      </c>
      <c r="I68" s="3">
        <v>0</v>
      </c>
      <c r="J68" s="26">
        <f t="shared" si="0"/>
        <v>0</v>
      </c>
      <c r="K68" s="2">
        <f t="shared" si="1"/>
        <v>0</v>
      </c>
      <c r="L68" s="27">
        <f t="shared" si="2"/>
        <v>0</v>
      </c>
      <c r="M68" s="2">
        <f t="shared" si="3"/>
        <v>0</v>
      </c>
      <c r="N68" s="2">
        <f t="shared" si="4"/>
        <v>0</v>
      </c>
      <c r="O68" s="2">
        <f t="shared" si="5"/>
        <v>0</v>
      </c>
    </row>
    <row r="69" spans="1:15" x14ac:dyDescent="0.35">
      <c r="A69" t="s">
        <v>3914</v>
      </c>
      <c r="B69" s="2">
        <f>_xlfn.IFNA(_xlfn.XLOOKUP(A69,'Price list'!A:A,'Price list'!B:B),0)</f>
        <v>0</v>
      </c>
      <c r="C69" t="s">
        <v>9</v>
      </c>
      <c r="H69" s="2" t="str">
        <f>IF(G69=0,"",_xlfn.XLOOKUP(G69,List_item!A:A,List_item!B:B))</f>
        <v/>
      </c>
      <c r="I69" s="3">
        <v>0</v>
      </c>
      <c r="J69" s="26">
        <f t="shared" si="0"/>
        <v>0</v>
      </c>
      <c r="K69" s="2">
        <f t="shared" si="1"/>
        <v>0</v>
      </c>
      <c r="L69" s="27">
        <f t="shared" si="2"/>
        <v>0</v>
      </c>
      <c r="M69" s="2">
        <f t="shared" si="3"/>
        <v>0</v>
      </c>
      <c r="N69" s="2">
        <f t="shared" si="4"/>
        <v>0</v>
      </c>
      <c r="O69" s="2">
        <f t="shared" si="5"/>
        <v>0</v>
      </c>
    </row>
    <row r="70" spans="1:15" x14ac:dyDescent="0.35">
      <c r="A70" t="s">
        <v>3915</v>
      </c>
      <c r="B70" s="2">
        <f>_xlfn.IFNA(_xlfn.XLOOKUP(A70,'Price list'!A:A,'Price list'!B:B),0)</f>
        <v>0</v>
      </c>
      <c r="C70" t="s">
        <v>9</v>
      </c>
      <c r="H70" s="2" t="str">
        <f>IF(G70=0,"",_xlfn.XLOOKUP(G70,List_item!A:A,List_item!B:B))</f>
        <v/>
      </c>
      <c r="I70" s="3">
        <v>0</v>
      </c>
      <c r="J70" s="26">
        <f t="shared" si="0"/>
        <v>0</v>
      </c>
      <c r="K70" s="2">
        <f t="shared" si="1"/>
        <v>0</v>
      </c>
      <c r="L70" s="27">
        <f t="shared" si="2"/>
        <v>0</v>
      </c>
      <c r="M70" s="2">
        <f t="shared" si="3"/>
        <v>0</v>
      </c>
      <c r="N70" s="2">
        <f t="shared" si="4"/>
        <v>0</v>
      </c>
      <c r="O70" s="2">
        <f t="shared" si="5"/>
        <v>0</v>
      </c>
    </row>
    <row r="71" spans="1:15" x14ac:dyDescent="0.35">
      <c r="A71" t="s">
        <v>3916</v>
      </c>
      <c r="B71" s="2">
        <f>_xlfn.IFNA(_xlfn.XLOOKUP(A71,'Price list'!A:A,'Price list'!B:B),0)</f>
        <v>0</v>
      </c>
      <c r="C71" t="s">
        <v>9</v>
      </c>
      <c r="H71" s="2" t="str">
        <f>IF(G71=0,"",_xlfn.XLOOKUP(G71,List_item!A:A,List_item!B:B))</f>
        <v/>
      </c>
      <c r="I71" s="3">
        <v>0</v>
      </c>
      <c r="J71" s="26">
        <f t="shared" si="0"/>
        <v>0</v>
      </c>
      <c r="K71" s="2">
        <f t="shared" si="1"/>
        <v>0</v>
      </c>
      <c r="L71" s="27">
        <f t="shared" si="2"/>
        <v>0</v>
      </c>
      <c r="M71" s="2">
        <f t="shared" si="3"/>
        <v>0</v>
      </c>
      <c r="N71" s="2">
        <f t="shared" si="4"/>
        <v>0</v>
      </c>
      <c r="O71" s="2">
        <f t="shared" si="5"/>
        <v>0</v>
      </c>
    </row>
    <row r="72" spans="1:15" x14ac:dyDescent="0.35">
      <c r="A72" t="s">
        <v>3917</v>
      </c>
      <c r="B72" s="2">
        <f>_xlfn.IFNA(_xlfn.XLOOKUP(A72,'Price list'!A:A,'Price list'!B:B),0)</f>
        <v>0</v>
      </c>
      <c r="C72" t="s">
        <v>9</v>
      </c>
      <c r="H72" s="2" t="str">
        <f>IF(G72=0,"",_xlfn.XLOOKUP(G72,List_item!A:A,List_item!B:B))</f>
        <v/>
      </c>
      <c r="I72" s="3">
        <v>0</v>
      </c>
      <c r="J72" s="26">
        <f t="shared" si="0"/>
        <v>0</v>
      </c>
      <c r="K72" s="2">
        <f t="shared" si="1"/>
        <v>0</v>
      </c>
      <c r="L72" s="27">
        <f t="shared" si="2"/>
        <v>0</v>
      </c>
      <c r="M72" s="2">
        <f t="shared" si="3"/>
        <v>0</v>
      </c>
      <c r="N72" s="2">
        <f t="shared" si="4"/>
        <v>0</v>
      </c>
      <c r="O72" s="2">
        <f t="shared" si="5"/>
        <v>0</v>
      </c>
    </row>
    <row r="73" spans="1:15" x14ac:dyDescent="0.35">
      <c r="A73" t="s">
        <v>3918</v>
      </c>
      <c r="B73" s="2">
        <f>_xlfn.IFNA(_xlfn.XLOOKUP(A73,'Price list'!A:A,'Price list'!B:B),0)</f>
        <v>0</v>
      </c>
      <c r="C73" t="s">
        <v>9</v>
      </c>
      <c r="H73" s="2" t="str">
        <f>IF(G73=0,"",_xlfn.XLOOKUP(G73,List_item!A:A,List_item!B:B))</f>
        <v/>
      </c>
      <c r="I73" s="3">
        <v>0</v>
      </c>
      <c r="J73" s="26">
        <f t="shared" si="0"/>
        <v>0</v>
      </c>
      <c r="K73" s="2">
        <f t="shared" si="1"/>
        <v>0</v>
      </c>
      <c r="L73" s="27">
        <f t="shared" si="2"/>
        <v>0</v>
      </c>
      <c r="M73" s="2">
        <f t="shared" si="3"/>
        <v>0</v>
      </c>
      <c r="N73" s="2">
        <f t="shared" si="4"/>
        <v>0</v>
      </c>
      <c r="O73" s="2">
        <f t="shared" si="5"/>
        <v>0</v>
      </c>
    </row>
    <row r="74" spans="1:15" x14ac:dyDescent="0.35">
      <c r="A74" t="s">
        <v>3919</v>
      </c>
      <c r="B74" s="2">
        <f>_xlfn.IFNA(_xlfn.XLOOKUP(A74,'Price list'!A:A,'Price list'!B:B),0)</f>
        <v>0</v>
      </c>
      <c r="C74" t="s">
        <v>9</v>
      </c>
      <c r="H74" s="2" t="str">
        <f>IF(G74=0,"",_xlfn.XLOOKUP(G74,List_item!A:A,List_item!B:B))</f>
        <v/>
      </c>
      <c r="I74" s="3">
        <v>0</v>
      </c>
      <c r="J74" s="26">
        <f t="shared" si="0"/>
        <v>0</v>
      </c>
      <c r="K74" s="2">
        <f t="shared" si="1"/>
        <v>0</v>
      </c>
      <c r="L74" s="27">
        <f t="shared" si="2"/>
        <v>0</v>
      </c>
      <c r="M74" s="2">
        <f t="shared" si="3"/>
        <v>0</v>
      </c>
      <c r="N74" s="2">
        <f t="shared" si="4"/>
        <v>0</v>
      </c>
      <c r="O74" s="2">
        <f t="shared" si="5"/>
        <v>0</v>
      </c>
    </row>
    <row r="75" spans="1:15" x14ac:dyDescent="0.35">
      <c r="A75" t="s">
        <v>3920</v>
      </c>
      <c r="B75" s="2">
        <f>_xlfn.IFNA(_xlfn.XLOOKUP(A75,'Price list'!A:A,'Price list'!B:B),0)</f>
        <v>0</v>
      </c>
      <c r="C75" t="s">
        <v>9</v>
      </c>
      <c r="H75" s="2" t="str">
        <f>IF(G75=0,"",_xlfn.XLOOKUP(G75,List_item!A:A,List_item!B:B))</f>
        <v/>
      </c>
      <c r="I75" s="3">
        <v>0</v>
      </c>
      <c r="J75" s="26">
        <f t="shared" ref="J75:J79" si="6">IF(F75/E$10&gt;0,F75/E$10,I75/E$10)</f>
        <v>0</v>
      </c>
      <c r="K75" s="2">
        <f t="shared" ref="K75:K79" si="7">+B75*(F75+I75)</f>
        <v>0</v>
      </c>
      <c r="L75" s="27">
        <f t="shared" ref="L75:L79" si="8">IFERROR(((K75/SUM($K$11:$K$79))*$F$10)/(F75+I75),0)</f>
        <v>0</v>
      </c>
      <c r="M75" s="2">
        <f t="shared" ref="M75:M79" si="9">+L75*(F75+I75)</f>
        <v>0</v>
      </c>
      <c r="N75" s="2">
        <f t="shared" ref="N75:N79" si="10">IF(L75=0,0,B75-L75)</f>
        <v>0</v>
      </c>
      <c r="O75" s="2">
        <f t="shared" si="5"/>
        <v>0</v>
      </c>
    </row>
    <row r="76" spans="1:15" x14ac:dyDescent="0.35">
      <c r="A76" t="s">
        <v>3921</v>
      </c>
      <c r="B76" s="2">
        <f>_xlfn.IFNA(_xlfn.XLOOKUP(A76,'Price list'!A:A,'Price list'!B:B),0)</f>
        <v>0</v>
      </c>
      <c r="C76" t="s">
        <v>9</v>
      </c>
      <c r="H76" s="2" t="str">
        <f>IF(G76=0,"",_xlfn.XLOOKUP(G76,List_item!A:A,List_item!B:B))</f>
        <v/>
      </c>
      <c r="I76" s="3">
        <v>0</v>
      </c>
      <c r="J76" s="26">
        <f t="shared" si="6"/>
        <v>0</v>
      </c>
      <c r="K76" s="2">
        <f t="shared" si="7"/>
        <v>0</v>
      </c>
      <c r="L76" s="27">
        <f t="shared" si="8"/>
        <v>0</v>
      </c>
      <c r="M76" s="2">
        <f t="shared" si="9"/>
        <v>0</v>
      </c>
      <c r="N76" s="2">
        <f t="shared" si="10"/>
        <v>0</v>
      </c>
      <c r="O76" s="2">
        <f t="shared" ref="O76:O79" si="11">+K76-M76</f>
        <v>0</v>
      </c>
    </row>
    <row r="77" spans="1:15" x14ac:dyDescent="0.35">
      <c r="A77" t="s">
        <v>3922</v>
      </c>
      <c r="B77" s="2">
        <f>_xlfn.IFNA(_xlfn.XLOOKUP(A77,'Price list'!A:A,'Price list'!B:B),0)</f>
        <v>0</v>
      </c>
      <c r="C77" t="s">
        <v>9</v>
      </c>
      <c r="H77" s="2" t="str">
        <f>IF(G77=0,"",_xlfn.XLOOKUP(G77,List_item!A:A,List_item!B:B))</f>
        <v/>
      </c>
      <c r="I77" s="3">
        <v>0</v>
      </c>
      <c r="J77" s="26">
        <f t="shared" si="6"/>
        <v>0</v>
      </c>
      <c r="K77" s="2">
        <f t="shared" si="7"/>
        <v>0</v>
      </c>
      <c r="L77" s="27">
        <f t="shared" si="8"/>
        <v>0</v>
      </c>
      <c r="M77" s="2">
        <f t="shared" si="9"/>
        <v>0</v>
      </c>
      <c r="N77" s="2">
        <f t="shared" si="10"/>
        <v>0</v>
      </c>
      <c r="O77" s="2">
        <f t="shared" si="11"/>
        <v>0</v>
      </c>
    </row>
    <row r="78" spans="1:15" x14ac:dyDescent="0.35">
      <c r="A78" t="s">
        <v>3923</v>
      </c>
      <c r="B78" s="2">
        <f>_xlfn.IFNA(_xlfn.XLOOKUP(A78,'Price list'!A:A,'Price list'!B:B),0)</f>
        <v>0</v>
      </c>
      <c r="C78" t="s">
        <v>9</v>
      </c>
      <c r="H78" s="2" t="str">
        <f>IF(G78=0,"",_xlfn.XLOOKUP(G78,List_item!A:A,List_item!B:B))</f>
        <v/>
      </c>
      <c r="I78" s="3">
        <v>0</v>
      </c>
      <c r="J78" s="26">
        <f t="shared" si="6"/>
        <v>0</v>
      </c>
      <c r="K78" s="2">
        <f t="shared" si="7"/>
        <v>0</v>
      </c>
      <c r="L78" s="27">
        <f t="shared" si="8"/>
        <v>0</v>
      </c>
      <c r="M78" s="2">
        <f t="shared" si="9"/>
        <v>0</v>
      </c>
      <c r="N78" s="2">
        <f t="shared" si="10"/>
        <v>0</v>
      </c>
      <c r="O78" s="2">
        <f t="shared" si="11"/>
        <v>0</v>
      </c>
    </row>
    <row r="79" spans="1:15" x14ac:dyDescent="0.35">
      <c r="A79" t="s">
        <v>3924</v>
      </c>
      <c r="B79" s="2">
        <f>_xlfn.IFNA(_xlfn.XLOOKUP(A79,'Price list'!A:A,'Price list'!B:B),0)</f>
        <v>0</v>
      </c>
      <c r="C79" t="s">
        <v>9</v>
      </c>
      <c r="H79" s="2" t="str">
        <f>IF(G79=0,"",_xlfn.XLOOKUP(G79,List_item!A:A,List_item!B:B))</f>
        <v/>
      </c>
      <c r="I79" s="3">
        <v>0</v>
      </c>
      <c r="J79" s="26">
        <f t="shared" si="6"/>
        <v>0</v>
      </c>
      <c r="K79" s="2">
        <f t="shared" si="7"/>
        <v>0</v>
      </c>
      <c r="L79" s="27">
        <f t="shared" si="8"/>
        <v>0</v>
      </c>
      <c r="M79" s="2">
        <f t="shared" si="9"/>
        <v>0</v>
      </c>
      <c r="N79" s="2">
        <f t="shared" si="10"/>
        <v>0</v>
      </c>
      <c r="O79" s="2">
        <f t="shared" si="11"/>
        <v>0</v>
      </c>
    </row>
    <row r="82" spans="1:7" x14ac:dyDescent="0.35">
      <c r="A82" t="s">
        <v>3929</v>
      </c>
      <c r="B82"/>
      <c r="E82"/>
      <c r="F82" s="117"/>
      <c r="G82" t="s">
        <v>3930</v>
      </c>
    </row>
    <row r="83" spans="1:7" x14ac:dyDescent="0.35">
      <c r="B83"/>
      <c r="E83"/>
      <c r="F83" s="117"/>
      <c r="G83"/>
    </row>
    <row r="84" spans="1:7" x14ac:dyDescent="0.35">
      <c r="B84"/>
      <c r="E84"/>
      <c r="F84" s="117"/>
      <c r="G84"/>
    </row>
    <row r="85" spans="1:7" x14ac:dyDescent="0.35">
      <c r="B85"/>
      <c r="E85"/>
      <c r="F85" s="117"/>
      <c r="G85"/>
    </row>
    <row r="86" spans="1:7" x14ac:dyDescent="0.35">
      <c r="B86"/>
      <c r="E86"/>
      <c r="F86" s="117"/>
      <c r="G86"/>
    </row>
    <row r="87" spans="1:7" x14ac:dyDescent="0.35">
      <c r="B87"/>
      <c r="E87"/>
      <c r="F87" s="117"/>
      <c r="G87"/>
    </row>
    <row r="88" spans="1:7" x14ac:dyDescent="0.35">
      <c r="A88" s="118"/>
      <c r="B88"/>
      <c r="E88"/>
      <c r="F88" s="117"/>
      <c r="G88" s="118"/>
    </row>
    <row r="89" spans="1:7" x14ac:dyDescent="0.35">
      <c r="B89"/>
      <c r="E89"/>
      <c r="F89" s="117"/>
      <c r="G89"/>
    </row>
  </sheetData>
  <autoFilter ref="A10:P79" xr:uid="{9E3D57EB-0D9F-40FE-B4FE-C94EEFF00F8F}"/>
  <conditionalFormatting sqref="O10">
    <cfRule type="cellIs" dxfId="0" priority="1" operator="lessThan">
      <formula>0</formula>
    </cfRule>
  </conditionalFormatting>
  <pageMargins left="0.7" right="0.7" top="0.75" bottom="0.75" header="0.3" footer="0.3"/>
  <pageSetup paperSize="9" scale="58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2C71-021A-4FCE-89BC-EE79C3276A39}">
  <sheetPr>
    <pageSetUpPr fitToPage="1"/>
  </sheetPr>
  <dimension ref="A1:AF314"/>
  <sheetViews>
    <sheetView zoomScale="80" zoomScaleNormal="80" workbookViewId="0">
      <pane xSplit="3" ySplit="5" topLeftCell="D94" activePane="bottomRight" state="frozen"/>
      <selection pane="topRight" activeCell="D1" sqref="D1"/>
      <selection pane="bottomLeft" activeCell="A6" sqref="A6"/>
      <selection pane="bottomRight" activeCell="B196" sqref="B196"/>
    </sheetView>
  </sheetViews>
  <sheetFormatPr defaultRowHeight="14.5" x14ac:dyDescent="0.35"/>
  <cols>
    <col min="1" max="1" width="19.54296875" bestFit="1" customWidth="1"/>
    <col min="2" max="2" width="15" style="2" customWidth="1"/>
    <col min="3" max="3" width="7.26953125" bestFit="1" customWidth="1"/>
    <col min="4" max="4" width="2" customWidth="1"/>
    <col min="5" max="5" width="11.54296875" style="2" bestFit="1" customWidth="1"/>
    <col min="6" max="6" width="16.26953125" style="2" bestFit="1" customWidth="1"/>
    <col min="7" max="7" width="12.453125" style="2" customWidth="1"/>
    <col min="8" max="8" width="10" style="2" bestFit="1" customWidth="1"/>
    <col min="9" max="9" width="10" style="2" customWidth="1"/>
    <col min="10" max="10" width="17.81640625" style="2" bestFit="1" customWidth="1"/>
    <col min="11" max="11" width="15.1796875" style="2" customWidth="1"/>
    <col min="12" max="12" width="16.26953125" style="2" bestFit="1" customWidth="1"/>
    <col min="13" max="13" width="17" style="2" bestFit="1" customWidth="1"/>
    <col min="14" max="14" width="22.26953125" style="2" bestFit="1" customWidth="1"/>
    <col min="15" max="15" width="16.26953125" bestFit="1" customWidth="1"/>
    <col min="16" max="16" width="15.1796875" bestFit="1" customWidth="1"/>
    <col min="18" max="18" width="39.81640625" bestFit="1" customWidth="1"/>
    <col min="19" max="19" width="30.7265625" bestFit="1" customWidth="1"/>
    <col min="20" max="20" width="12.453125" bestFit="1" customWidth="1"/>
    <col min="21" max="21" width="7.26953125" bestFit="1" customWidth="1"/>
    <col min="22" max="22" width="3" customWidth="1"/>
    <col min="23" max="23" width="11.7265625" bestFit="1" customWidth="1"/>
    <col min="24" max="24" width="18.1796875" bestFit="1" customWidth="1"/>
    <col min="25" max="25" width="12.453125" bestFit="1" customWidth="1"/>
    <col min="26" max="26" width="11.26953125" bestFit="1" customWidth="1"/>
    <col min="27" max="27" width="8.54296875" bestFit="1" customWidth="1"/>
    <col min="28" max="28" width="18.1796875" bestFit="1" customWidth="1"/>
    <col min="29" max="29" width="16.1796875" bestFit="1" customWidth="1"/>
    <col min="30" max="30" width="18.1796875" bestFit="1" customWidth="1"/>
    <col min="31" max="31" width="14" bestFit="1" customWidth="1"/>
    <col min="32" max="32" width="22.26953125" bestFit="1" customWidth="1"/>
  </cols>
  <sheetData>
    <row r="1" spans="1:21" x14ac:dyDescent="0.35">
      <c r="H1" s="2">
        <f>+H2/E6</f>
        <v>1.2568157894736847</v>
      </c>
    </row>
    <row r="2" spans="1:21" x14ac:dyDescent="0.35">
      <c r="A2" s="8" t="s">
        <v>3831</v>
      </c>
      <c r="B2" s="19"/>
      <c r="C2" s="18"/>
      <c r="E2" s="18" t="s">
        <v>3824</v>
      </c>
      <c r="F2" s="2">
        <f>F6/E6</f>
        <v>16600</v>
      </c>
      <c r="H2" s="2">
        <f>+SUM(H7:H35)+SUM(H44:H51)</f>
        <v>4775.9000000000015</v>
      </c>
      <c r="J2" s="19" t="s">
        <v>2176</v>
      </c>
      <c r="K2" s="28">
        <f>SUM(J7:J60)/L6-1</f>
        <v>0.90729549778059648</v>
      </c>
      <c r="O2" s="25"/>
      <c r="P2" s="6"/>
    </row>
    <row r="3" spans="1:21" x14ac:dyDescent="0.35">
      <c r="A3" s="170" t="s">
        <v>27</v>
      </c>
      <c r="B3" s="165" t="s">
        <v>2163</v>
      </c>
      <c r="C3" s="170" t="s">
        <v>4</v>
      </c>
      <c r="D3" s="1"/>
      <c r="E3" s="171" t="s">
        <v>28</v>
      </c>
      <c r="F3" s="165" t="s">
        <v>6</v>
      </c>
      <c r="G3" s="165" t="s">
        <v>29</v>
      </c>
      <c r="H3" s="165" t="s">
        <v>5</v>
      </c>
      <c r="I3" s="165" t="s">
        <v>2177</v>
      </c>
      <c r="J3" s="165" t="s">
        <v>2180</v>
      </c>
      <c r="K3" s="166" t="s">
        <v>3827</v>
      </c>
      <c r="L3" s="167" t="s">
        <v>2173</v>
      </c>
      <c r="M3" s="165" t="s">
        <v>2172</v>
      </c>
      <c r="N3" s="165" t="s">
        <v>3826</v>
      </c>
      <c r="O3" s="165" t="s">
        <v>3841</v>
      </c>
    </row>
    <row r="4" spans="1:21" x14ac:dyDescent="0.35">
      <c r="A4" s="170"/>
      <c r="B4" s="165"/>
      <c r="C4" s="170"/>
      <c r="D4" s="1"/>
      <c r="E4" s="171"/>
      <c r="F4" s="165"/>
      <c r="G4" s="165"/>
      <c r="H4" s="165"/>
      <c r="I4" s="165"/>
      <c r="J4" s="165"/>
      <c r="K4" s="166"/>
      <c r="L4" s="168"/>
      <c r="M4" s="165"/>
      <c r="N4" s="165"/>
      <c r="O4" s="165"/>
    </row>
    <row r="5" spans="1:21" x14ac:dyDescent="0.35">
      <c r="A5" s="170"/>
      <c r="B5" s="165"/>
      <c r="C5" s="170"/>
      <c r="D5" s="1"/>
      <c r="E5" s="171"/>
      <c r="F5" s="165"/>
      <c r="G5" s="165"/>
      <c r="H5" s="165"/>
      <c r="I5" s="165"/>
      <c r="J5" s="165"/>
      <c r="K5" s="166"/>
      <c r="L5" s="169"/>
      <c r="M5" s="165"/>
      <c r="N5" s="165"/>
      <c r="O5" s="165"/>
    </row>
    <row r="6" spans="1:21" x14ac:dyDescent="0.35">
      <c r="A6" s="4"/>
      <c r="B6" s="24"/>
      <c r="C6" s="4"/>
      <c r="D6" s="1"/>
      <c r="E6" s="5">
        <v>3800</v>
      </c>
      <c r="F6" s="5">
        <f>+E6*16600</f>
        <v>63080000</v>
      </c>
      <c r="G6" s="5"/>
      <c r="H6" s="5"/>
      <c r="I6" s="5"/>
      <c r="J6" s="5">
        <f>+SUM(J7:J60)</f>
        <v>120312200</v>
      </c>
      <c r="K6" s="5"/>
      <c r="L6" s="5">
        <f>+SUM(L7:L60)</f>
        <v>63079999.999999985</v>
      </c>
      <c r="M6" s="5">
        <f>+F6-L6</f>
        <v>0</v>
      </c>
      <c r="O6" s="2">
        <v>3500000</v>
      </c>
      <c r="P6" t="s">
        <v>3843</v>
      </c>
    </row>
    <row r="7" spans="1:21" x14ac:dyDescent="0.35">
      <c r="A7" t="s">
        <v>2182</v>
      </c>
      <c r="B7" s="2">
        <f>_xlfn.XLOOKUP(A7,Sheet5!E:E,Sheet5!F:F)</f>
        <v>28000</v>
      </c>
      <c r="C7" t="s">
        <v>9</v>
      </c>
      <c r="G7" s="3" t="s">
        <v>2219</v>
      </c>
      <c r="H7" s="3">
        <v>1.8</v>
      </c>
      <c r="I7" s="26">
        <f>IF(F7/E$6&gt;0,F7/E$6,H7/E$6)</f>
        <v>4.7368421052631582E-4</v>
      </c>
      <c r="J7" s="3">
        <f t="shared" ref="J7:J60" si="0">+B7*(F7+H7)</f>
        <v>50400</v>
      </c>
      <c r="K7" s="27">
        <f>IFERROR(((J7/SUM($J$7:$J$60))*$F$6)/(F7+H7),0)</f>
        <v>14680.47296949104</v>
      </c>
      <c r="L7" s="3">
        <f>+K7*(F7+H7)</f>
        <v>26424.851345083873</v>
      </c>
      <c r="M7" s="3">
        <f t="shared" ref="M7:M60" si="1">IF(K7=0,0,B7-K7)</f>
        <v>13319.52703050896</v>
      </c>
      <c r="O7" s="6"/>
      <c r="P7" s="6"/>
      <c r="R7" t="str">
        <f>IF(G7=0,"",_xlfn.XLOOKUP(G7,List_item!A:A,List_item!B:B))</f>
        <v>Karkas Uk 0.5 Karkas Uk 0.5 Frozen Premium</v>
      </c>
    </row>
    <row r="8" spans="1:21" x14ac:dyDescent="0.35">
      <c r="A8" t="s">
        <v>2183</v>
      </c>
      <c r="B8" s="2">
        <f>_xlfn.XLOOKUP(A8,Sheet5!E:E,Sheet5!F:F)</f>
        <v>28000</v>
      </c>
      <c r="C8" t="s">
        <v>9</v>
      </c>
      <c r="G8" s="3" t="s">
        <v>2220</v>
      </c>
      <c r="H8" s="2">
        <v>39</v>
      </c>
      <c r="I8" s="26">
        <f>IF(F8/E$6&gt;0,F8/E$6,H8/E$6)</f>
        <v>1.0263157894736842E-2</v>
      </c>
      <c r="J8" s="3">
        <f t="shared" si="0"/>
        <v>1092000</v>
      </c>
      <c r="K8" s="27">
        <f>IFERROR(((J8/SUM($J$7:$J$60))*$F$6)/(F8+H8),0)</f>
        <v>14680.47296949104</v>
      </c>
      <c r="L8" s="3">
        <f t="shared" ref="L8:L60" si="2">+K8*(F8+H8)</f>
        <v>572538.44581015059</v>
      </c>
      <c r="M8" s="3">
        <f t="shared" si="1"/>
        <v>13319.52703050896</v>
      </c>
      <c r="R8" t="str">
        <f>IF(G8=0,"",_xlfn.XLOOKUP(G8,List_item!A:A,List_item!B:B))</f>
        <v>Karkas Uk 0.6 Karkas Uk 0.6 Frozen Premium</v>
      </c>
      <c r="T8" s="3" t="s">
        <v>989</v>
      </c>
      <c r="U8">
        <f>+SUMIFS(H:H,G:G,T8)</f>
        <v>975</v>
      </c>
    </row>
    <row r="9" spans="1:21" x14ac:dyDescent="0.35">
      <c r="A9" t="s">
        <v>2184</v>
      </c>
      <c r="B9" s="2">
        <f>_xlfn.XLOOKUP(A9,Sheet5!E:E,Sheet5!F:F)</f>
        <v>28000</v>
      </c>
      <c r="C9" t="s">
        <v>9</v>
      </c>
      <c r="E9" s="3"/>
      <c r="G9" s="3" t="s">
        <v>2221</v>
      </c>
      <c r="H9" s="3">
        <v>304.7</v>
      </c>
      <c r="I9" s="26">
        <f>IF(F9/E$6&gt;0,F9/E$6,H9/E$6)</f>
        <v>8.0184210526315788E-2</v>
      </c>
      <c r="J9" s="3">
        <f t="shared" si="0"/>
        <v>8531600</v>
      </c>
      <c r="K9" s="27">
        <f>IFERROR(((J9/SUM($J$7:$J$60))*$F$6)/(F9+H9),0)</f>
        <v>14680.472969491042</v>
      </c>
      <c r="L9" s="3">
        <f t="shared" si="2"/>
        <v>4473140.1138039203</v>
      </c>
      <c r="M9" s="3">
        <f t="shared" si="1"/>
        <v>13319.527030508958</v>
      </c>
      <c r="R9" t="str">
        <f>IF(G9=0,"",_xlfn.XLOOKUP(G9,List_item!A:A,List_item!B:B))</f>
        <v>Karkas Uk 0.7 Karkas Uk 0.7 Frozen Premium</v>
      </c>
      <c r="T9" t="s">
        <v>962</v>
      </c>
      <c r="U9">
        <f>+SUMIFS(H:H,G:G,T9)</f>
        <v>39.5</v>
      </c>
    </row>
    <row r="10" spans="1:21" x14ac:dyDescent="0.35">
      <c r="A10" t="s">
        <v>2185</v>
      </c>
      <c r="B10" s="2">
        <f>_xlfn.XLOOKUP(A10,Sheet5!E:E,Sheet5!F:F)</f>
        <v>28000</v>
      </c>
      <c r="C10" t="s">
        <v>9</v>
      </c>
      <c r="G10" s="3" t="s">
        <v>2222</v>
      </c>
      <c r="H10" s="2">
        <v>1005.3</v>
      </c>
      <c r="I10" s="26">
        <f t="shared" ref="I10:I60" si="3">IF(F10/E$6&gt;0,F10/E$6,H10/E$6)</f>
        <v>0.26455263157894737</v>
      </c>
      <c r="J10" s="3">
        <f t="shared" si="0"/>
        <v>28148400</v>
      </c>
      <c r="K10" s="27">
        <f t="shared" ref="K10:K60" si="4">IFERROR(((J10/SUM($J$7:$J$60))*$F$6)/(F10+H10),0)</f>
        <v>14680.47296949104</v>
      </c>
      <c r="L10" s="3">
        <f t="shared" si="2"/>
        <v>14758279.476229342</v>
      </c>
      <c r="M10" s="3">
        <f t="shared" si="1"/>
        <v>13319.52703050896</v>
      </c>
      <c r="O10" s="38"/>
      <c r="R10" t="str">
        <f>IF(G10=0,"",_xlfn.XLOOKUP(G10,List_item!A:A,List_item!B:B))</f>
        <v>Karkas Uk 0.8 Frozen Premium</v>
      </c>
    </row>
    <row r="11" spans="1:21" x14ac:dyDescent="0.35">
      <c r="A11" t="s">
        <v>2186</v>
      </c>
      <c r="B11" s="3">
        <f>_xlfn.XLOOKUP(A11,Sheet5!E:E,Sheet5!F:F)</f>
        <v>28000</v>
      </c>
      <c r="C11" t="s">
        <v>9</v>
      </c>
      <c r="E11"/>
      <c r="F11"/>
      <c r="G11" s="3" t="s">
        <v>2223</v>
      </c>
      <c r="H11" s="3">
        <v>797.7</v>
      </c>
      <c r="I11" s="26">
        <f>IF(F11/E$6&gt;0,F11/E$6,H11/E$6)</f>
        <v>0.20992105263157895</v>
      </c>
      <c r="J11" s="3">
        <f t="shared" si="0"/>
        <v>22335600</v>
      </c>
      <c r="K11" s="27">
        <f t="shared" si="4"/>
        <v>14680.47296949104</v>
      </c>
      <c r="L11" s="3">
        <f t="shared" si="2"/>
        <v>11710613.287763003</v>
      </c>
      <c r="M11" s="3">
        <f t="shared" si="1"/>
        <v>13319.52703050896</v>
      </c>
      <c r="N11" s="3"/>
      <c r="P11" s="7"/>
      <c r="R11" t="str">
        <f>IF(G11=0,"",_xlfn.XLOOKUP(G11,List_item!A:A,List_item!B:B))</f>
        <v>Karkas Uk 0.9 Frozen Premium</v>
      </c>
    </row>
    <row r="12" spans="1:21" x14ac:dyDescent="0.35">
      <c r="A12" t="s">
        <v>2187</v>
      </c>
      <c r="B12" s="3">
        <f>_xlfn.XLOOKUP(A12,Sheet5!E:E,Sheet5!F:F)</f>
        <v>26500</v>
      </c>
      <c r="C12" t="s">
        <v>9</v>
      </c>
      <c r="E12" s="3"/>
      <c r="F12"/>
      <c r="G12" s="3" t="s">
        <v>896</v>
      </c>
      <c r="H12" s="3">
        <v>174.4</v>
      </c>
      <c r="I12" s="26">
        <f t="shared" si="3"/>
        <v>4.5894736842105266E-2</v>
      </c>
      <c r="J12" s="3">
        <f t="shared" si="0"/>
        <v>4621600</v>
      </c>
      <c r="K12" s="27">
        <f t="shared" si="4"/>
        <v>13894.019060411163</v>
      </c>
      <c r="L12" s="3">
        <f t="shared" si="2"/>
        <v>2423116.9241357069</v>
      </c>
      <c r="M12" s="3">
        <f t="shared" si="1"/>
        <v>12605.980939588837</v>
      </c>
      <c r="N12" s="3"/>
      <c r="P12" s="7"/>
      <c r="R12" t="str">
        <f>IF(G12=0,"",_xlfn.XLOOKUP(G12,List_item!A:A,List_item!B:B))</f>
        <v>Karkas Uk 1.0 Karkas Uk 1.0 Frozen Grade A</v>
      </c>
    </row>
    <row r="13" spans="1:21" x14ac:dyDescent="0.35">
      <c r="A13" t="s">
        <v>2188</v>
      </c>
      <c r="B13" s="3">
        <f>_xlfn.XLOOKUP(A13,Sheet5!E:E,Sheet5!F:F)</f>
        <v>26500</v>
      </c>
      <c r="C13" t="s">
        <v>9</v>
      </c>
      <c r="E13" s="6"/>
      <c r="F13"/>
      <c r="G13" s="3" t="s">
        <v>989</v>
      </c>
      <c r="H13" s="3">
        <v>28.7</v>
      </c>
      <c r="I13" s="26">
        <f t="shared" si="3"/>
        <v>7.5526315789473681E-3</v>
      </c>
      <c r="J13" s="3">
        <f t="shared" si="0"/>
        <v>760550</v>
      </c>
      <c r="K13" s="27">
        <f t="shared" si="4"/>
        <v>13894.019060411165</v>
      </c>
      <c r="L13" s="3">
        <f t="shared" si="2"/>
        <v>398758.34703380044</v>
      </c>
      <c r="M13" s="3">
        <f t="shared" si="1"/>
        <v>12605.980939588835</v>
      </c>
      <c r="N13" s="3"/>
      <c r="P13" s="7"/>
      <c r="R13" t="str">
        <f>IF(G13=0,"",_xlfn.XLOOKUP(G13,List_item!A:A,List_item!B:B))</f>
        <v>Karkas Uk 1.1 Karkas Uk 1.1 Frozen Premium</v>
      </c>
    </row>
    <row r="14" spans="1:21" x14ac:dyDescent="0.35">
      <c r="A14" t="s">
        <v>2189</v>
      </c>
      <c r="B14" s="3">
        <f>_xlfn.XLOOKUP(A14,Sheet5!E:E,Sheet5!F:F)</f>
        <v>26500</v>
      </c>
      <c r="C14" t="s">
        <v>9</v>
      </c>
      <c r="E14" s="3"/>
      <c r="F14" s="3"/>
      <c r="G14" s="3"/>
      <c r="H14" s="3">
        <v>0</v>
      </c>
      <c r="I14" s="26">
        <f t="shared" si="3"/>
        <v>0</v>
      </c>
      <c r="J14" s="3">
        <f t="shared" si="0"/>
        <v>0</v>
      </c>
      <c r="K14" s="27">
        <f t="shared" si="4"/>
        <v>0</v>
      </c>
      <c r="L14" s="3">
        <f t="shared" si="2"/>
        <v>0</v>
      </c>
      <c r="M14" s="3">
        <f t="shared" si="1"/>
        <v>0</v>
      </c>
      <c r="N14" s="3"/>
      <c r="R14" t="str">
        <f>IF(G14=0,"",_xlfn.XLOOKUP(G14,List_item!A:A,List_item!B:B))</f>
        <v/>
      </c>
    </row>
    <row r="15" spans="1:21" x14ac:dyDescent="0.35">
      <c r="A15" t="s">
        <v>2190</v>
      </c>
      <c r="B15" s="2">
        <f>_xlfn.XLOOKUP(A15,Sheet5!E:E,Sheet5!F:F)</f>
        <v>26500</v>
      </c>
      <c r="C15" t="s">
        <v>9</v>
      </c>
      <c r="G15" s="3"/>
      <c r="H15" s="2">
        <v>0</v>
      </c>
      <c r="I15" s="26">
        <f t="shared" si="3"/>
        <v>0</v>
      </c>
      <c r="J15" s="3">
        <f t="shared" si="0"/>
        <v>0</v>
      </c>
      <c r="K15" s="27">
        <f t="shared" si="4"/>
        <v>0</v>
      </c>
      <c r="L15" s="3">
        <f t="shared" si="2"/>
        <v>0</v>
      </c>
      <c r="M15" s="3">
        <f t="shared" si="1"/>
        <v>0</v>
      </c>
      <c r="R15" t="str">
        <f>IF(G15=0,"",_xlfn.XLOOKUP(G15,List_item!A:A,List_item!B:B))</f>
        <v/>
      </c>
    </row>
    <row r="16" spans="1:21" x14ac:dyDescent="0.35">
      <c r="A16" t="s">
        <v>2191</v>
      </c>
      <c r="B16" s="2">
        <f>_xlfn.XLOOKUP(A16,Sheet5!E:E,Sheet5!F:F)</f>
        <v>26500</v>
      </c>
      <c r="C16" t="s">
        <v>9</v>
      </c>
      <c r="G16" s="3"/>
      <c r="H16" s="2">
        <v>0</v>
      </c>
      <c r="I16" s="26">
        <f t="shared" si="3"/>
        <v>0</v>
      </c>
      <c r="J16" s="3">
        <f t="shared" si="0"/>
        <v>0</v>
      </c>
      <c r="K16" s="27">
        <f t="shared" si="4"/>
        <v>0</v>
      </c>
      <c r="L16" s="3">
        <f t="shared" si="2"/>
        <v>0</v>
      </c>
      <c r="M16" s="3">
        <f t="shared" si="1"/>
        <v>0</v>
      </c>
      <c r="R16" t="str">
        <f>IF(G16=0,"",_xlfn.XLOOKUP(G16,List_item!A:A,List_item!B:B))</f>
        <v/>
      </c>
    </row>
    <row r="17" spans="1:18" x14ac:dyDescent="0.35">
      <c r="A17" t="s">
        <v>2192</v>
      </c>
      <c r="B17" s="2">
        <f>_xlfn.XLOOKUP(A17,Sheet5!E:E,Sheet5!F:F)</f>
        <v>26500</v>
      </c>
      <c r="C17" t="s">
        <v>9</v>
      </c>
      <c r="E17" s="3"/>
      <c r="G17" s="3"/>
      <c r="H17" s="3">
        <v>0</v>
      </c>
      <c r="I17" s="26">
        <f t="shared" si="3"/>
        <v>0</v>
      </c>
      <c r="J17" s="3">
        <f t="shared" si="0"/>
        <v>0</v>
      </c>
      <c r="K17" s="27">
        <f t="shared" si="4"/>
        <v>0</v>
      </c>
      <c r="L17" s="3">
        <f t="shared" si="2"/>
        <v>0</v>
      </c>
      <c r="M17" s="3">
        <f t="shared" si="1"/>
        <v>0</v>
      </c>
      <c r="R17" t="str">
        <f>IF(G17=0,"",_xlfn.XLOOKUP(G17,List_item!A:A,List_item!B:B))</f>
        <v/>
      </c>
    </row>
    <row r="18" spans="1:18" x14ac:dyDescent="0.35">
      <c r="A18" t="s">
        <v>2193</v>
      </c>
      <c r="B18" s="2">
        <f>_xlfn.XLOOKUP(A18,Sheet5!E:E,Sheet5!F:F)</f>
        <v>26500</v>
      </c>
      <c r="C18" t="s">
        <v>9</v>
      </c>
      <c r="G18" s="3"/>
      <c r="H18" s="2">
        <v>0</v>
      </c>
      <c r="I18" s="26">
        <f t="shared" si="3"/>
        <v>0</v>
      </c>
      <c r="J18" s="3">
        <f t="shared" si="0"/>
        <v>0</v>
      </c>
      <c r="K18" s="27">
        <f t="shared" si="4"/>
        <v>0</v>
      </c>
      <c r="L18" s="3">
        <f t="shared" si="2"/>
        <v>0</v>
      </c>
      <c r="M18" s="3">
        <f t="shared" si="1"/>
        <v>0</v>
      </c>
      <c r="O18" s="6"/>
      <c r="R18" t="str">
        <f>IF(G18=0,"",_xlfn.XLOOKUP(G18,List_item!A:A,List_item!B:B))</f>
        <v/>
      </c>
    </row>
    <row r="19" spans="1:18" x14ac:dyDescent="0.35">
      <c r="A19" t="s">
        <v>2194</v>
      </c>
      <c r="B19" s="2">
        <f>_xlfn.XLOOKUP(A19,Sheet5!E:E,Sheet5!F:F)</f>
        <v>26500</v>
      </c>
      <c r="C19" t="s">
        <v>9</v>
      </c>
      <c r="E19" s="3"/>
      <c r="G19" s="3"/>
      <c r="H19" s="3">
        <v>0</v>
      </c>
      <c r="I19" s="26">
        <f t="shared" si="3"/>
        <v>0</v>
      </c>
      <c r="J19" s="3">
        <f t="shared" si="0"/>
        <v>0</v>
      </c>
      <c r="K19" s="27">
        <f t="shared" si="4"/>
        <v>0</v>
      </c>
      <c r="L19" s="3">
        <f t="shared" si="2"/>
        <v>0</v>
      </c>
      <c r="M19" s="3">
        <f t="shared" si="1"/>
        <v>0</v>
      </c>
      <c r="R19" t="str">
        <f>IF(G19=0,"",_xlfn.XLOOKUP(G19,List_item!A:A,List_item!B:B))</f>
        <v/>
      </c>
    </row>
    <row r="20" spans="1:18" x14ac:dyDescent="0.35">
      <c r="A20" t="s">
        <v>2195</v>
      </c>
      <c r="B20" s="2">
        <f>_xlfn.XLOOKUP(A20,Sheet5!E:E,Sheet5!F:F)</f>
        <v>26500</v>
      </c>
      <c r="C20" t="s">
        <v>9</v>
      </c>
      <c r="E20" s="3"/>
      <c r="G20" s="3"/>
      <c r="H20" s="3">
        <v>0</v>
      </c>
      <c r="I20" s="26">
        <f t="shared" si="3"/>
        <v>0</v>
      </c>
      <c r="J20" s="3">
        <f t="shared" si="0"/>
        <v>0</v>
      </c>
      <c r="K20" s="27">
        <f t="shared" si="4"/>
        <v>0</v>
      </c>
      <c r="L20" s="3">
        <f t="shared" si="2"/>
        <v>0</v>
      </c>
      <c r="M20" s="3">
        <f t="shared" si="1"/>
        <v>0</v>
      </c>
      <c r="R20" t="str">
        <f>IF(G20=0,"",_xlfn.XLOOKUP(G20,List_item!A:A,List_item!B:B))</f>
        <v/>
      </c>
    </row>
    <row r="21" spans="1:18" x14ac:dyDescent="0.35">
      <c r="A21" t="s">
        <v>2196</v>
      </c>
      <c r="B21" s="2">
        <f>_xlfn.XLOOKUP(A21,Sheet5!E:E,Sheet5!F:F)</f>
        <v>26500</v>
      </c>
      <c r="C21" t="s">
        <v>9</v>
      </c>
      <c r="G21" s="3"/>
      <c r="H21" s="2">
        <v>0</v>
      </c>
      <c r="I21" s="26">
        <f t="shared" si="3"/>
        <v>0</v>
      </c>
      <c r="J21" s="3">
        <f t="shared" si="0"/>
        <v>0</v>
      </c>
      <c r="K21" s="27">
        <f t="shared" si="4"/>
        <v>0</v>
      </c>
      <c r="L21" s="3">
        <f t="shared" si="2"/>
        <v>0</v>
      </c>
      <c r="M21" s="3">
        <f t="shared" si="1"/>
        <v>0</v>
      </c>
      <c r="R21" t="str">
        <f>IF(G21=0,"",_xlfn.XLOOKUP(G21,List_item!A:A,List_item!B:B))</f>
        <v/>
      </c>
    </row>
    <row r="22" spans="1:18" x14ac:dyDescent="0.35">
      <c r="A22" t="s">
        <v>2197</v>
      </c>
      <c r="B22" s="2">
        <f>_xlfn.XLOOKUP(A22,Sheet5!E:E,Sheet5!F:F)</f>
        <v>26500</v>
      </c>
      <c r="C22" t="s">
        <v>9</v>
      </c>
      <c r="E22" s="3"/>
      <c r="G22" s="3"/>
      <c r="H22" s="3">
        <v>0</v>
      </c>
      <c r="I22" s="26">
        <f t="shared" si="3"/>
        <v>0</v>
      </c>
      <c r="J22" s="3">
        <f t="shared" si="0"/>
        <v>0</v>
      </c>
      <c r="K22" s="27">
        <f t="shared" si="4"/>
        <v>0</v>
      </c>
      <c r="L22" s="3">
        <f t="shared" si="2"/>
        <v>0</v>
      </c>
      <c r="M22" s="3">
        <f t="shared" si="1"/>
        <v>0</v>
      </c>
      <c r="R22" t="str">
        <f>IF(G22=0,"",_xlfn.XLOOKUP(G22,List_item!A:A,List_item!B:B))</f>
        <v/>
      </c>
    </row>
    <row r="23" spans="1:18" x14ac:dyDescent="0.35">
      <c r="A23" t="s">
        <v>3849</v>
      </c>
      <c r="B23" s="2">
        <f>_xlfn.XLOOKUP(A23,Sheet5!E:E,Sheet5!F:F)</f>
        <v>26500</v>
      </c>
      <c r="C23" t="s">
        <v>9</v>
      </c>
      <c r="E23" s="3"/>
      <c r="F23" s="3"/>
      <c r="G23" s="3"/>
      <c r="H23" s="3">
        <v>0</v>
      </c>
      <c r="I23" s="26">
        <f t="shared" si="3"/>
        <v>0</v>
      </c>
      <c r="J23" s="3">
        <f t="shared" si="0"/>
        <v>0</v>
      </c>
      <c r="K23" s="27">
        <f t="shared" si="4"/>
        <v>0</v>
      </c>
      <c r="L23" s="3">
        <f t="shared" si="2"/>
        <v>0</v>
      </c>
      <c r="M23" s="3">
        <f t="shared" si="1"/>
        <v>0</v>
      </c>
      <c r="R23" t="str">
        <f>IF(G23=0,"",_xlfn.XLOOKUP(G23,List_item!A:A,List_item!B:B))</f>
        <v/>
      </c>
    </row>
    <row r="24" spans="1:18" x14ac:dyDescent="0.35">
      <c r="A24" t="s">
        <v>8</v>
      </c>
      <c r="B24" s="2">
        <f>_xlfn.XLOOKUP(A24,Sheet5!E:E,Sheet5!F:F)</f>
        <v>36000</v>
      </c>
      <c r="C24" t="s">
        <v>9</v>
      </c>
      <c r="G24" s="2" t="s">
        <v>7</v>
      </c>
      <c r="H24" s="2">
        <v>567.4</v>
      </c>
      <c r="I24" s="26">
        <f t="shared" si="3"/>
        <v>0.14931578947368421</v>
      </c>
      <c r="J24" s="3">
        <f>+B24*(F24+H24)</f>
        <v>20426400</v>
      </c>
      <c r="K24" s="27">
        <f>IFERROR(((J24/SUM($J$7:$J$60))*$F$6)/(F24+H24),0)</f>
        <v>18874.893817917051</v>
      </c>
      <c r="L24" s="3">
        <f t="shared" si="2"/>
        <v>10709614.752286134</v>
      </c>
      <c r="M24" s="3">
        <f t="shared" si="1"/>
        <v>17125.106182082949</v>
      </c>
      <c r="R24" t="str">
        <f>IF(G24=0,"",_xlfn.XLOOKUP(G24,List_item!A:A,List_item!B:B))</f>
        <v>Boneless BLD Frozen Premium</v>
      </c>
    </row>
    <row r="25" spans="1:18" x14ac:dyDescent="0.35">
      <c r="A25" t="s">
        <v>10</v>
      </c>
      <c r="B25" s="2">
        <f>_xlfn.XLOOKUP(A25,Sheet5!E:E,Sheet5!F:F)</f>
        <v>34000</v>
      </c>
      <c r="C25" t="s">
        <v>9</v>
      </c>
      <c r="H25" s="2">
        <v>0</v>
      </c>
      <c r="I25" s="26">
        <f t="shared" si="3"/>
        <v>0</v>
      </c>
      <c r="J25" s="3">
        <f t="shared" si="0"/>
        <v>0</v>
      </c>
      <c r="K25" s="27">
        <f t="shared" si="4"/>
        <v>0</v>
      </c>
      <c r="L25" s="3">
        <f t="shared" si="2"/>
        <v>0</v>
      </c>
      <c r="M25" s="3">
        <f t="shared" si="1"/>
        <v>0</v>
      </c>
      <c r="R25" t="str">
        <f>IF(G25=0,"",_xlfn.XLOOKUP(G25,List_item!A:A,List_item!B:B))</f>
        <v/>
      </c>
    </row>
    <row r="26" spans="1:18" x14ac:dyDescent="0.35">
      <c r="A26" t="s">
        <v>12</v>
      </c>
      <c r="B26" s="2">
        <f>_xlfn.XLOOKUP(A26,Sheet5!E:E,Sheet5!F:F)</f>
        <v>35000</v>
      </c>
      <c r="C26" t="s">
        <v>9</v>
      </c>
      <c r="G26" s="2" t="s">
        <v>11</v>
      </c>
      <c r="H26" s="2">
        <v>311.5</v>
      </c>
      <c r="I26" s="26">
        <f t="shared" si="3"/>
        <v>8.197368421052631E-2</v>
      </c>
      <c r="J26" s="3">
        <f t="shared" si="0"/>
        <v>10902500</v>
      </c>
      <c r="K26" s="27">
        <f t="shared" si="4"/>
        <v>18350.591211863801</v>
      </c>
      <c r="L26" s="3">
        <f t="shared" si="2"/>
        <v>5716209.162495574</v>
      </c>
      <c r="M26" s="3">
        <f t="shared" si="1"/>
        <v>16649.408788136199</v>
      </c>
      <c r="R26" t="str">
        <f>IF(G26=0,"",_xlfn.XLOOKUP(G26,List_item!A:A,List_item!B:B))</f>
        <v>Boneless BLP Frozen Premium</v>
      </c>
    </row>
    <row r="27" spans="1:18" x14ac:dyDescent="0.35">
      <c r="A27" t="s">
        <v>3850</v>
      </c>
      <c r="B27" s="2">
        <f>_xlfn.XLOOKUP(A27,Sheet5!E:E,Sheet5!F:F)</f>
        <v>8000</v>
      </c>
      <c r="C27" t="s">
        <v>9</v>
      </c>
      <c r="G27" s="2" t="s">
        <v>13</v>
      </c>
      <c r="H27" s="2">
        <v>431.3</v>
      </c>
      <c r="I27" s="26">
        <f t="shared" si="3"/>
        <v>0.1135</v>
      </c>
      <c r="J27" s="3">
        <f t="shared" si="0"/>
        <v>3450400</v>
      </c>
      <c r="K27" s="27">
        <f t="shared" si="4"/>
        <v>4194.4208484260116</v>
      </c>
      <c r="L27" s="3">
        <f t="shared" si="2"/>
        <v>1809053.711926139</v>
      </c>
      <c r="M27" s="3">
        <f t="shared" si="1"/>
        <v>3805.5791515739884</v>
      </c>
      <c r="R27" t="str">
        <f>IF(G27=0,"",_xlfn.XLOOKUP(G27,List_item!A:A,List_item!B:B))</f>
        <v>Boneless BL Frozen KRK</v>
      </c>
    </row>
    <row r="28" spans="1:18" x14ac:dyDescent="0.35">
      <c r="A28" t="s">
        <v>2178</v>
      </c>
      <c r="B28" s="2">
        <f>_xlfn.XLOOKUP(A28,Sheet5!E:E,Sheet5!F:F)</f>
        <v>22000</v>
      </c>
      <c r="C28" t="s">
        <v>9</v>
      </c>
      <c r="G28" s="2" t="s">
        <v>14</v>
      </c>
      <c r="H28" s="2">
        <v>103.8</v>
      </c>
      <c r="I28" s="26">
        <f t="shared" si="3"/>
        <v>2.731578947368421E-2</v>
      </c>
      <c r="J28" s="3">
        <f t="shared" si="0"/>
        <v>2283600</v>
      </c>
      <c r="K28" s="27">
        <f t="shared" si="4"/>
        <v>11534.657333171532</v>
      </c>
      <c r="L28" s="3">
        <f t="shared" si="2"/>
        <v>1197297.431183205</v>
      </c>
      <c r="M28" s="3">
        <f t="shared" si="1"/>
        <v>10465.342666828468</v>
      </c>
      <c r="R28" t="str">
        <f>IF(G28=0,"",_xlfn.XLOOKUP(G28,List_item!A:A,List_item!B:B))</f>
        <v>Boneless BL Frozen Kulit</v>
      </c>
    </row>
    <row r="29" spans="1:18" x14ac:dyDescent="0.35">
      <c r="A29" t="s">
        <v>2179</v>
      </c>
      <c r="B29" s="2">
        <f>_xlfn.XLOOKUP(A29,Sheet5!E:E,Sheet5!F:F)</f>
        <v>22000</v>
      </c>
      <c r="C29" t="s">
        <v>9</v>
      </c>
      <c r="G29" s="2" t="s">
        <v>15</v>
      </c>
      <c r="H29" s="2">
        <v>188.6</v>
      </c>
      <c r="I29" s="26">
        <f t="shared" si="3"/>
        <v>4.9631578947368422E-2</v>
      </c>
      <c r="J29" s="3">
        <f t="shared" si="0"/>
        <v>4149200</v>
      </c>
      <c r="K29" s="27">
        <f t="shared" si="4"/>
        <v>11534.657333171534</v>
      </c>
      <c r="L29" s="3">
        <f t="shared" si="2"/>
        <v>2175436.3730361513</v>
      </c>
      <c r="M29" s="3">
        <f t="shared" si="1"/>
        <v>10465.342666828466</v>
      </c>
      <c r="R29" t="str">
        <f>IF(G29=0,"",_xlfn.XLOOKUP(G29,List_item!A:A,List_item!B:B))</f>
        <v>Boneless BL Frozen Sayap Premium</v>
      </c>
    </row>
    <row r="30" spans="1:18" x14ac:dyDescent="0.35">
      <c r="A30" t="s">
        <v>2160</v>
      </c>
      <c r="B30" s="2">
        <f>_xlfn.XLOOKUP(A30,Sheet5!E:E,Sheet5!F:F)</f>
        <v>20000</v>
      </c>
      <c r="C30" t="s">
        <v>9</v>
      </c>
      <c r="G30" s="2" t="s">
        <v>16</v>
      </c>
      <c r="H30" s="2">
        <v>20.5</v>
      </c>
      <c r="I30" s="26">
        <f t="shared" si="3"/>
        <v>5.3947368421052629E-3</v>
      </c>
      <c r="J30" s="3">
        <f t="shared" si="0"/>
        <v>410000</v>
      </c>
      <c r="K30" s="27">
        <f t="shared" si="4"/>
        <v>10486.052121065029</v>
      </c>
      <c r="L30" s="3">
        <f t="shared" si="2"/>
        <v>214964.06848183309</v>
      </c>
      <c r="M30" s="3">
        <f t="shared" si="1"/>
        <v>9513.9478789349705</v>
      </c>
      <c r="R30" t="str">
        <f>IF(G30=0,"",_xlfn.XLOOKUP(G30,List_item!A:A,List_item!B:B))</f>
        <v>Boneless BL Frozen Sayap Grade A</v>
      </c>
    </row>
    <row r="31" spans="1:18" x14ac:dyDescent="0.35">
      <c r="A31" t="s">
        <v>17</v>
      </c>
      <c r="B31" s="2">
        <f>_xlfn.XLOOKUP(A31,Sheet5!E:E,Sheet5!F:F)</f>
        <v>1500</v>
      </c>
      <c r="C31" t="s">
        <v>9</v>
      </c>
      <c r="G31" s="2" t="s">
        <v>18</v>
      </c>
      <c r="H31" s="2">
        <v>56.5</v>
      </c>
      <c r="I31" s="26">
        <f t="shared" si="3"/>
        <v>1.4868421052631579E-2</v>
      </c>
      <c r="J31" s="3">
        <f t="shared" si="0"/>
        <v>84750</v>
      </c>
      <c r="K31" s="27">
        <f t="shared" si="4"/>
        <v>786.45390907987723</v>
      </c>
      <c r="L31" s="3">
        <f t="shared" si="2"/>
        <v>44434.645863013066</v>
      </c>
      <c r="M31" s="3">
        <f t="shared" si="1"/>
        <v>713.54609092012277</v>
      </c>
      <c r="R31" t="str">
        <f>IF(G31=0,"",_xlfn.XLOOKUP(G31,List_item!A:A,List_item!B:B))</f>
        <v>Boneless BL Frozen TLP</v>
      </c>
    </row>
    <row r="32" spans="1:18" x14ac:dyDescent="0.35">
      <c r="A32" t="s">
        <v>2199</v>
      </c>
      <c r="B32" s="2">
        <f>_xlfn.XLOOKUP(A32,Sheet5!E:E,Sheet5!F:F)</f>
        <v>28000</v>
      </c>
      <c r="C32" t="s">
        <v>9</v>
      </c>
      <c r="G32" s="2" t="s">
        <v>2139</v>
      </c>
      <c r="H32" s="2">
        <v>256.2</v>
      </c>
      <c r="I32" s="26">
        <f t="shared" si="3"/>
        <v>6.7421052631578951E-2</v>
      </c>
      <c r="J32" s="3">
        <f t="shared" si="0"/>
        <v>7173600</v>
      </c>
      <c r="K32" s="27">
        <f t="shared" si="4"/>
        <v>14680.472969491042</v>
      </c>
      <c r="L32" s="3">
        <f t="shared" si="2"/>
        <v>3761137.1747836047</v>
      </c>
      <c r="M32" s="3">
        <f t="shared" si="1"/>
        <v>13319.527030508958</v>
      </c>
      <c r="R32" t="str">
        <f>IF(G32=0,"",_xlfn.XLOOKUP(G32,List_item!A:A,List_item!B:B))</f>
        <v>Paha Bawah Frozen</v>
      </c>
    </row>
    <row r="33" spans="1:18" x14ac:dyDescent="0.35">
      <c r="A33" t="s">
        <v>2161</v>
      </c>
      <c r="B33" s="2">
        <f>_xlfn.XLOOKUP(A33,Sheet5!E:E,Sheet5!F:F)</f>
        <v>14000</v>
      </c>
      <c r="C33" t="s">
        <v>9</v>
      </c>
      <c r="G33" s="2" t="s">
        <v>19</v>
      </c>
      <c r="H33" s="2">
        <v>11.2</v>
      </c>
      <c r="I33" s="26">
        <f t="shared" si="3"/>
        <v>2.9473684210526313E-3</v>
      </c>
      <c r="J33" s="3">
        <f t="shared" si="0"/>
        <v>156800</v>
      </c>
      <c r="K33" s="27">
        <f t="shared" si="4"/>
        <v>7340.236484745521</v>
      </c>
      <c r="L33" s="3">
        <f t="shared" si="2"/>
        <v>82210.64862914983</v>
      </c>
      <c r="M33" s="3">
        <f t="shared" si="1"/>
        <v>6659.763515254479</v>
      </c>
      <c r="R33" t="str">
        <f>IF(G33=0,"",_xlfn.XLOOKUP(G33,List_item!A:A,List_item!B:B))</f>
        <v>Boneless BL Frozen Lemak</v>
      </c>
    </row>
    <row r="34" spans="1:18" x14ac:dyDescent="0.35">
      <c r="A34" t="s">
        <v>2162</v>
      </c>
      <c r="B34" s="2">
        <f>_xlfn.XLOOKUP(A34,Sheet5!E:E,Sheet5!F:F)</f>
        <v>8000</v>
      </c>
      <c r="C34" t="s">
        <v>9</v>
      </c>
      <c r="G34" s="2" t="s">
        <v>310</v>
      </c>
      <c r="H34" s="2">
        <v>212.1</v>
      </c>
      <c r="I34" s="26">
        <f t="shared" si="3"/>
        <v>5.5815789473684208E-2</v>
      </c>
      <c r="J34" s="3">
        <f t="shared" si="0"/>
        <v>1696800</v>
      </c>
      <c r="K34" s="27">
        <f t="shared" si="4"/>
        <v>4194.4208484260116</v>
      </c>
      <c r="L34" s="3">
        <f t="shared" si="2"/>
        <v>889636.66195115703</v>
      </c>
      <c r="M34" s="3">
        <f t="shared" si="1"/>
        <v>3805.5791515739884</v>
      </c>
      <c r="R34" t="str">
        <f>IF(G34=0,"",_xlfn.XLOOKUP(G34,List_item!A:A,List_item!B:B))</f>
        <v>Boneless BL Frozen Kepala</v>
      </c>
    </row>
    <row r="35" spans="1:18" x14ac:dyDescent="0.35">
      <c r="A35" t="s">
        <v>0</v>
      </c>
      <c r="B35" s="2">
        <f>_xlfn.XLOOKUP(A35,Sheet5!E:E,Sheet5!F:F)</f>
        <v>10000</v>
      </c>
      <c r="C35" t="s">
        <v>9</v>
      </c>
      <c r="G35" s="2" t="s">
        <v>22</v>
      </c>
      <c r="H35" s="2">
        <v>126.6</v>
      </c>
      <c r="I35" s="26">
        <f t="shared" si="3"/>
        <v>3.3315789473684208E-2</v>
      </c>
      <c r="J35" s="3">
        <f t="shared" si="0"/>
        <v>1266000</v>
      </c>
      <c r="K35" s="27">
        <f t="shared" si="4"/>
        <v>5243.0260605325147</v>
      </c>
      <c r="L35" s="3">
        <f t="shared" si="2"/>
        <v>663767.09926341637</v>
      </c>
      <c r="M35" s="3">
        <f t="shared" si="1"/>
        <v>4756.9739394674853</v>
      </c>
      <c r="R35" t="str">
        <f>IF(G35=0,"",_xlfn.XLOOKUP(G35,List_item!A:A,List_item!B:B))</f>
        <v>Boneless BL Frozen Ceker</v>
      </c>
    </row>
    <row r="36" spans="1:18" x14ac:dyDescent="0.35">
      <c r="A36" t="s">
        <v>24</v>
      </c>
      <c r="B36" s="2">
        <f>_xlfn.XLOOKUP(A36,Sheet5!E:E,Sheet5!F:F)</f>
        <v>0</v>
      </c>
      <c r="C36" t="s">
        <v>9</v>
      </c>
      <c r="H36" s="2">
        <v>0</v>
      </c>
      <c r="I36" s="26">
        <f t="shared" si="3"/>
        <v>0</v>
      </c>
      <c r="J36" s="3">
        <f t="shared" si="0"/>
        <v>0</v>
      </c>
      <c r="K36" s="27">
        <f t="shared" si="4"/>
        <v>0</v>
      </c>
      <c r="L36" s="3">
        <f t="shared" si="2"/>
        <v>0</v>
      </c>
      <c r="M36" s="3">
        <f t="shared" si="1"/>
        <v>0</v>
      </c>
      <c r="R36" t="str">
        <f>IF(G36=0,"",_xlfn.XLOOKUP(G36,List_item!A:A,List_item!B:B))</f>
        <v/>
      </c>
    </row>
    <row r="37" spans="1:18" x14ac:dyDescent="0.35">
      <c r="A37" s="32" t="s">
        <v>2200</v>
      </c>
      <c r="B37" s="30">
        <f>_xlfn.XLOOKUP(A37,Sheet5!E:E,Sheet5!F:F)</f>
        <v>0</v>
      </c>
      <c r="C37" s="32" t="s">
        <v>9</v>
      </c>
      <c r="D37" s="32"/>
      <c r="E37" s="30"/>
      <c r="F37" s="30"/>
      <c r="G37" s="30" t="s">
        <v>387</v>
      </c>
      <c r="H37" s="30">
        <v>198</v>
      </c>
      <c r="I37" s="33">
        <f t="shared" si="3"/>
        <v>5.2105263157894738E-2</v>
      </c>
      <c r="J37" s="30">
        <f t="shared" si="0"/>
        <v>0</v>
      </c>
      <c r="K37" s="35">
        <f t="shared" si="4"/>
        <v>0</v>
      </c>
      <c r="L37" s="30">
        <f t="shared" si="2"/>
        <v>0</v>
      </c>
      <c r="M37" s="30">
        <f t="shared" si="1"/>
        <v>0</v>
      </c>
      <c r="N37" s="30" t="s">
        <v>3825</v>
      </c>
      <c r="R37" t="str">
        <f>IF(G37=0,"",_xlfn.XLOOKUP(G37,List_item!A:A,List_item!B:B))</f>
        <v>Boneless BL Frozen Usus Kotor</v>
      </c>
    </row>
    <row r="38" spans="1:18" x14ac:dyDescent="0.35">
      <c r="A38" t="s">
        <v>2167</v>
      </c>
      <c r="B38" s="2">
        <f>_xlfn.XLOOKUP(A38,Sheet5!E:E,Sheet5!F:F)</f>
        <v>4000</v>
      </c>
      <c r="C38" t="s">
        <v>9</v>
      </c>
      <c r="H38" s="2">
        <v>0</v>
      </c>
      <c r="I38" s="26">
        <f t="shared" si="3"/>
        <v>0</v>
      </c>
      <c r="J38" s="3">
        <f t="shared" si="0"/>
        <v>0</v>
      </c>
      <c r="K38" s="27">
        <f t="shared" si="4"/>
        <v>0</v>
      </c>
      <c r="L38" s="3">
        <f t="shared" si="2"/>
        <v>0</v>
      </c>
      <c r="M38" s="3">
        <f t="shared" si="1"/>
        <v>0</v>
      </c>
      <c r="R38" t="str">
        <f>IF(G38=0,"",_xlfn.XLOOKUP(G38,List_item!A:A,List_item!B:B))</f>
        <v/>
      </c>
    </row>
    <row r="39" spans="1:18" x14ac:dyDescent="0.35">
      <c r="A39" t="s">
        <v>2168</v>
      </c>
      <c r="B39" s="2">
        <f>_xlfn.XLOOKUP(A39,Sheet5!E:E,Sheet5!F:F)</f>
        <v>6000</v>
      </c>
      <c r="C39" t="s">
        <v>9</v>
      </c>
      <c r="H39" s="2">
        <v>0</v>
      </c>
      <c r="I39" s="26">
        <f t="shared" si="3"/>
        <v>0</v>
      </c>
      <c r="J39" s="3">
        <f t="shared" si="0"/>
        <v>0</v>
      </c>
      <c r="K39" s="27">
        <f t="shared" si="4"/>
        <v>0</v>
      </c>
      <c r="L39" s="3">
        <f t="shared" si="2"/>
        <v>0</v>
      </c>
      <c r="M39" s="3">
        <f t="shared" si="1"/>
        <v>0</v>
      </c>
      <c r="R39" t="str">
        <f>IF(G39=0,"",_xlfn.XLOOKUP(G39,List_item!A:A,List_item!B:B))</f>
        <v/>
      </c>
    </row>
    <row r="40" spans="1:18" x14ac:dyDescent="0.35">
      <c r="A40" t="s">
        <v>2169</v>
      </c>
      <c r="B40" s="2">
        <f>_xlfn.XLOOKUP(A40,Sheet5!E:E,Sheet5!F:F)</f>
        <v>5000</v>
      </c>
      <c r="C40" t="s">
        <v>9</v>
      </c>
      <c r="H40" s="2">
        <v>0</v>
      </c>
      <c r="I40" s="26">
        <f t="shared" si="3"/>
        <v>0</v>
      </c>
      <c r="J40" s="3">
        <f t="shared" si="0"/>
        <v>0</v>
      </c>
      <c r="K40" s="27">
        <f t="shared" si="4"/>
        <v>0</v>
      </c>
      <c r="L40" s="3">
        <f t="shared" si="2"/>
        <v>0</v>
      </c>
      <c r="M40" s="3">
        <f t="shared" si="1"/>
        <v>0</v>
      </c>
      <c r="R40" t="str">
        <f>IF(G40=0,"",_xlfn.XLOOKUP(G40,List_item!A:A,List_item!B:B))</f>
        <v/>
      </c>
    </row>
    <row r="41" spans="1:18" x14ac:dyDescent="0.35">
      <c r="A41" t="s">
        <v>2201</v>
      </c>
      <c r="B41" s="2">
        <f>_xlfn.XLOOKUP(A41,Sheet5!E:E,Sheet5!F:F)</f>
        <v>0</v>
      </c>
      <c r="C41" t="s">
        <v>9</v>
      </c>
      <c r="G41" s="2" t="s">
        <v>286</v>
      </c>
      <c r="H41" s="2">
        <v>230.9</v>
      </c>
      <c r="I41" s="26">
        <f t="shared" si="3"/>
        <v>6.0763157894736845E-2</v>
      </c>
      <c r="J41" s="3">
        <f t="shared" si="0"/>
        <v>0</v>
      </c>
      <c r="K41" s="27">
        <f t="shared" si="4"/>
        <v>0</v>
      </c>
      <c r="L41" s="3">
        <f t="shared" si="2"/>
        <v>0</v>
      </c>
      <c r="M41" s="3">
        <f t="shared" si="1"/>
        <v>0</v>
      </c>
      <c r="R41" t="str">
        <f>IF(G41=0,"",_xlfn.XLOOKUP(G41,List_item!A:A,List_item!B:B))</f>
        <v>Boneless BL Frozen HJA</v>
      </c>
    </row>
    <row r="42" spans="1:18" x14ac:dyDescent="0.35">
      <c r="A42" t="s">
        <v>2170</v>
      </c>
      <c r="B42" s="2">
        <f>_xlfn.XLOOKUP(A42,Sheet5!E:E,Sheet5!F:F)</f>
        <v>24000</v>
      </c>
      <c r="C42" t="s">
        <v>9</v>
      </c>
      <c r="H42" s="2">
        <v>0</v>
      </c>
      <c r="I42" s="26">
        <f t="shared" si="3"/>
        <v>0</v>
      </c>
      <c r="J42" s="3">
        <f t="shared" si="0"/>
        <v>0</v>
      </c>
      <c r="K42" s="27">
        <f t="shared" si="4"/>
        <v>0</v>
      </c>
      <c r="L42" s="3">
        <f t="shared" si="2"/>
        <v>0</v>
      </c>
      <c r="M42" s="3">
        <f t="shared" si="1"/>
        <v>0</v>
      </c>
      <c r="R42" t="str">
        <f>IF(G42=0,"",_xlfn.XLOOKUP(G42,List_item!A:A,List_item!B:B))</f>
        <v/>
      </c>
    </row>
    <row r="43" spans="1:18" x14ac:dyDescent="0.35">
      <c r="A43" t="s">
        <v>2171</v>
      </c>
      <c r="B43" s="2">
        <f>_xlfn.XLOOKUP(A43,Sheet5!E:E,Sheet5!F:F)</f>
        <v>24000</v>
      </c>
      <c r="C43" t="s">
        <v>9</v>
      </c>
      <c r="H43" s="2">
        <v>0</v>
      </c>
      <c r="I43" s="26">
        <f t="shared" si="3"/>
        <v>0</v>
      </c>
      <c r="J43" s="3">
        <f t="shared" si="0"/>
        <v>0</v>
      </c>
      <c r="K43" s="27">
        <f t="shared" si="4"/>
        <v>0</v>
      </c>
      <c r="L43" s="3">
        <f t="shared" si="2"/>
        <v>0</v>
      </c>
      <c r="M43" s="3">
        <f t="shared" si="1"/>
        <v>0</v>
      </c>
      <c r="R43" t="str">
        <f>IF(G43=0,"",_xlfn.XLOOKUP(G43,List_item!A:A,List_item!B:B))</f>
        <v/>
      </c>
    </row>
    <row r="44" spans="1:18" x14ac:dyDescent="0.35">
      <c r="A44" t="s">
        <v>2202</v>
      </c>
      <c r="B44" s="2">
        <f>_xlfn.XLOOKUP(A44,Sheet5!E:E,Sheet5!F:F)</f>
        <v>20000</v>
      </c>
      <c r="C44" t="s">
        <v>9</v>
      </c>
      <c r="G44" s="2" t="s">
        <v>505</v>
      </c>
      <c r="H44" s="2">
        <v>1.7</v>
      </c>
      <c r="I44" s="26">
        <f t="shared" si="3"/>
        <v>4.4736842105263158E-4</v>
      </c>
      <c r="J44" s="3">
        <f t="shared" si="0"/>
        <v>34000</v>
      </c>
      <c r="K44" s="27">
        <f t="shared" si="4"/>
        <v>10486.052121065029</v>
      </c>
      <c r="L44" s="3">
        <f t="shared" si="2"/>
        <v>17826.288605810551</v>
      </c>
      <c r="M44" s="3">
        <f t="shared" si="1"/>
        <v>9513.9478789349705</v>
      </c>
      <c r="R44" t="str">
        <f>IF(G44=0,"",_xlfn.XLOOKUP(G44,List_item!A:A,List_item!B:B))</f>
        <v>Karkas Uk 0.4 Karkas Uk 0.4 Frozen Grade A</v>
      </c>
    </row>
    <row r="45" spans="1:18" x14ac:dyDescent="0.35">
      <c r="A45" t="s">
        <v>2203</v>
      </c>
      <c r="B45" s="2">
        <f>_xlfn.XLOOKUP(A45,Sheet5!E:E,Sheet5!F:F)</f>
        <v>20000</v>
      </c>
      <c r="C45" t="s">
        <v>9</v>
      </c>
      <c r="G45" s="2" t="s">
        <v>571</v>
      </c>
      <c r="H45" s="2">
        <v>1.1000000000000001</v>
      </c>
      <c r="I45" s="26">
        <f t="shared" si="3"/>
        <v>2.8947368421052634E-4</v>
      </c>
      <c r="J45" s="3">
        <f t="shared" si="0"/>
        <v>22000</v>
      </c>
      <c r="K45" s="27">
        <f t="shared" si="4"/>
        <v>10486.052121065029</v>
      </c>
      <c r="L45" s="3">
        <f t="shared" si="2"/>
        <v>11534.657333171534</v>
      </c>
      <c r="M45" s="3">
        <f t="shared" si="1"/>
        <v>9513.9478789349705</v>
      </c>
      <c r="R45" t="str">
        <f>IF(G45=0,"",_xlfn.XLOOKUP(G45,List_item!A:A,List_item!B:B))</f>
        <v>Karkas Uk 0.5 Karkas Uk 0.5 Frozen Grade A</v>
      </c>
    </row>
    <row r="46" spans="1:18" x14ac:dyDescent="0.35">
      <c r="A46" t="s">
        <v>2204</v>
      </c>
      <c r="B46" s="2">
        <f>_xlfn.XLOOKUP(A46,Sheet5!E:E,Sheet5!F:F)</f>
        <v>20000</v>
      </c>
      <c r="C46" t="s">
        <v>9</v>
      </c>
      <c r="G46" s="2" t="s">
        <v>636</v>
      </c>
      <c r="H46" s="2">
        <v>3.4</v>
      </c>
      <c r="I46" s="26">
        <f t="shared" si="3"/>
        <v>8.9473684210526316E-4</v>
      </c>
      <c r="J46" s="3">
        <f t="shared" si="0"/>
        <v>68000</v>
      </c>
      <c r="K46" s="27">
        <f t="shared" si="4"/>
        <v>10486.052121065029</v>
      </c>
      <c r="L46" s="3">
        <f t="shared" si="2"/>
        <v>35652.577211621101</v>
      </c>
      <c r="M46" s="3">
        <f t="shared" si="1"/>
        <v>9513.9478789349705</v>
      </c>
      <c r="R46" t="str">
        <f>IF(G46=0,"",_xlfn.XLOOKUP(G46,List_item!A:A,List_item!B:B))</f>
        <v>Karkas Uk 0.6 Karkas Uk 0.6 Frozen Grade A</v>
      </c>
    </row>
    <row r="47" spans="1:18" x14ac:dyDescent="0.35">
      <c r="A47" t="s">
        <v>2205</v>
      </c>
      <c r="B47" s="2">
        <f>_xlfn.XLOOKUP(A47,Sheet5!E:E,Sheet5!F:F)</f>
        <v>20000</v>
      </c>
      <c r="C47" t="s">
        <v>9</v>
      </c>
      <c r="G47" s="2" t="s">
        <v>701</v>
      </c>
      <c r="H47" s="2">
        <v>18.2</v>
      </c>
      <c r="I47" s="26">
        <f t="shared" si="3"/>
        <v>4.7894736842105257E-3</v>
      </c>
      <c r="J47" s="3">
        <f t="shared" si="0"/>
        <v>364000</v>
      </c>
      <c r="K47" s="27">
        <f t="shared" si="4"/>
        <v>10486.052121065029</v>
      </c>
      <c r="L47" s="3">
        <f t="shared" si="2"/>
        <v>190846.14860338354</v>
      </c>
      <c r="M47" s="3">
        <f t="shared" si="1"/>
        <v>9513.9478789349705</v>
      </c>
      <c r="R47" t="str">
        <f>IF(G47=0,"",_xlfn.XLOOKUP(G47,List_item!A:A,List_item!B:B))</f>
        <v>Karkas Uk 0.7 Karkas Uk 0.7 Frozen Grade A</v>
      </c>
    </row>
    <row r="48" spans="1:18" x14ac:dyDescent="0.35">
      <c r="A48" t="s">
        <v>2206</v>
      </c>
      <c r="B48" s="2">
        <f>_xlfn.XLOOKUP(A48,Sheet5!E:E,Sheet5!F:F)</f>
        <v>20000</v>
      </c>
      <c r="C48" t="s">
        <v>9</v>
      </c>
      <c r="G48" s="2" t="s">
        <v>766</v>
      </c>
      <c r="H48" s="2">
        <v>46.7</v>
      </c>
      <c r="I48" s="26">
        <f t="shared" si="3"/>
        <v>1.2289473684210527E-2</v>
      </c>
      <c r="J48" s="3">
        <f t="shared" si="0"/>
        <v>934000</v>
      </c>
      <c r="K48" s="27">
        <f t="shared" si="4"/>
        <v>10486.052121065028</v>
      </c>
      <c r="L48" s="3">
        <f t="shared" si="2"/>
        <v>489698.63405373681</v>
      </c>
      <c r="M48" s="3">
        <f t="shared" si="1"/>
        <v>9513.9478789349723</v>
      </c>
      <c r="R48" t="str">
        <f>IF(G48=0,"",_xlfn.XLOOKUP(G48,List_item!A:A,List_item!B:B))</f>
        <v>Karkas Uk 0.8 Karkas Uk 0.8 Frozen Grade A</v>
      </c>
    </row>
    <row r="49" spans="1:23" x14ac:dyDescent="0.35">
      <c r="A49" t="s">
        <v>2207</v>
      </c>
      <c r="B49" s="2">
        <f>_xlfn.XLOOKUP(A49,Sheet5!E:E,Sheet5!F:F)</f>
        <v>20000</v>
      </c>
      <c r="C49" t="s">
        <v>9</v>
      </c>
      <c r="G49" s="2" t="s">
        <v>831</v>
      </c>
      <c r="H49" s="2">
        <v>50.1</v>
      </c>
      <c r="I49" s="26">
        <f t="shared" si="3"/>
        <v>1.318421052631579E-2</v>
      </c>
      <c r="J49" s="3">
        <f t="shared" si="0"/>
        <v>1002000</v>
      </c>
      <c r="K49" s="27">
        <f t="shared" si="4"/>
        <v>10486.052121065029</v>
      </c>
      <c r="L49" s="3">
        <f t="shared" si="2"/>
        <v>525351.21126535803</v>
      </c>
      <c r="M49" s="3">
        <f t="shared" si="1"/>
        <v>9513.9478789349705</v>
      </c>
      <c r="R49" t="str">
        <f>IF(G49=0,"",_xlfn.XLOOKUP(G49,List_item!A:A,List_item!B:B))</f>
        <v>Karkas Uk 0.9 Karkas Uk 0.9 Frozen Grade A</v>
      </c>
    </row>
    <row r="50" spans="1:23" x14ac:dyDescent="0.35">
      <c r="A50" t="s">
        <v>2208</v>
      </c>
      <c r="B50" s="2">
        <f>_xlfn.XLOOKUP(A50,Sheet5!E:E,Sheet5!F:F)</f>
        <v>20000</v>
      </c>
      <c r="C50" t="s">
        <v>9</v>
      </c>
      <c r="G50" s="2" t="s">
        <v>896</v>
      </c>
      <c r="H50" s="2">
        <v>12.8</v>
      </c>
      <c r="I50" s="26">
        <f t="shared" si="3"/>
        <v>3.3684210526315791E-3</v>
      </c>
      <c r="J50" s="3">
        <f t="shared" si="0"/>
        <v>256000</v>
      </c>
      <c r="K50" s="27">
        <f t="shared" si="4"/>
        <v>10486.052121065031</v>
      </c>
      <c r="L50" s="3">
        <f t="shared" si="2"/>
        <v>134221.4671496324</v>
      </c>
      <c r="M50" s="3">
        <f t="shared" si="1"/>
        <v>9513.9478789349687</v>
      </c>
      <c r="R50" t="str">
        <f>IF(G50=0,"",_xlfn.XLOOKUP(G50,List_item!A:A,List_item!B:B))</f>
        <v>Karkas Uk 1.0 Karkas Uk 1.0 Frozen Grade A</v>
      </c>
    </row>
    <row r="51" spans="1:23" x14ac:dyDescent="0.35">
      <c r="A51" t="s">
        <v>2209</v>
      </c>
      <c r="B51" s="2">
        <f>_xlfn.XLOOKUP(A51,Sheet5!E:E,Sheet5!F:F)</f>
        <v>20000</v>
      </c>
      <c r="C51" t="s">
        <v>9</v>
      </c>
      <c r="G51" s="2" t="s">
        <v>962</v>
      </c>
      <c r="H51" s="2">
        <v>4.5999999999999996</v>
      </c>
      <c r="I51" s="26">
        <f t="shared" si="3"/>
        <v>1.2105263157894735E-3</v>
      </c>
      <c r="J51" s="3">
        <f t="shared" si="0"/>
        <v>92000</v>
      </c>
      <c r="K51" s="27">
        <f t="shared" si="4"/>
        <v>10486.052121065029</v>
      </c>
      <c r="L51" s="3">
        <f t="shared" si="2"/>
        <v>48235.839756899135</v>
      </c>
      <c r="M51" s="3">
        <f t="shared" si="1"/>
        <v>9513.9478789349705</v>
      </c>
      <c r="R51" t="str">
        <f>IF(G51=0,"",_xlfn.XLOOKUP(G51,List_item!A:A,List_item!B:B))</f>
        <v>Karkas Uk 1.1 Karkas Uk 1.1 Frozen Grade A</v>
      </c>
    </row>
    <row r="52" spans="1:23" x14ac:dyDescent="0.35">
      <c r="A52" t="s">
        <v>2210</v>
      </c>
      <c r="B52" s="2">
        <f>_xlfn.XLOOKUP(A52,Sheet5!E:E,Sheet5!F:F)</f>
        <v>20000</v>
      </c>
      <c r="C52" t="s">
        <v>9</v>
      </c>
      <c r="H52" s="2">
        <v>0</v>
      </c>
      <c r="I52" s="26">
        <f t="shared" si="3"/>
        <v>0</v>
      </c>
      <c r="J52" s="3">
        <f t="shared" si="0"/>
        <v>0</v>
      </c>
      <c r="K52" s="27">
        <f t="shared" si="4"/>
        <v>0</v>
      </c>
      <c r="L52" s="3">
        <f t="shared" si="2"/>
        <v>0</v>
      </c>
      <c r="M52" s="3">
        <f t="shared" si="1"/>
        <v>0</v>
      </c>
      <c r="R52" t="str">
        <f>IF(G52=0,"",_xlfn.XLOOKUP(G52,List_item!A:A,List_item!B:B))</f>
        <v/>
      </c>
    </row>
    <row r="53" spans="1:23" x14ac:dyDescent="0.35">
      <c r="A53" t="s">
        <v>2211</v>
      </c>
      <c r="B53" s="2">
        <f>_xlfn.XLOOKUP(A53,Sheet5!E:E,Sheet5!F:F)</f>
        <v>20000</v>
      </c>
      <c r="C53" t="s">
        <v>9</v>
      </c>
      <c r="H53" s="2">
        <v>0</v>
      </c>
      <c r="I53" s="26">
        <f t="shared" si="3"/>
        <v>0</v>
      </c>
      <c r="J53" s="3">
        <f t="shared" si="0"/>
        <v>0</v>
      </c>
      <c r="K53" s="27">
        <f t="shared" si="4"/>
        <v>0</v>
      </c>
      <c r="L53" s="3">
        <f t="shared" si="2"/>
        <v>0</v>
      </c>
      <c r="M53" s="3">
        <f t="shared" si="1"/>
        <v>0</v>
      </c>
      <c r="R53" t="str">
        <f>IF(G53=0,"",_xlfn.XLOOKUP(G53,List_item!A:A,List_item!B:B))</f>
        <v/>
      </c>
    </row>
    <row r="54" spans="1:23" x14ac:dyDescent="0.35">
      <c r="A54" t="s">
        <v>2212</v>
      </c>
      <c r="B54" s="2">
        <f>_xlfn.XLOOKUP(A54,Sheet5!E:E,Sheet5!F:F)</f>
        <v>20000</v>
      </c>
      <c r="C54" t="s">
        <v>9</v>
      </c>
      <c r="H54" s="2">
        <v>0</v>
      </c>
      <c r="I54" s="26">
        <f t="shared" si="3"/>
        <v>0</v>
      </c>
      <c r="J54" s="3">
        <f t="shared" si="0"/>
        <v>0</v>
      </c>
      <c r="K54" s="27">
        <f t="shared" si="4"/>
        <v>0</v>
      </c>
      <c r="L54" s="3">
        <f t="shared" si="2"/>
        <v>0</v>
      </c>
      <c r="M54" s="3">
        <f t="shared" si="1"/>
        <v>0</v>
      </c>
      <c r="R54" t="str">
        <f>IF(G54=0,"",_xlfn.XLOOKUP(G54,List_item!A:A,List_item!B:B))</f>
        <v/>
      </c>
    </row>
    <row r="55" spans="1:23" x14ac:dyDescent="0.35">
      <c r="A55" t="s">
        <v>2213</v>
      </c>
      <c r="B55" s="2">
        <f>_xlfn.XLOOKUP(A55,Sheet5!E:E,Sheet5!F:F)</f>
        <v>20000</v>
      </c>
      <c r="C55" t="s">
        <v>9</v>
      </c>
      <c r="H55" s="2">
        <v>0</v>
      </c>
      <c r="I55" s="26">
        <f t="shared" si="3"/>
        <v>0</v>
      </c>
      <c r="J55" s="3">
        <f t="shared" si="0"/>
        <v>0</v>
      </c>
      <c r="K55" s="27">
        <f t="shared" si="4"/>
        <v>0</v>
      </c>
      <c r="L55" s="3">
        <f t="shared" si="2"/>
        <v>0</v>
      </c>
      <c r="M55" s="3">
        <f t="shared" si="1"/>
        <v>0</v>
      </c>
      <c r="R55" t="str">
        <f>IF(G55=0,"",_xlfn.XLOOKUP(G55,List_item!A:A,List_item!B:B))</f>
        <v/>
      </c>
    </row>
    <row r="56" spans="1:23" x14ac:dyDescent="0.35">
      <c r="A56" t="s">
        <v>2214</v>
      </c>
      <c r="B56" s="2">
        <f>_xlfn.XLOOKUP(A56,Sheet5!E:E,Sheet5!F:F)</f>
        <v>20000</v>
      </c>
      <c r="C56" t="s">
        <v>9</v>
      </c>
      <c r="H56" s="2">
        <v>0</v>
      </c>
      <c r="I56" s="26">
        <f t="shared" si="3"/>
        <v>0</v>
      </c>
      <c r="J56" s="3">
        <f t="shared" si="0"/>
        <v>0</v>
      </c>
      <c r="K56" s="27">
        <f t="shared" si="4"/>
        <v>0</v>
      </c>
      <c r="L56" s="3">
        <f t="shared" si="2"/>
        <v>0</v>
      </c>
      <c r="M56" s="3">
        <f t="shared" si="1"/>
        <v>0</v>
      </c>
      <c r="R56" t="str">
        <f>IF(G56=0,"",_xlfn.XLOOKUP(G56,List_item!A:A,List_item!B:B))</f>
        <v/>
      </c>
    </row>
    <row r="57" spans="1:23" x14ac:dyDescent="0.35">
      <c r="A57" t="s">
        <v>2215</v>
      </c>
      <c r="B57" s="2">
        <f>_xlfn.XLOOKUP(A57,Sheet5!E:E,Sheet5!F:F)</f>
        <v>20000</v>
      </c>
      <c r="C57" t="s">
        <v>9</v>
      </c>
      <c r="H57" s="2">
        <v>0</v>
      </c>
      <c r="I57" s="26">
        <f t="shared" si="3"/>
        <v>0</v>
      </c>
      <c r="J57" s="3">
        <f t="shared" si="0"/>
        <v>0</v>
      </c>
      <c r="K57" s="27">
        <f t="shared" si="4"/>
        <v>0</v>
      </c>
      <c r="L57" s="3">
        <f t="shared" si="2"/>
        <v>0</v>
      </c>
      <c r="M57" s="3">
        <f t="shared" si="1"/>
        <v>0</v>
      </c>
      <c r="R57" t="str">
        <f>IF(G57=0,"",_xlfn.XLOOKUP(G57,List_item!A:A,List_item!B:B))</f>
        <v/>
      </c>
    </row>
    <row r="58" spans="1:23" x14ac:dyDescent="0.35">
      <c r="A58" t="s">
        <v>2216</v>
      </c>
      <c r="B58" s="2">
        <f>_xlfn.XLOOKUP(A58,Sheet5!E:E,Sheet5!F:F)</f>
        <v>20000</v>
      </c>
      <c r="C58" t="s">
        <v>9</v>
      </c>
      <c r="H58" s="2">
        <v>0</v>
      </c>
      <c r="I58" s="26">
        <f t="shared" si="3"/>
        <v>0</v>
      </c>
      <c r="J58" s="3">
        <f t="shared" si="0"/>
        <v>0</v>
      </c>
      <c r="K58" s="27">
        <f t="shared" si="4"/>
        <v>0</v>
      </c>
      <c r="L58" s="3">
        <f t="shared" si="2"/>
        <v>0</v>
      </c>
      <c r="M58" s="3">
        <f t="shared" si="1"/>
        <v>0</v>
      </c>
      <c r="R58" t="str">
        <f>IF(G58=0,"",_xlfn.XLOOKUP(G58,List_item!A:A,List_item!B:B))</f>
        <v/>
      </c>
    </row>
    <row r="59" spans="1:23" x14ac:dyDescent="0.35">
      <c r="A59" t="s">
        <v>2217</v>
      </c>
      <c r="B59" s="2">
        <f>_xlfn.XLOOKUP(A59,Sheet5!E:E,Sheet5!F:F)</f>
        <v>20000</v>
      </c>
      <c r="C59" t="s">
        <v>9</v>
      </c>
      <c r="H59" s="2">
        <v>0</v>
      </c>
      <c r="I59" s="26">
        <f t="shared" si="3"/>
        <v>0</v>
      </c>
      <c r="J59" s="3">
        <f t="shared" si="0"/>
        <v>0</v>
      </c>
      <c r="K59" s="27">
        <f t="shared" si="4"/>
        <v>0</v>
      </c>
      <c r="L59" s="3">
        <f t="shared" si="2"/>
        <v>0</v>
      </c>
      <c r="M59" s="3">
        <f t="shared" si="1"/>
        <v>0</v>
      </c>
      <c r="R59" t="str">
        <f>IF(G59=0,"",_xlfn.XLOOKUP(G59,List_item!A:A,List_item!B:B))</f>
        <v/>
      </c>
    </row>
    <row r="60" spans="1:23" x14ac:dyDescent="0.35">
      <c r="A60" t="s">
        <v>2218</v>
      </c>
      <c r="B60" s="2">
        <f>_xlfn.XLOOKUP(A60,Sheet5!E:E,Sheet5!F:F)</f>
        <v>20000</v>
      </c>
      <c r="C60" t="s">
        <v>9</v>
      </c>
      <c r="H60" s="2">
        <v>0</v>
      </c>
      <c r="I60" s="26">
        <f t="shared" si="3"/>
        <v>0</v>
      </c>
      <c r="J60" s="3">
        <f t="shared" si="0"/>
        <v>0</v>
      </c>
      <c r="K60" s="27">
        <f t="shared" si="4"/>
        <v>0</v>
      </c>
      <c r="L60" s="3">
        <f t="shared" si="2"/>
        <v>0</v>
      </c>
      <c r="M60" s="3">
        <f t="shared" si="1"/>
        <v>0</v>
      </c>
      <c r="R60" t="str">
        <f>IF(G60=0,"",_xlfn.XLOOKUP(G60,List_item!A:A,List_item!B:B))</f>
        <v/>
      </c>
    </row>
    <row r="62" spans="1:23" x14ac:dyDescent="0.35">
      <c r="W62">
        <f>187340000-35745000</f>
        <v>151595000</v>
      </c>
    </row>
    <row r="64" spans="1:23" x14ac:dyDescent="0.35">
      <c r="H64" s="39">
        <f>+H65/E69</f>
        <v>0.56021052631578949</v>
      </c>
    </row>
    <row r="65" spans="1:32" ht="16" x14ac:dyDescent="0.4">
      <c r="A65" s="8" t="s">
        <v>3829</v>
      </c>
      <c r="B65" s="19"/>
      <c r="C65" s="18"/>
      <c r="E65" s="18" t="s">
        <v>3824</v>
      </c>
      <c r="F65" s="2">
        <f>F69/E69</f>
        <v>16433.333333333332</v>
      </c>
      <c r="H65" s="40">
        <f>SUM(H70:H99)+SUM(H108:H114)</f>
        <v>6386.4</v>
      </c>
      <c r="J65" s="19" t="s">
        <v>2176</v>
      </c>
      <c r="K65" s="28">
        <f>SUM(J70:J124)/L69-1</f>
        <v>-7.4418703960713262E-2</v>
      </c>
      <c r="S65" s="41" t="s">
        <v>3829</v>
      </c>
      <c r="T65" s="42"/>
      <c r="U65" s="43"/>
      <c r="V65" s="44"/>
      <c r="W65" s="43" t="s">
        <v>3824</v>
      </c>
      <c r="X65" s="45">
        <f>X69/W69</f>
        <v>16394.497496404121</v>
      </c>
      <c r="Y65" s="45"/>
      <c r="Z65" s="46">
        <f>SUM(Z70:Z99)+SUM(Z108:Z114)</f>
        <v>6386.4</v>
      </c>
      <c r="AA65" s="45"/>
      <c r="AB65" s="42" t="s">
        <v>2176</v>
      </c>
      <c r="AC65" s="47">
        <f>SUM(AB70:AB124)/AD69-1</f>
        <v>0.25446122893235334</v>
      </c>
      <c r="AD65" s="45"/>
      <c r="AE65" s="45"/>
      <c r="AF65" s="45"/>
    </row>
    <row r="66" spans="1:32" ht="16" x14ac:dyDescent="0.35">
      <c r="A66" s="170" t="s">
        <v>27</v>
      </c>
      <c r="B66" s="165" t="s">
        <v>2163</v>
      </c>
      <c r="C66" s="170" t="s">
        <v>4</v>
      </c>
      <c r="D66" s="1"/>
      <c r="E66" s="171" t="s">
        <v>28</v>
      </c>
      <c r="F66" s="165" t="s">
        <v>6</v>
      </c>
      <c r="G66" s="165" t="s">
        <v>29</v>
      </c>
      <c r="H66" s="165" t="s">
        <v>5</v>
      </c>
      <c r="I66" s="165" t="s">
        <v>2177</v>
      </c>
      <c r="J66" s="165" t="s">
        <v>2180</v>
      </c>
      <c r="K66" s="166" t="s">
        <v>3827</v>
      </c>
      <c r="L66" s="167" t="s">
        <v>2173</v>
      </c>
      <c r="M66" s="165" t="s">
        <v>2172</v>
      </c>
      <c r="N66" s="165" t="s">
        <v>3826</v>
      </c>
      <c r="O66" s="165" t="s">
        <v>3841</v>
      </c>
      <c r="S66" s="177" t="s">
        <v>27</v>
      </c>
      <c r="T66" s="172" t="s">
        <v>2163</v>
      </c>
      <c r="U66" s="177" t="s">
        <v>4</v>
      </c>
      <c r="V66" s="48"/>
      <c r="W66" s="178" t="s">
        <v>28</v>
      </c>
      <c r="X66" s="172" t="s">
        <v>6</v>
      </c>
      <c r="Y66" s="172" t="s">
        <v>29</v>
      </c>
      <c r="Z66" s="172" t="s">
        <v>5</v>
      </c>
      <c r="AA66" s="172" t="s">
        <v>2177</v>
      </c>
      <c r="AB66" s="172" t="s">
        <v>2180</v>
      </c>
      <c r="AC66" s="173" t="s">
        <v>3827</v>
      </c>
      <c r="AD66" s="174" t="s">
        <v>2173</v>
      </c>
      <c r="AE66" s="172" t="s">
        <v>2172</v>
      </c>
      <c r="AF66" s="172" t="s">
        <v>3826</v>
      </c>
    </row>
    <row r="67" spans="1:32" ht="16" x14ac:dyDescent="0.35">
      <c r="A67" s="170"/>
      <c r="B67" s="165"/>
      <c r="C67" s="170"/>
      <c r="D67" s="1"/>
      <c r="E67" s="171"/>
      <c r="F67" s="165"/>
      <c r="G67" s="165"/>
      <c r="H67" s="165"/>
      <c r="I67" s="165"/>
      <c r="J67" s="165"/>
      <c r="K67" s="166"/>
      <c r="L67" s="168"/>
      <c r="M67" s="165"/>
      <c r="N67" s="165"/>
      <c r="O67" s="165"/>
      <c r="S67" s="177"/>
      <c r="T67" s="172"/>
      <c r="U67" s="177"/>
      <c r="V67" s="48"/>
      <c r="W67" s="178"/>
      <c r="X67" s="172"/>
      <c r="Y67" s="172"/>
      <c r="Z67" s="172"/>
      <c r="AA67" s="172"/>
      <c r="AB67" s="172"/>
      <c r="AC67" s="173"/>
      <c r="AD67" s="175"/>
      <c r="AE67" s="172"/>
      <c r="AF67" s="172"/>
    </row>
    <row r="68" spans="1:32" ht="16" x14ac:dyDescent="0.35">
      <c r="A68" s="170"/>
      <c r="B68" s="165"/>
      <c r="C68" s="170"/>
      <c r="D68" s="1"/>
      <c r="E68" s="171"/>
      <c r="F68" s="165"/>
      <c r="G68" s="165"/>
      <c r="H68" s="165"/>
      <c r="I68" s="165"/>
      <c r="J68" s="165"/>
      <c r="K68" s="166"/>
      <c r="L68" s="169"/>
      <c r="M68" s="165"/>
      <c r="N68" s="165"/>
      <c r="O68" s="165"/>
      <c r="S68" s="177"/>
      <c r="T68" s="172"/>
      <c r="U68" s="177"/>
      <c r="V68" s="48"/>
      <c r="W68" s="178"/>
      <c r="X68" s="172"/>
      <c r="Y68" s="172"/>
      <c r="Z68" s="172"/>
      <c r="AA68" s="172"/>
      <c r="AB68" s="172"/>
      <c r="AC68" s="173"/>
      <c r="AD68" s="176"/>
      <c r="AE68" s="172"/>
      <c r="AF68" s="172"/>
    </row>
    <row r="69" spans="1:32" ht="16" x14ac:dyDescent="0.4">
      <c r="A69" s="4"/>
      <c r="B69" s="24"/>
      <c r="C69" s="4"/>
      <c r="D69" s="1"/>
      <c r="E69" s="5">
        <f>7600+3800</f>
        <v>11400</v>
      </c>
      <c r="F69" s="5">
        <f>+(7600*16600)+(3800*16100)</f>
        <v>187340000</v>
      </c>
      <c r="G69" s="5"/>
      <c r="H69" s="5"/>
      <c r="I69" s="5"/>
      <c r="J69" s="5">
        <f>+SUM(J70:J124)</f>
        <v>173398400</v>
      </c>
      <c r="K69" s="5"/>
      <c r="L69" s="5">
        <f>+SUM(L70:L124)</f>
        <v>187340000.00000003</v>
      </c>
      <c r="M69" s="5">
        <f>+F69-L69</f>
        <v>0</v>
      </c>
      <c r="O69" s="2">
        <v>13200000</v>
      </c>
      <c r="P69" t="s">
        <v>3843</v>
      </c>
      <c r="S69" s="49"/>
      <c r="T69" s="50"/>
      <c r="U69" s="49"/>
      <c r="V69" s="48"/>
      <c r="W69" s="51">
        <v>9246.7000000000007</v>
      </c>
      <c r="X69" s="51">
        <v>151595000</v>
      </c>
      <c r="Y69" s="51"/>
      <c r="Z69" s="51"/>
      <c r="AA69" s="51"/>
      <c r="AB69" s="51">
        <f>+SUM(AB70:AB124)</f>
        <v>190170050</v>
      </c>
      <c r="AC69" s="51"/>
      <c r="AD69" s="51">
        <f>+SUM(AD70:AD124)</f>
        <v>151594999.99999991</v>
      </c>
      <c r="AE69" s="51">
        <f>+X69-AD69</f>
        <v>0</v>
      </c>
      <c r="AF69" s="45"/>
    </row>
    <row r="70" spans="1:32" ht="16" x14ac:dyDescent="0.4">
      <c r="A70" t="s">
        <v>3828</v>
      </c>
      <c r="B70" s="2">
        <f>_xlfn.XLOOKUP(A7,Sheet5!E:E,Sheet5!F:F)</f>
        <v>28000</v>
      </c>
      <c r="C70" t="s">
        <v>9</v>
      </c>
      <c r="D70" s="1"/>
      <c r="E70" s="5"/>
      <c r="F70" s="5"/>
      <c r="G70" s="3" t="s">
        <v>3789</v>
      </c>
      <c r="H70" s="31">
        <v>39.799999999999997</v>
      </c>
      <c r="I70" s="31">
        <f>IF(F70/E$69&gt;0,F70/E$69,H70/E$69)</f>
        <v>3.4912280701754382E-3</v>
      </c>
      <c r="J70" s="31">
        <f>+B70*(F70+H70)</f>
        <v>1114400</v>
      </c>
      <c r="K70" s="31">
        <f>IFERROR(((J70/SUM($J$70:$J$124))*$F$69)/(F70+H70),0)</f>
        <v>30251.259527192869</v>
      </c>
      <c r="L70" s="31">
        <f>+K70*(F70+H70)</f>
        <v>1204000.1291822761</v>
      </c>
      <c r="M70" s="31">
        <f>IF(K70=0,0,B70-K70)</f>
        <v>-2251.2595271928694</v>
      </c>
      <c r="R70" t="str">
        <f>IF(G70=0,"",_xlfn.XLOOKUP(G70,List_item!A:A,List_item!B:B))</f>
        <v>Karkas Uk 0.4 Karkas Uk 0.4 Frozen Premium</v>
      </c>
      <c r="S70" s="44" t="s">
        <v>3828</v>
      </c>
      <c r="T70" s="45">
        <v>32000</v>
      </c>
      <c r="U70" s="44" t="s">
        <v>9</v>
      </c>
      <c r="V70" s="48"/>
      <c r="W70" s="51"/>
      <c r="X70" s="51"/>
      <c r="Y70" s="52" t="s">
        <v>3789</v>
      </c>
      <c r="Z70" s="53">
        <v>39.799999999999997</v>
      </c>
      <c r="AA70" s="53">
        <f>IF(X70/W$69&gt;0,X70/W$69,Z70/W$69)</f>
        <v>4.304238268787783E-3</v>
      </c>
      <c r="AB70" s="53">
        <f>+T70*(X70+Z70)</f>
        <v>1273600</v>
      </c>
      <c r="AC70" s="53">
        <f>IFERROR(((AB70/SUM($AB$70:$AB$124))*$X$69)/(X70+Z70),0)</f>
        <v>25508.958955419115</v>
      </c>
      <c r="AD70" s="53">
        <f>+AC70*(X70+Z70)</f>
        <v>1015256.5664256808</v>
      </c>
      <c r="AE70" s="53">
        <f>IF(AC70=0,0,T70-AC70)</f>
        <v>6491.0410445808848</v>
      </c>
      <c r="AF70" s="45"/>
    </row>
    <row r="71" spans="1:32" ht="16" x14ac:dyDescent="0.4">
      <c r="A71" t="s">
        <v>2182</v>
      </c>
      <c r="B71" s="2">
        <f>_xlfn.XLOOKUP(A8,Sheet5!E:E,Sheet5!F:F)</f>
        <v>28000</v>
      </c>
      <c r="C71" t="s">
        <v>9</v>
      </c>
      <c r="G71" s="3" t="s">
        <v>2219</v>
      </c>
      <c r="H71" s="3">
        <v>285.5</v>
      </c>
      <c r="I71" s="26">
        <f t="shared" ref="I71:I124" si="5">IF(F71/E$69&gt;0,F71/E$69,H71/E$69)</f>
        <v>2.5043859649122806E-2</v>
      </c>
      <c r="J71" s="3">
        <f t="shared" ref="J71:J87" si="6">+B71*(F71+H71)</f>
        <v>7994000</v>
      </c>
      <c r="K71" s="31">
        <f t="shared" ref="K71:K124" si="7">IFERROR(((J71/SUM($J$70:$J$124))*$F$69)/(F71+H71),0)</f>
        <v>30251.259527192869</v>
      </c>
      <c r="L71" s="3">
        <f>+K71*(F71+H71)</f>
        <v>8636734.5950135645</v>
      </c>
      <c r="M71" s="3">
        <f t="shared" ref="M71:M124" si="8">IF(K71=0,0,B71-K71)</f>
        <v>-2251.2595271928694</v>
      </c>
      <c r="P71" s="6"/>
      <c r="R71" t="str">
        <f>IF(G71=0,"",_xlfn.XLOOKUP(G71,List_item!A:A,List_item!B:B))</f>
        <v>Karkas Uk 0.5 Karkas Uk 0.5 Frozen Premium</v>
      </c>
      <c r="S71" s="44" t="s">
        <v>2182</v>
      </c>
      <c r="T71" s="45">
        <v>32000</v>
      </c>
      <c r="U71" s="44" t="s">
        <v>9</v>
      </c>
      <c r="V71" s="44"/>
      <c r="W71" s="45"/>
      <c r="X71" s="45"/>
      <c r="Y71" s="52" t="s">
        <v>2219</v>
      </c>
      <c r="Z71" s="52">
        <v>285.5</v>
      </c>
      <c r="AA71" s="54">
        <f t="shared" ref="AA71:AA124" si="9">IF(X71/W$69&gt;0,X71/W$69,Z71/W$69)</f>
        <v>3.087588004369126E-2</v>
      </c>
      <c r="AB71" s="52">
        <f t="shared" ref="AB71:AB87" si="10">+T71*(X71+Z71)</f>
        <v>9136000</v>
      </c>
      <c r="AC71" s="53">
        <f t="shared" ref="AC71:AC124" si="11">IFERROR(((AB71/SUM($AB$70:$AB$124))*$X$69)/(X71+Z71),0)</f>
        <v>25508.958955419108</v>
      </c>
      <c r="AD71" s="52">
        <f>+AC71*(X71+Z71)</f>
        <v>7282807.7817721553</v>
      </c>
      <c r="AE71" s="52">
        <f t="shared" ref="AE71:AE124" si="12">IF(AC71=0,0,T71-AC71)</f>
        <v>6491.041044580892</v>
      </c>
      <c r="AF71" s="45"/>
    </row>
    <row r="72" spans="1:32" ht="16" x14ac:dyDescent="0.4">
      <c r="A72" t="s">
        <v>2183</v>
      </c>
      <c r="B72" s="2">
        <f>_xlfn.XLOOKUP(A9,Sheet5!E:E,Sheet5!F:F)</f>
        <v>28000</v>
      </c>
      <c r="C72" t="s">
        <v>9</v>
      </c>
      <c r="G72" s="3" t="s">
        <v>2220</v>
      </c>
      <c r="H72" s="2">
        <v>379.5</v>
      </c>
      <c r="I72" s="26">
        <f t="shared" si="5"/>
        <v>3.3289473684210528E-2</v>
      </c>
      <c r="J72" s="3">
        <f t="shared" si="6"/>
        <v>10626000</v>
      </c>
      <c r="K72" s="31">
        <f t="shared" si="7"/>
        <v>30251.259527192869</v>
      </c>
      <c r="L72" s="3">
        <f t="shared" ref="L72:L124" si="13">+K72*(F72+H72)</f>
        <v>11480352.990569694</v>
      </c>
      <c r="M72" s="3">
        <f t="shared" si="8"/>
        <v>-2251.2595271928694</v>
      </c>
      <c r="R72" t="str">
        <f>IF(G72=0,"",_xlfn.XLOOKUP(G72,List_item!A:A,List_item!B:B))</f>
        <v>Karkas Uk 0.6 Karkas Uk 0.6 Frozen Premium</v>
      </c>
      <c r="S72" s="44" t="s">
        <v>2183</v>
      </c>
      <c r="T72" s="45">
        <v>32000</v>
      </c>
      <c r="U72" s="44" t="s">
        <v>9</v>
      </c>
      <c r="V72" s="44"/>
      <c r="W72" s="45"/>
      <c r="X72" s="45"/>
      <c r="Y72" s="52" t="s">
        <v>2220</v>
      </c>
      <c r="Z72" s="45">
        <v>379.5</v>
      </c>
      <c r="AA72" s="54">
        <f t="shared" si="9"/>
        <v>4.1041668919722711E-2</v>
      </c>
      <c r="AB72" s="52">
        <f t="shared" si="10"/>
        <v>12144000</v>
      </c>
      <c r="AC72" s="53">
        <f t="shared" si="11"/>
        <v>25508.958955419108</v>
      </c>
      <c r="AD72" s="52">
        <f t="shared" ref="AD72:AD124" si="14">+AC72*(X72+Z72)</f>
        <v>9680649.9235815518</v>
      </c>
      <c r="AE72" s="52">
        <f t="shared" si="12"/>
        <v>6491.041044580892</v>
      </c>
      <c r="AF72" s="45"/>
    </row>
    <row r="73" spans="1:32" ht="16" x14ac:dyDescent="0.4">
      <c r="A73" t="s">
        <v>2184</v>
      </c>
      <c r="B73" s="2">
        <f>_xlfn.XLOOKUP(A10,Sheet5!E:E,Sheet5!F:F)</f>
        <v>28000</v>
      </c>
      <c r="C73" t="s">
        <v>9</v>
      </c>
      <c r="E73" s="3"/>
      <c r="G73" s="3" t="s">
        <v>2221</v>
      </c>
      <c r="H73" s="3">
        <v>1037.2</v>
      </c>
      <c r="I73" s="26">
        <f t="shared" si="5"/>
        <v>9.0982456140350887E-2</v>
      </c>
      <c r="J73" s="3">
        <f t="shared" si="6"/>
        <v>29041600</v>
      </c>
      <c r="K73" s="31">
        <f t="shared" si="7"/>
        <v>30251.259527192869</v>
      </c>
      <c r="L73" s="3">
        <f t="shared" si="13"/>
        <v>31376606.381604444</v>
      </c>
      <c r="M73" s="3">
        <f t="shared" si="8"/>
        <v>-2251.2595271928694</v>
      </c>
      <c r="R73" t="str">
        <f>IF(G73=0,"",_xlfn.XLOOKUP(G73,List_item!A:A,List_item!B:B))</f>
        <v>Karkas Uk 0.7 Karkas Uk 0.7 Frozen Premium</v>
      </c>
      <c r="S73" s="44" t="s">
        <v>2184</v>
      </c>
      <c r="T73" s="45">
        <v>32000</v>
      </c>
      <c r="U73" s="44" t="s">
        <v>9</v>
      </c>
      <c r="V73" s="44"/>
      <c r="W73" s="52"/>
      <c r="X73" s="45"/>
      <c r="Y73" s="52" t="s">
        <v>2221</v>
      </c>
      <c r="Z73" s="52">
        <v>1037.2</v>
      </c>
      <c r="AA73" s="54">
        <f t="shared" si="9"/>
        <v>0.11216974704489169</v>
      </c>
      <c r="AB73" s="52">
        <f t="shared" si="10"/>
        <v>33190400</v>
      </c>
      <c r="AC73" s="53">
        <f t="shared" si="11"/>
        <v>25508.958955419108</v>
      </c>
      <c r="AD73" s="52">
        <f t="shared" si="14"/>
        <v>26457892.228560701</v>
      </c>
      <c r="AE73" s="52">
        <f t="shared" si="12"/>
        <v>6491.041044580892</v>
      </c>
      <c r="AF73" s="45"/>
    </row>
    <row r="74" spans="1:32" ht="16" x14ac:dyDescent="0.4">
      <c r="A74" t="s">
        <v>2185</v>
      </c>
      <c r="B74" s="2">
        <f>_xlfn.XLOOKUP(A11,Sheet5!E:E,Sheet5!F:F)</f>
        <v>28000</v>
      </c>
      <c r="C74" t="s">
        <v>9</v>
      </c>
      <c r="G74" s="3" t="s">
        <v>2222</v>
      </c>
      <c r="H74" s="2">
        <v>1409.9</v>
      </c>
      <c r="I74" s="26">
        <f t="shared" si="5"/>
        <v>0.12367543859649123</v>
      </c>
      <c r="J74" s="3">
        <f t="shared" si="6"/>
        <v>39477200</v>
      </c>
      <c r="K74" s="31">
        <f t="shared" si="7"/>
        <v>30251.259527192869</v>
      </c>
      <c r="L74" s="3">
        <f t="shared" si="13"/>
        <v>42651250.80738923</v>
      </c>
      <c r="M74" s="3">
        <f t="shared" si="8"/>
        <v>-2251.2595271928694</v>
      </c>
      <c r="R74" t="str">
        <f>IF(G74=0,"",_xlfn.XLOOKUP(G74,List_item!A:A,List_item!B:B))</f>
        <v>Karkas Uk 0.8 Frozen Premium</v>
      </c>
      <c r="S74" s="44" t="s">
        <v>2185</v>
      </c>
      <c r="T74" s="45">
        <v>32000</v>
      </c>
      <c r="U74" s="44" t="s">
        <v>9</v>
      </c>
      <c r="V74" s="44"/>
      <c r="W74" s="45"/>
      <c r="X74" s="45"/>
      <c r="Y74" s="52" t="s">
        <v>2222</v>
      </c>
      <c r="Z74" s="45">
        <v>1409.9</v>
      </c>
      <c r="AA74" s="54">
        <f t="shared" si="9"/>
        <v>0.15247601847145467</v>
      </c>
      <c r="AB74" s="52">
        <f t="shared" si="10"/>
        <v>45116800</v>
      </c>
      <c r="AC74" s="53">
        <f t="shared" si="11"/>
        <v>25508.958955419112</v>
      </c>
      <c r="AD74" s="52">
        <f t="shared" si="14"/>
        <v>35965081.231245406</v>
      </c>
      <c r="AE74" s="52">
        <f t="shared" si="12"/>
        <v>6491.0410445808884</v>
      </c>
      <c r="AF74" s="45"/>
    </row>
    <row r="75" spans="1:32" ht="16" x14ac:dyDescent="0.4">
      <c r="A75" t="s">
        <v>2186</v>
      </c>
      <c r="B75" s="3">
        <f>_xlfn.XLOOKUP(A12,Sheet5!E:E,Sheet5!F:F)</f>
        <v>26500</v>
      </c>
      <c r="C75" t="s">
        <v>9</v>
      </c>
      <c r="E75"/>
      <c r="F75"/>
      <c r="G75" s="3" t="s">
        <v>2223</v>
      </c>
      <c r="H75" s="3">
        <v>1718</v>
      </c>
      <c r="I75" s="26">
        <f t="shared" si="5"/>
        <v>0.15070175438596492</v>
      </c>
      <c r="J75" s="3">
        <f t="shared" si="6"/>
        <v>45527000</v>
      </c>
      <c r="K75" s="31">
        <f t="shared" si="7"/>
        <v>28630.656338236106</v>
      </c>
      <c r="L75" s="3">
        <f t="shared" si="13"/>
        <v>49187467.589089632</v>
      </c>
      <c r="M75" s="3">
        <f t="shared" si="8"/>
        <v>-2130.6563382361055</v>
      </c>
      <c r="N75" s="3"/>
      <c r="R75" t="str">
        <f>IF(G75=0,"",_xlfn.XLOOKUP(G75,List_item!A:A,List_item!B:B))</f>
        <v>Karkas Uk 0.9 Frozen Premium</v>
      </c>
      <c r="S75" s="44" t="s">
        <v>2186</v>
      </c>
      <c r="T75" s="52">
        <v>32000</v>
      </c>
      <c r="U75" s="44" t="s">
        <v>9</v>
      </c>
      <c r="V75" s="44"/>
      <c r="W75" s="44"/>
      <c r="X75" s="44"/>
      <c r="Y75" s="52" t="s">
        <v>2223</v>
      </c>
      <c r="Z75" s="52">
        <v>1718</v>
      </c>
      <c r="AA75" s="54">
        <f t="shared" si="9"/>
        <v>0.18579601371300031</v>
      </c>
      <c r="AB75" s="52">
        <f t="shared" si="10"/>
        <v>54976000</v>
      </c>
      <c r="AC75" s="53">
        <f t="shared" si="11"/>
        <v>25508.958955419112</v>
      </c>
      <c r="AD75" s="52">
        <f t="shared" si="14"/>
        <v>43824391.485410035</v>
      </c>
      <c r="AE75" s="52">
        <f t="shared" si="12"/>
        <v>6491.0410445808884</v>
      </c>
      <c r="AF75" s="52"/>
    </row>
    <row r="76" spans="1:32" ht="16" x14ac:dyDescent="0.4">
      <c r="A76" t="s">
        <v>2187</v>
      </c>
      <c r="B76" s="3">
        <f>_xlfn.XLOOKUP(A13,Sheet5!E:E,Sheet5!F:F)</f>
        <v>26500</v>
      </c>
      <c r="C76" t="s">
        <v>9</v>
      </c>
      <c r="E76" s="3"/>
      <c r="F76"/>
      <c r="G76" s="3" t="s">
        <v>896</v>
      </c>
      <c r="H76" s="3">
        <v>439.1</v>
      </c>
      <c r="I76" s="26">
        <f t="shared" si="5"/>
        <v>3.8517543859649124E-2</v>
      </c>
      <c r="J76" s="3">
        <f t="shared" si="6"/>
        <v>11636150</v>
      </c>
      <c r="K76" s="31">
        <f t="shared" si="7"/>
        <v>28630.656338236109</v>
      </c>
      <c r="L76" s="3">
        <f t="shared" si="13"/>
        <v>12571721.198119476</v>
      </c>
      <c r="M76" s="3">
        <f t="shared" si="8"/>
        <v>-2130.6563382361091</v>
      </c>
      <c r="N76" s="3"/>
      <c r="R76" t="str">
        <f>IF(G76=0,"",_xlfn.XLOOKUP(G76,List_item!A:A,List_item!B:B))</f>
        <v>Karkas Uk 1.0 Karkas Uk 1.0 Frozen Grade A</v>
      </c>
      <c r="S76" s="44" t="s">
        <v>2187</v>
      </c>
      <c r="T76" s="52">
        <v>32000</v>
      </c>
      <c r="U76" s="44" t="s">
        <v>9</v>
      </c>
      <c r="V76" s="44"/>
      <c r="W76" s="52"/>
      <c r="X76" s="44"/>
      <c r="Y76" s="52" t="s">
        <v>896</v>
      </c>
      <c r="Z76" s="52">
        <v>439.1</v>
      </c>
      <c r="AA76" s="54">
        <f t="shared" si="9"/>
        <v>4.7487211653887335E-2</v>
      </c>
      <c r="AB76" s="52">
        <f t="shared" si="10"/>
        <v>14051200</v>
      </c>
      <c r="AC76" s="53">
        <f t="shared" si="11"/>
        <v>25508.958955419108</v>
      </c>
      <c r="AD76" s="52">
        <f t="shared" si="14"/>
        <v>11200983.877324531</v>
      </c>
      <c r="AE76" s="52">
        <f t="shared" si="12"/>
        <v>6491.041044580892</v>
      </c>
      <c r="AF76" s="52"/>
    </row>
    <row r="77" spans="1:32" ht="16" x14ac:dyDescent="0.4">
      <c r="A77" t="s">
        <v>2188</v>
      </c>
      <c r="B77" s="3">
        <f>_xlfn.XLOOKUP(A14,Sheet5!E:E,Sheet5!F:F)</f>
        <v>26500</v>
      </c>
      <c r="C77" t="s">
        <v>9</v>
      </c>
      <c r="E77" s="6"/>
      <c r="F77"/>
      <c r="G77" s="3" t="s">
        <v>989</v>
      </c>
      <c r="H77" s="3">
        <v>67.7</v>
      </c>
      <c r="I77" s="26">
        <f t="shared" si="5"/>
        <v>5.9385964912280704E-3</v>
      </c>
      <c r="J77" s="3">
        <f t="shared" si="6"/>
        <v>1794050</v>
      </c>
      <c r="K77" s="31">
        <f t="shared" si="7"/>
        <v>28630.656338236106</v>
      </c>
      <c r="L77" s="3">
        <f t="shared" si="13"/>
        <v>1938295.4340985843</v>
      </c>
      <c r="M77" s="3">
        <f t="shared" si="8"/>
        <v>-2130.6563382361055</v>
      </c>
      <c r="N77" s="3"/>
      <c r="R77" t="str">
        <f>IF(G77=0,"",_xlfn.XLOOKUP(G77,List_item!A:A,List_item!B:B))</f>
        <v>Karkas Uk 1.1 Karkas Uk 1.1 Frozen Premium</v>
      </c>
      <c r="S77" s="44" t="s">
        <v>2188</v>
      </c>
      <c r="T77" s="52">
        <v>32000</v>
      </c>
      <c r="U77" s="44" t="s">
        <v>9</v>
      </c>
      <c r="V77" s="44"/>
      <c r="W77" s="55"/>
      <c r="X77" s="44"/>
      <c r="Y77" s="52" t="s">
        <v>989</v>
      </c>
      <c r="Z77" s="52">
        <v>67.7</v>
      </c>
      <c r="AA77" s="54">
        <f t="shared" si="9"/>
        <v>7.321530924546054E-3</v>
      </c>
      <c r="AB77" s="52">
        <f t="shared" si="10"/>
        <v>2166400</v>
      </c>
      <c r="AC77" s="53">
        <f t="shared" si="11"/>
        <v>25508.958955419112</v>
      </c>
      <c r="AD77" s="52">
        <f t="shared" si="14"/>
        <v>1726956.521281874</v>
      </c>
      <c r="AE77" s="52">
        <f t="shared" si="12"/>
        <v>6491.0410445808884</v>
      </c>
      <c r="AF77" s="52"/>
    </row>
    <row r="78" spans="1:32" ht="16" x14ac:dyDescent="0.4">
      <c r="A78" t="s">
        <v>2189</v>
      </c>
      <c r="B78" s="3">
        <f>_xlfn.XLOOKUP(A15,Sheet5!E:E,Sheet5!F:F)</f>
        <v>26500</v>
      </c>
      <c r="C78" t="s">
        <v>9</v>
      </c>
      <c r="E78" s="3"/>
      <c r="F78" s="3"/>
      <c r="G78" s="3"/>
      <c r="H78" s="3">
        <v>0</v>
      </c>
      <c r="I78" s="26">
        <f t="shared" si="5"/>
        <v>0</v>
      </c>
      <c r="J78" s="3">
        <f t="shared" si="6"/>
        <v>0</v>
      </c>
      <c r="K78" s="31">
        <f t="shared" si="7"/>
        <v>0</v>
      </c>
      <c r="L78" s="3">
        <f t="shared" si="13"/>
        <v>0</v>
      </c>
      <c r="M78" s="3">
        <f t="shared" si="8"/>
        <v>0</v>
      </c>
      <c r="N78" s="3"/>
      <c r="R78" t="str">
        <f>IF(G78=0,"",_xlfn.XLOOKUP(G78,List_item!A:A,List_item!B:B))</f>
        <v/>
      </c>
      <c r="S78" s="44" t="s">
        <v>2189</v>
      </c>
      <c r="T78" s="52">
        <v>32000</v>
      </c>
      <c r="U78" s="44" t="s">
        <v>9</v>
      </c>
      <c r="V78" s="44"/>
      <c r="W78" s="52"/>
      <c r="X78" s="52"/>
      <c r="Y78" s="52"/>
      <c r="Z78" s="52">
        <v>0</v>
      </c>
      <c r="AA78" s="54">
        <f t="shared" si="9"/>
        <v>0</v>
      </c>
      <c r="AB78" s="52">
        <f t="shared" si="10"/>
        <v>0</v>
      </c>
      <c r="AC78" s="53">
        <f t="shared" si="11"/>
        <v>0</v>
      </c>
      <c r="AD78" s="52">
        <f t="shared" si="14"/>
        <v>0</v>
      </c>
      <c r="AE78" s="52">
        <f t="shared" si="12"/>
        <v>0</v>
      </c>
      <c r="AF78" s="52"/>
    </row>
    <row r="79" spans="1:32" ht="16" x14ac:dyDescent="0.4">
      <c r="A79" t="s">
        <v>2190</v>
      </c>
      <c r="B79" s="2">
        <f>_xlfn.XLOOKUP(A16,Sheet5!E:E,Sheet5!F:F)</f>
        <v>26500</v>
      </c>
      <c r="C79" t="s">
        <v>9</v>
      </c>
      <c r="G79" s="3"/>
      <c r="H79" s="2">
        <v>0</v>
      </c>
      <c r="I79" s="26">
        <f t="shared" si="5"/>
        <v>0</v>
      </c>
      <c r="J79" s="3">
        <f t="shared" si="6"/>
        <v>0</v>
      </c>
      <c r="K79" s="31">
        <f t="shared" si="7"/>
        <v>0</v>
      </c>
      <c r="L79" s="3">
        <f t="shared" si="13"/>
        <v>0</v>
      </c>
      <c r="M79" s="3">
        <f t="shared" si="8"/>
        <v>0</v>
      </c>
      <c r="R79" t="str">
        <f>IF(G79=0,"",_xlfn.XLOOKUP(G79,List_item!A:A,List_item!B:B))</f>
        <v/>
      </c>
      <c r="S79" s="44" t="s">
        <v>2190</v>
      </c>
      <c r="T79" s="45">
        <v>32000</v>
      </c>
      <c r="U79" s="44" t="s">
        <v>9</v>
      </c>
      <c r="V79" s="44"/>
      <c r="W79" s="45"/>
      <c r="X79" s="45"/>
      <c r="Y79" s="52"/>
      <c r="Z79" s="45">
        <v>0</v>
      </c>
      <c r="AA79" s="54">
        <f t="shared" si="9"/>
        <v>0</v>
      </c>
      <c r="AB79" s="52">
        <f t="shared" si="10"/>
        <v>0</v>
      </c>
      <c r="AC79" s="53">
        <f t="shared" si="11"/>
        <v>0</v>
      </c>
      <c r="AD79" s="52">
        <f t="shared" si="14"/>
        <v>0</v>
      </c>
      <c r="AE79" s="52">
        <f t="shared" si="12"/>
        <v>0</v>
      </c>
      <c r="AF79" s="45"/>
    </row>
    <row r="80" spans="1:32" ht="16" x14ac:dyDescent="0.4">
      <c r="A80" t="s">
        <v>2191</v>
      </c>
      <c r="B80" s="2">
        <f>_xlfn.XLOOKUP(A17,Sheet5!E:E,Sheet5!F:F)</f>
        <v>26500</v>
      </c>
      <c r="C80" t="s">
        <v>9</v>
      </c>
      <c r="G80" s="3"/>
      <c r="H80" s="2">
        <v>0</v>
      </c>
      <c r="I80" s="26">
        <f t="shared" si="5"/>
        <v>0</v>
      </c>
      <c r="J80" s="3">
        <f t="shared" si="6"/>
        <v>0</v>
      </c>
      <c r="K80" s="31">
        <f t="shared" si="7"/>
        <v>0</v>
      </c>
      <c r="L80" s="3">
        <f t="shared" si="13"/>
        <v>0</v>
      </c>
      <c r="M80" s="3">
        <f t="shared" si="8"/>
        <v>0</v>
      </c>
      <c r="O80" s="6"/>
      <c r="R80" t="str">
        <f>IF(G80=0,"",_xlfn.XLOOKUP(G80,List_item!A:A,List_item!B:B))</f>
        <v/>
      </c>
      <c r="S80" s="44" t="s">
        <v>2191</v>
      </c>
      <c r="T80" s="45">
        <v>32000</v>
      </c>
      <c r="U80" s="44" t="s">
        <v>9</v>
      </c>
      <c r="V80" s="44"/>
      <c r="W80" s="45"/>
      <c r="X80" s="45"/>
      <c r="Y80" s="52"/>
      <c r="Z80" s="45">
        <v>0</v>
      </c>
      <c r="AA80" s="54">
        <f t="shared" si="9"/>
        <v>0</v>
      </c>
      <c r="AB80" s="52">
        <f t="shared" si="10"/>
        <v>0</v>
      </c>
      <c r="AC80" s="53">
        <f t="shared" si="11"/>
        <v>0</v>
      </c>
      <c r="AD80" s="52">
        <f t="shared" si="14"/>
        <v>0</v>
      </c>
      <c r="AE80" s="52">
        <f t="shared" si="12"/>
        <v>0</v>
      </c>
      <c r="AF80" s="45"/>
    </row>
    <row r="81" spans="1:32" ht="16" x14ac:dyDescent="0.4">
      <c r="A81" t="s">
        <v>2192</v>
      </c>
      <c r="B81" s="2">
        <f>_xlfn.XLOOKUP(A18,Sheet5!E:E,Sheet5!F:F)</f>
        <v>26500</v>
      </c>
      <c r="C81" t="s">
        <v>9</v>
      </c>
      <c r="E81" s="3"/>
      <c r="G81" s="3"/>
      <c r="H81" s="3">
        <v>0</v>
      </c>
      <c r="I81" s="26">
        <f t="shared" si="5"/>
        <v>0</v>
      </c>
      <c r="J81" s="3">
        <f t="shared" si="6"/>
        <v>0</v>
      </c>
      <c r="K81" s="31">
        <f t="shared" si="7"/>
        <v>0</v>
      </c>
      <c r="L81" s="3">
        <f t="shared" si="13"/>
        <v>0</v>
      </c>
      <c r="M81" s="3">
        <f t="shared" si="8"/>
        <v>0</v>
      </c>
      <c r="O81" s="2"/>
      <c r="R81" t="str">
        <f>IF(G81=0,"",_xlfn.XLOOKUP(G81,List_item!A:A,List_item!B:B))</f>
        <v/>
      </c>
      <c r="S81" s="44" t="s">
        <v>2192</v>
      </c>
      <c r="T81" s="45">
        <v>32000</v>
      </c>
      <c r="U81" s="44" t="s">
        <v>9</v>
      </c>
      <c r="V81" s="44"/>
      <c r="W81" s="52"/>
      <c r="X81" s="45"/>
      <c r="Y81" s="52"/>
      <c r="Z81" s="52">
        <v>0</v>
      </c>
      <c r="AA81" s="54">
        <f t="shared" si="9"/>
        <v>0</v>
      </c>
      <c r="AB81" s="52">
        <f t="shared" si="10"/>
        <v>0</v>
      </c>
      <c r="AC81" s="53">
        <f t="shared" si="11"/>
        <v>0</v>
      </c>
      <c r="AD81" s="52">
        <f t="shared" si="14"/>
        <v>0</v>
      </c>
      <c r="AE81" s="52">
        <f t="shared" si="12"/>
        <v>0</v>
      </c>
      <c r="AF81" s="45"/>
    </row>
    <row r="82" spans="1:32" ht="16" x14ac:dyDescent="0.4">
      <c r="A82" t="s">
        <v>2193</v>
      </c>
      <c r="B82" s="2">
        <f>_xlfn.XLOOKUP(A19,Sheet5!E:E,Sheet5!F:F)</f>
        <v>26500</v>
      </c>
      <c r="C82" t="s">
        <v>9</v>
      </c>
      <c r="G82" s="3"/>
      <c r="H82" s="2">
        <v>0</v>
      </c>
      <c r="I82" s="26">
        <f t="shared" si="5"/>
        <v>0</v>
      </c>
      <c r="J82" s="3">
        <f t="shared" si="6"/>
        <v>0</v>
      </c>
      <c r="K82" s="31">
        <f t="shared" si="7"/>
        <v>0</v>
      </c>
      <c r="L82" s="3">
        <f t="shared" si="13"/>
        <v>0</v>
      </c>
      <c r="M82" s="3">
        <f t="shared" si="8"/>
        <v>0</v>
      </c>
      <c r="O82" s="2"/>
      <c r="P82" s="6"/>
      <c r="R82" t="str">
        <f>IF(G82=0,"",_xlfn.XLOOKUP(G82,List_item!A:A,List_item!B:B))</f>
        <v/>
      </c>
      <c r="S82" s="44" t="s">
        <v>2193</v>
      </c>
      <c r="T82" s="45">
        <v>32000</v>
      </c>
      <c r="U82" s="44" t="s">
        <v>9</v>
      </c>
      <c r="V82" s="44"/>
      <c r="W82" s="45"/>
      <c r="X82" s="45"/>
      <c r="Y82" s="52"/>
      <c r="Z82" s="45">
        <v>0</v>
      </c>
      <c r="AA82" s="54">
        <f t="shared" si="9"/>
        <v>0</v>
      </c>
      <c r="AB82" s="52">
        <f t="shared" si="10"/>
        <v>0</v>
      </c>
      <c r="AC82" s="53">
        <f t="shared" si="11"/>
        <v>0</v>
      </c>
      <c r="AD82" s="52">
        <f t="shared" si="14"/>
        <v>0</v>
      </c>
      <c r="AE82" s="52">
        <f t="shared" si="12"/>
        <v>0</v>
      </c>
      <c r="AF82" s="45"/>
    </row>
    <row r="83" spans="1:32" ht="16" x14ac:dyDescent="0.4">
      <c r="A83" t="s">
        <v>2194</v>
      </c>
      <c r="B83" s="2">
        <f>_xlfn.XLOOKUP(A20,Sheet5!E:E,Sheet5!F:F)</f>
        <v>26500</v>
      </c>
      <c r="C83" t="s">
        <v>9</v>
      </c>
      <c r="E83" s="3"/>
      <c r="G83" s="3"/>
      <c r="H83" s="3">
        <v>0</v>
      </c>
      <c r="I83" s="26">
        <f t="shared" si="5"/>
        <v>0</v>
      </c>
      <c r="J83" s="3">
        <f t="shared" si="6"/>
        <v>0</v>
      </c>
      <c r="K83" s="31">
        <f t="shared" si="7"/>
        <v>0</v>
      </c>
      <c r="L83" s="3">
        <f t="shared" si="13"/>
        <v>0</v>
      </c>
      <c r="M83" s="3">
        <f t="shared" si="8"/>
        <v>0</v>
      </c>
      <c r="O83" s="2"/>
      <c r="P83" s="6"/>
      <c r="R83" t="str">
        <f>IF(G83=0,"",_xlfn.XLOOKUP(G83,List_item!A:A,List_item!B:B))</f>
        <v/>
      </c>
      <c r="S83" s="44" t="s">
        <v>2194</v>
      </c>
      <c r="T83" s="45">
        <v>32000</v>
      </c>
      <c r="U83" s="44" t="s">
        <v>9</v>
      </c>
      <c r="V83" s="44"/>
      <c r="W83" s="52"/>
      <c r="X83" s="45"/>
      <c r="Y83" s="52"/>
      <c r="Z83" s="52">
        <v>0</v>
      </c>
      <c r="AA83" s="54">
        <f t="shared" si="9"/>
        <v>0</v>
      </c>
      <c r="AB83" s="52">
        <f t="shared" si="10"/>
        <v>0</v>
      </c>
      <c r="AC83" s="53">
        <f t="shared" si="11"/>
        <v>0</v>
      </c>
      <c r="AD83" s="52">
        <f t="shared" si="14"/>
        <v>0</v>
      </c>
      <c r="AE83" s="52">
        <f t="shared" si="12"/>
        <v>0</v>
      </c>
      <c r="AF83" s="45"/>
    </row>
    <row r="84" spans="1:32" ht="16" x14ac:dyDescent="0.4">
      <c r="A84" t="s">
        <v>2195</v>
      </c>
      <c r="B84" s="2">
        <f>_xlfn.XLOOKUP(A21,Sheet5!E:E,Sheet5!F:F)</f>
        <v>26500</v>
      </c>
      <c r="C84" t="s">
        <v>9</v>
      </c>
      <c r="E84" s="3"/>
      <c r="G84" s="3"/>
      <c r="H84" s="3">
        <v>0</v>
      </c>
      <c r="I84" s="26">
        <f t="shared" si="5"/>
        <v>0</v>
      </c>
      <c r="J84" s="3">
        <f t="shared" si="6"/>
        <v>0</v>
      </c>
      <c r="K84" s="31">
        <f t="shared" si="7"/>
        <v>0</v>
      </c>
      <c r="L84" s="3">
        <f t="shared" si="13"/>
        <v>0</v>
      </c>
      <c r="M84" s="3">
        <f t="shared" si="8"/>
        <v>0</v>
      </c>
      <c r="R84" t="str">
        <f>IF(G84=0,"",_xlfn.XLOOKUP(G84,List_item!A:A,List_item!B:B))</f>
        <v/>
      </c>
      <c r="S84" s="44" t="s">
        <v>2195</v>
      </c>
      <c r="T84" s="45">
        <v>32000</v>
      </c>
      <c r="U84" s="44" t="s">
        <v>9</v>
      </c>
      <c r="V84" s="44"/>
      <c r="W84" s="52"/>
      <c r="X84" s="45"/>
      <c r="Y84" s="52"/>
      <c r="Z84" s="52">
        <v>0</v>
      </c>
      <c r="AA84" s="54">
        <f t="shared" si="9"/>
        <v>0</v>
      </c>
      <c r="AB84" s="52">
        <f t="shared" si="10"/>
        <v>0</v>
      </c>
      <c r="AC84" s="53">
        <f t="shared" si="11"/>
        <v>0</v>
      </c>
      <c r="AD84" s="52">
        <f t="shared" si="14"/>
        <v>0</v>
      </c>
      <c r="AE84" s="52">
        <f t="shared" si="12"/>
        <v>0</v>
      </c>
      <c r="AF84" s="45"/>
    </row>
    <row r="85" spans="1:32" ht="16" x14ac:dyDescent="0.4">
      <c r="A85" t="s">
        <v>2196</v>
      </c>
      <c r="B85" s="2">
        <f>_xlfn.XLOOKUP(A22,Sheet5!E:E,Sheet5!F:F)</f>
        <v>26500</v>
      </c>
      <c r="C85" t="s">
        <v>9</v>
      </c>
      <c r="G85" s="3"/>
      <c r="H85" s="2">
        <v>0</v>
      </c>
      <c r="I85" s="26">
        <f t="shared" si="5"/>
        <v>0</v>
      </c>
      <c r="J85" s="3">
        <f t="shared" si="6"/>
        <v>0</v>
      </c>
      <c r="K85" s="31">
        <f t="shared" si="7"/>
        <v>0</v>
      </c>
      <c r="L85" s="3">
        <f t="shared" si="13"/>
        <v>0</v>
      </c>
      <c r="M85" s="3">
        <f t="shared" si="8"/>
        <v>0</v>
      </c>
      <c r="R85" t="str">
        <f>IF(G85=0,"",_xlfn.XLOOKUP(G85,List_item!A:A,List_item!B:B))</f>
        <v/>
      </c>
      <c r="S85" s="44" t="s">
        <v>2196</v>
      </c>
      <c r="T85" s="45">
        <v>32000</v>
      </c>
      <c r="U85" s="44" t="s">
        <v>9</v>
      </c>
      <c r="V85" s="44"/>
      <c r="W85" s="45"/>
      <c r="X85" s="45"/>
      <c r="Y85" s="52"/>
      <c r="Z85" s="45">
        <v>0</v>
      </c>
      <c r="AA85" s="54">
        <f t="shared" si="9"/>
        <v>0</v>
      </c>
      <c r="AB85" s="52">
        <f t="shared" si="10"/>
        <v>0</v>
      </c>
      <c r="AC85" s="53">
        <f t="shared" si="11"/>
        <v>0</v>
      </c>
      <c r="AD85" s="52">
        <f t="shared" si="14"/>
        <v>0</v>
      </c>
      <c r="AE85" s="52">
        <f t="shared" si="12"/>
        <v>0</v>
      </c>
      <c r="AF85" s="45"/>
    </row>
    <row r="86" spans="1:32" ht="16" x14ac:dyDescent="0.4">
      <c r="A86" t="s">
        <v>2197</v>
      </c>
      <c r="B86" s="2">
        <f>_xlfn.XLOOKUP(A23,Sheet5!E:E,Sheet5!F:F)</f>
        <v>26500</v>
      </c>
      <c r="C86" t="s">
        <v>9</v>
      </c>
      <c r="E86" s="3"/>
      <c r="G86" s="3"/>
      <c r="H86" s="3">
        <v>0</v>
      </c>
      <c r="I86" s="26">
        <f t="shared" si="5"/>
        <v>0</v>
      </c>
      <c r="J86" s="3">
        <f t="shared" si="6"/>
        <v>0</v>
      </c>
      <c r="K86" s="31">
        <f t="shared" si="7"/>
        <v>0</v>
      </c>
      <c r="L86" s="3">
        <f t="shared" si="13"/>
        <v>0</v>
      </c>
      <c r="M86" s="3">
        <f t="shared" si="8"/>
        <v>0</v>
      </c>
      <c r="R86" t="str">
        <f>IF(G86=0,"",_xlfn.XLOOKUP(G86,List_item!A:A,List_item!B:B))</f>
        <v/>
      </c>
      <c r="S86" s="44" t="s">
        <v>2197</v>
      </c>
      <c r="T86" s="45">
        <v>32000</v>
      </c>
      <c r="U86" s="44" t="s">
        <v>9</v>
      </c>
      <c r="V86" s="44"/>
      <c r="W86" s="52"/>
      <c r="X86" s="45"/>
      <c r="Y86" s="52"/>
      <c r="Z86" s="52">
        <v>0</v>
      </c>
      <c r="AA86" s="54">
        <f t="shared" si="9"/>
        <v>0</v>
      </c>
      <c r="AB86" s="52">
        <f t="shared" si="10"/>
        <v>0</v>
      </c>
      <c r="AC86" s="53">
        <f t="shared" si="11"/>
        <v>0</v>
      </c>
      <c r="AD86" s="52">
        <f t="shared" si="14"/>
        <v>0</v>
      </c>
      <c r="AE86" s="52">
        <f t="shared" si="12"/>
        <v>0</v>
      </c>
      <c r="AF86" s="45"/>
    </row>
    <row r="87" spans="1:32" ht="16" x14ac:dyDescent="0.4">
      <c r="A87" t="s">
        <v>2198</v>
      </c>
      <c r="B87" s="2">
        <f>_xlfn.XLOOKUP(A24,Sheet5!E:E,Sheet5!F:F)</f>
        <v>36000</v>
      </c>
      <c r="C87" t="s">
        <v>9</v>
      </c>
      <c r="E87" s="3"/>
      <c r="F87" s="3"/>
      <c r="G87" s="3"/>
      <c r="H87" s="3">
        <v>0</v>
      </c>
      <c r="I87" s="26">
        <f t="shared" si="5"/>
        <v>0</v>
      </c>
      <c r="J87" s="3">
        <f t="shared" si="6"/>
        <v>0</v>
      </c>
      <c r="K87" s="31">
        <f t="shared" si="7"/>
        <v>0</v>
      </c>
      <c r="L87" s="3">
        <f t="shared" si="13"/>
        <v>0</v>
      </c>
      <c r="M87" s="3">
        <f t="shared" si="8"/>
        <v>0</v>
      </c>
      <c r="R87" t="str">
        <f>IF(G87=0,"",_xlfn.XLOOKUP(G87,List_item!A:A,List_item!B:B))</f>
        <v/>
      </c>
      <c r="S87" s="44" t="s">
        <v>2198</v>
      </c>
      <c r="T87" s="45">
        <v>32000</v>
      </c>
      <c r="U87" s="44" t="s">
        <v>9</v>
      </c>
      <c r="V87" s="44"/>
      <c r="W87" s="52"/>
      <c r="X87" s="52"/>
      <c r="Y87" s="52"/>
      <c r="Z87" s="52">
        <v>0</v>
      </c>
      <c r="AA87" s="54">
        <f t="shared" si="9"/>
        <v>0</v>
      </c>
      <c r="AB87" s="52">
        <f t="shared" si="10"/>
        <v>0</v>
      </c>
      <c r="AC87" s="53">
        <f t="shared" si="11"/>
        <v>0</v>
      </c>
      <c r="AD87" s="52">
        <f t="shared" si="14"/>
        <v>0</v>
      </c>
      <c r="AE87" s="52">
        <f t="shared" si="12"/>
        <v>0</v>
      </c>
      <c r="AF87" s="45"/>
    </row>
    <row r="88" spans="1:32" ht="16" x14ac:dyDescent="0.4">
      <c r="A88" t="s">
        <v>8</v>
      </c>
      <c r="B88" s="2">
        <f>_xlfn.XLOOKUP(A25,Sheet5!E:E,Sheet5!F:F)</f>
        <v>34000</v>
      </c>
      <c r="C88" t="s">
        <v>9</v>
      </c>
      <c r="H88" s="2">
        <v>0</v>
      </c>
      <c r="I88" s="26">
        <f t="shared" si="5"/>
        <v>0</v>
      </c>
      <c r="J88" s="3">
        <f>+B88*(F88+H88)</f>
        <v>0</v>
      </c>
      <c r="K88" s="31">
        <f t="shared" si="7"/>
        <v>0</v>
      </c>
      <c r="L88" s="3">
        <f t="shared" si="13"/>
        <v>0</v>
      </c>
      <c r="M88" s="3">
        <f t="shared" si="8"/>
        <v>0</v>
      </c>
      <c r="R88" t="str">
        <f>IF(G88=0,"",_xlfn.XLOOKUP(G88,List_item!A:A,List_item!B:B))</f>
        <v/>
      </c>
      <c r="S88" s="44" t="s">
        <v>8</v>
      </c>
      <c r="T88" s="45">
        <v>40000</v>
      </c>
      <c r="U88" s="44" t="s">
        <v>9</v>
      </c>
      <c r="V88" s="44"/>
      <c r="W88" s="45"/>
      <c r="X88" s="45"/>
      <c r="Y88" s="45"/>
      <c r="Z88" s="45">
        <v>0</v>
      </c>
      <c r="AA88" s="54">
        <f t="shared" si="9"/>
        <v>0</v>
      </c>
      <c r="AB88" s="52">
        <f>+T88*(X88+Z88)</f>
        <v>0</v>
      </c>
      <c r="AC88" s="53">
        <f t="shared" si="11"/>
        <v>0</v>
      </c>
      <c r="AD88" s="52">
        <f t="shared" si="14"/>
        <v>0</v>
      </c>
      <c r="AE88" s="52">
        <f t="shared" si="12"/>
        <v>0</v>
      </c>
      <c r="AF88" s="45"/>
    </row>
    <row r="89" spans="1:32" ht="16" x14ac:dyDescent="0.4">
      <c r="A89" t="s">
        <v>10</v>
      </c>
      <c r="B89" s="2">
        <f>_xlfn.XLOOKUP(A26,Sheet5!E:E,Sheet5!F:F)</f>
        <v>35000</v>
      </c>
      <c r="C89" t="s">
        <v>9</v>
      </c>
      <c r="H89" s="2">
        <v>0</v>
      </c>
      <c r="I89" s="26">
        <f t="shared" si="5"/>
        <v>0</v>
      </c>
      <c r="J89" s="3">
        <f t="shared" ref="J89:J124" si="15">+B89*(F89+H89)</f>
        <v>0</v>
      </c>
      <c r="K89" s="31">
        <f t="shared" si="7"/>
        <v>0</v>
      </c>
      <c r="L89" s="3">
        <f t="shared" si="13"/>
        <v>0</v>
      </c>
      <c r="M89" s="3">
        <f t="shared" si="8"/>
        <v>0</v>
      </c>
      <c r="R89" t="str">
        <f>IF(G89=0,"",_xlfn.XLOOKUP(G89,List_item!A:A,List_item!B:B))</f>
        <v/>
      </c>
      <c r="S89" s="44" t="s">
        <v>10</v>
      </c>
      <c r="T89" s="45">
        <v>38000</v>
      </c>
      <c r="U89" s="44" t="s">
        <v>9</v>
      </c>
      <c r="V89" s="44"/>
      <c r="W89" s="45"/>
      <c r="X89" s="45"/>
      <c r="Y89" s="45"/>
      <c r="Z89" s="45">
        <v>0</v>
      </c>
      <c r="AA89" s="54">
        <f t="shared" si="9"/>
        <v>0</v>
      </c>
      <c r="AB89" s="52">
        <f t="shared" ref="AB89:AB124" si="16">+T89*(X89+Z89)</f>
        <v>0</v>
      </c>
      <c r="AC89" s="53">
        <f t="shared" si="11"/>
        <v>0</v>
      </c>
      <c r="AD89" s="52">
        <f t="shared" si="14"/>
        <v>0</v>
      </c>
      <c r="AE89" s="52">
        <f t="shared" si="12"/>
        <v>0</v>
      </c>
      <c r="AF89" s="45"/>
    </row>
    <row r="90" spans="1:32" ht="16" x14ac:dyDescent="0.4">
      <c r="A90" t="s">
        <v>12</v>
      </c>
      <c r="B90" s="2">
        <f>_xlfn.XLOOKUP(A27,Sheet5!E:E,Sheet5!F:F)</f>
        <v>8000</v>
      </c>
      <c r="C90" t="s">
        <v>9</v>
      </c>
      <c r="H90" s="2">
        <v>0</v>
      </c>
      <c r="I90" s="26">
        <f t="shared" si="5"/>
        <v>0</v>
      </c>
      <c r="J90" s="3">
        <f t="shared" si="15"/>
        <v>0</v>
      </c>
      <c r="K90" s="31">
        <f t="shared" si="7"/>
        <v>0</v>
      </c>
      <c r="L90" s="3">
        <f t="shared" si="13"/>
        <v>0</v>
      </c>
      <c r="M90" s="3">
        <f t="shared" si="8"/>
        <v>0</v>
      </c>
      <c r="R90" t="str">
        <f>IF(G90=0,"",_xlfn.XLOOKUP(G90,List_item!A:A,List_item!B:B))</f>
        <v/>
      </c>
      <c r="S90" s="44" t="s">
        <v>12</v>
      </c>
      <c r="T90" s="45">
        <v>39000</v>
      </c>
      <c r="U90" s="44" t="s">
        <v>9</v>
      </c>
      <c r="V90" s="44"/>
      <c r="W90" s="45"/>
      <c r="X90" s="45"/>
      <c r="Y90" s="45"/>
      <c r="Z90" s="45">
        <v>0</v>
      </c>
      <c r="AA90" s="54">
        <f t="shared" si="9"/>
        <v>0</v>
      </c>
      <c r="AB90" s="52">
        <f t="shared" si="16"/>
        <v>0</v>
      </c>
      <c r="AC90" s="53">
        <f t="shared" si="11"/>
        <v>0</v>
      </c>
      <c r="AD90" s="52">
        <f t="shared" si="14"/>
        <v>0</v>
      </c>
      <c r="AE90" s="52">
        <f t="shared" si="12"/>
        <v>0</v>
      </c>
      <c r="AF90" s="45"/>
    </row>
    <row r="91" spans="1:32" ht="16" x14ac:dyDescent="0.4">
      <c r="A91" t="s">
        <v>2159</v>
      </c>
      <c r="B91" s="2">
        <f>_xlfn.XLOOKUP(A28,Sheet5!E:E,Sheet5!F:F)</f>
        <v>22000</v>
      </c>
      <c r="C91" t="s">
        <v>9</v>
      </c>
      <c r="H91" s="2">
        <v>0</v>
      </c>
      <c r="I91" s="26">
        <f t="shared" si="5"/>
        <v>0</v>
      </c>
      <c r="J91" s="3">
        <f t="shared" si="15"/>
        <v>0</v>
      </c>
      <c r="K91" s="31">
        <f t="shared" si="7"/>
        <v>0</v>
      </c>
      <c r="L91" s="3">
        <f t="shared" si="13"/>
        <v>0</v>
      </c>
      <c r="M91" s="3">
        <f t="shared" si="8"/>
        <v>0</v>
      </c>
      <c r="R91" t="str">
        <f>IF(G91=0,"",_xlfn.XLOOKUP(G91,List_item!A:A,List_item!B:B))</f>
        <v/>
      </c>
      <c r="S91" s="44" t="s">
        <v>2159</v>
      </c>
      <c r="T91" s="45">
        <v>11000</v>
      </c>
      <c r="U91" s="44" t="s">
        <v>9</v>
      </c>
      <c r="V91" s="44"/>
      <c r="W91" s="45"/>
      <c r="X91" s="45"/>
      <c r="Y91" s="45"/>
      <c r="Z91" s="45">
        <v>0</v>
      </c>
      <c r="AA91" s="54">
        <f t="shared" si="9"/>
        <v>0</v>
      </c>
      <c r="AB91" s="52">
        <f t="shared" si="16"/>
        <v>0</v>
      </c>
      <c r="AC91" s="53">
        <f t="shared" si="11"/>
        <v>0</v>
      </c>
      <c r="AD91" s="52">
        <f t="shared" si="14"/>
        <v>0</v>
      </c>
      <c r="AE91" s="52">
        <f t="shared" si="12"/>
        <v>0</v>
      </c>
      <c r="AF91" s="45"/>
    </row>
    <row r="92" spans="1:32" ht="16" x14ac:dyDescent="0.4">
      <c r="A92" t="s">
        <v>2178</v>
      </c>
      <c r="B92" s="2">
        <f>_xlfn.XLOOKUP(A29,Sheet5!E:E,Sheet5!F:F)</f>
        <v>22000</v>
      </c>
      <c r="C92" t="s">
        <v>9</v>
      </c>
      <c r="H92" s="2">
        <v>0</v>
      </c>
      <c r="I92" s="26">
        <f t="shared" si="5"/>
        <v>0</v>
      </c>
      <c r="J92" s="3">
        <f t="shared" si="15"/>
        <v>0</v>
      </c>
      <c r="K92" s="31">
        <f t="shared" si="7"/>
        <v>0</v>
      </c>
      <c r="L92" s="3">
        <f t="shared" si="13"/>
        <v>0</v>
      </c>
      <c r="M92" s="3">
        <f t="shared" si="8"/>
        <v>0</v>
      </c>
      <c r="R92" t="str">
        <f>IF(G92=0,"",_xlfn.XLOOKUP(G92,List_item!A:A,List_item!B:B))</f>
        <v/>
      </c>
      <c r="S92" s="44" t="s">
        <v>2178</v>
      </c>
      <c r="T92" s="45">
        <v>27000</v>
      </c>
      <c r="U92" s="44" t="s">
        <v>9</v>
      </c>
      <c r="V92" s="44"/>
      <c r="W92" s="45"/>
      <c r="X92" s="45"/>
      <c r="Y92" s="45"/>
      <c r="Z92" s="45">
        <v>0</v>
      </c>
      <c r="AA92" s="54">
        <f t="shared" si="9"/>
        <v>0</v>
      </c>
      <c r="AB92" s="52">
        <f t="shared" si="16"/>
        <v>0</v>
      </c>
      <c r="AC92" s="53">
        <f t="shared" si="11"/>
        <v>0</v>
      </c>
      <c r="AD92" s="52">
        <f t="shared" si="14"/>
        <v>0</v>
      </c>
      <c r="AE92" s="52">
        <f t="shared" si="12"/>
        <v>0</v>
      </c>
      <c r="AF92" s="45"/>
    </row>
    <row r="93" spans="1:32" ht="16" x14ac:dyDescent="0.4">
      <c r="A93" t="s">
        <v>2179</v>
      </c>
      <c r="B93" s="2">
        <f>_xlfn.XLOOKUP(A30,Sheet5!E:E,Sheet5!F:F)</f>
        <v>20000</v>
      </c>
      <c r="C93" t="s">
        <v>9</v>
      </c>
      <c r="H93" s="2">
        <v>0</v>
      </c>
      <c r="I93" s="26">
        <f t="shared" si="5"/>
        <v>0</v>
      </c>
      <c r="J93" s="3">
        <f t="shared" si="15"/>
        <v>0</v>
      </c>
      <c r="K93" s="31">
        <f t="shared" si="7"/>
        <v>0</v>
      </c>
      <c r="L93" s="3">
        <f t="shared" si="13"/>
        <v>0</v>
      </c>
      <c r="M93" s="3">
        <f t="shared" si="8"/>
        <v>0</v>
      </c>
      <c r="R93" t="str">
        <f>IF(G93=0,"",_xlfn.XLOOKUP(G93,List_item!A:A,List_item!B:B))</f>
        <v/>
      </c>
      <c r="S93" s="44" t="s">
        <v>2179</v>
      </c>
      <c r="T93" s="45">
        <v>31000</v>
      </c>
      <c r="U93" s="44" t="s">
        <v>9</v>
      </c>
      <c r="V93" s="44"/>
      <c r="W93" s="45"/>
      <c r="X93" s="45"/>
      <c r="Y93" s="45"/>
      <c r="Z93" s="45">
        <v>0</v>
      </c>
      <c r="AA93" s="54">
        <f t="shared" si="9"/>
        <v>0</v>
      </c>
      <c r="AB93" s="52">
        <f t="shared" si="16"/>
        <v>0</v>
      </c>
      <c r="AC93" s="53">
        <f t="shared" si="11"/>
        <v>0</v>
      </c>
      <c r="AD93" s="52">
        <f t="shared" si="14"/>
        <v>0</v>
      </c>
      <c r="AE93" s="52">
        <f t="shared" si="12"/>
        <v>0</v>
      </c>
      <c r="AF93" s="45"/>
    </row>
    <row r="94" spans="1:32" ht="16" x14ac:dyDescent="0.4">
      <c r="A94" t="s">
        <v>2160</v>
      </c>
      <c r="B94" s="2">
        <f>_xlfn.XLOOKUP(A31,Sheet5!E:E,Sheet5!F:F)</f>
        <v>1500</v>
      </c>
      <c r="C94" t="s">
        <v>9</v>
      </c>
      <c r="H94" s="2">
        <v>0</v>
      </c>
      <c r="I94" s="26">
        <f t="shared" si="5"/>
        <v>0</v>
      </c>
      <c r="J94" s="3">
        <f t="shared" si="15"/>
        <v>0</v>
      </c>
      <c r="K94" s="31">
        <f t="shared" si="7"/>
        <v>0</v>
      </c>
      <c r="L94" s="3">
        <f t="shared" si="13"/>
        <v>0</v>
      </c>
      <c r="M94" s="3">
        <f t="shared" si="8"/>
        <v>0</v>
      </c>
      <c r="R94" t="str">
        <f>IF(G94=0,"",_xlfn.XLOOKUP(G94,List_item!A:A,List_item!B:B))</f>
        <v/>
      </c>
      <c r="S94" s="44" t="s">
        <v>2160</v>
      </c>
      <c r="T94" s="45">
        <v>26000</v>
      </c>
      <c r="U94" s="44" t="s">
        <v>9</v>
      </c>
      <c r="V94" s="44"/>
      <c r="W94" s="45"/>
      <c r="X94" s="45"/>
      <c r="Y94" s="45"/>
      <c r="Z94" s="45">
        <v>0</v>
      </c>
      <c r="AA94" s="54">
        <f t="shared" si="9"/>
        <v>0</v>
      </c>
      <c r="AB94" s="52">
        <f t="shared" si="16"/>
        <v>0</v>
      </c>
      <c r="AC94" s="53">
        <f t="shared" si="11"/>
        <v>0</v>
      </c>
      <c r="AD94" s="52">
        <f t="shared" si="14"/>
        <v>0</v>
      </c>
      <c r="AE94" s="52">
        <f t="shared" si="12"/>
        <v>0</v>
      </c>
      <c r="AF94" s="45"/>
    </row>
    <row r="95" spans="1:32" ht="16" x14ac:dyDescent="0.4">
      <c r="A95" t="s">
        <v>17</v>
      </c>
      <c r="B95" s="2">
        <f>_xlfn.XLOOKUP(A32,Sheet5!E:E,Sheet5!F:F)</f>
        <v>28000</v>
      </c>
      <c r="C95" t="s">
        <v>9</v>
      </c>
      <c r="H95" s="2">
        <v>0</v>
      </c>
      <c r="I95" s="26">
        <f t="shared" si="5"/>
        <v>0</v>
      </c>
      <c r="J95" s="3">
        <f t="shared" si="15"/>
        <v>0</v>
      </c>
      <c r="K95" s="31">
        <f t="shared" si="7"/>
        <v>0</v>
      </c>
      <c r="L95" s="3">
        <f t="shared" si="13"/>
        <v>0</v>
      </c>
      <c r="M95" s="3">
        <f t="shared" si="8"/>
        <v>0</v>
      </c>
      <c r="R95" t="str">
        <f>IF(G95=0,"",_xlfn.XLOOKUP(G95,List_item!A:A,List_item!B:B))</f>
        <v/>
      </c>
      <c r="S95" s="44" t="s">
        <v>17</v>
      </c>
      <c r="T95" s="45">
        <v>3500</v>
      </c>
      <c r="U95" s="44" t="s">
        <v>9</v>
      </c>
      <c r="V95" s="44"/>
      <c r="W95" s="45"/>
      <c r="X95" s="45"/>
      <c r="Y95" s="45"/>
      <c r="Z95" s="45">
        <v>0</v>
      </c>
      <c r="AA95" s="54">
        <f t="shared" si="9"/>
        <v>0</v>
      </c>
      <c r="AB95" s="52">
        <f t="shared" si="16"/>
        <v>0</v>
      </c>
      <c r="AC95" s="53">
        <f t="shared" si="11"/>
        <v>0</v>
      </c>
      <c r="AD95" s="52">
        <f t="shared" si="14"/>
        <v>0</v>
      </c>
      <c r="AE95" s="52">
        <f t="shared" si="12"/>
        <v>0</v>
      </c>
      <c r="AF95" s="45"/>
    </row>
    <row r="96" spans="1:32" ht="16" x14ac:dyDescent="0.4">
      <c r="A96" t="s">
        <v>2199</v>
      </c>
      <c r="B96" s="2">
        <f>_xlfn.XLOOKUP(A33,Sheet5!E:E,Sheet5!F:F)</f>
        <v>14000</v>
      </c>
      <c r="C96" t="s">
        <v>9</v>
      </c>
      <c r="H96" s="2">
        <v>0</v>
      </c>
      <c r="I96" s="26">
        <f t="shared" si="5"/>
        <v>0</v>
      </c>
      <c r="J96" s="3">
        <f t="shared" si="15"/>
        <v>0</v>
      </c>
      <c r="K96" s="31">
        <f t="shared" si="7"/>
        <v>0</v>
      </c>
      <c r="L96" s="3">
        <f t="shared" si="13"/>
        <v>0</v>
      </c>
      <c r="M96" s="3">
        <f t="shared" si="8"/>
        <v>0</v>
      </c>
      <c r="R96" t="str">
        <f>IF(G96=0,"",_xlfn.XLOOKUP(G96,List_item!A:A,List_item!B:B))</f>
        <v/>
      </c>
      <c r="S96" s="44" t="s">
        <v>2199</v>
      </c>
      <c r="T96" s="45">
        <v>34000</v>
      </c>
      <c r="U96" s="44" t="s">
        <v>9</v>
      </c>
      <c r="V96" s="44"/>
      <c r="W96" s="45"/>
      <c r="X96" s="45"/>
      <c r="Y96" s="45"/>
      <c r="Z96" s="45">
        <v>0</v>
      </c>
      <c r="AA96" s="54">
        <f t="shared" si="9"/>
        <v>0</v>
      </c>
      <c r="AB96" s="52">
        <f t="shared" si="16"/>
        <v>0</v>
      </c>
      <c r="AC96" s="53">
        <f t="shared" si="11"/>
        <v>0</v>
      </c>
      <c r="AD96" s="52">
        <f t="shared" si="14"/>
        <v>0</v>
      </c>
      <c r="AE96" s="52">
        <f t="shared" si="12"/>
        <v>0</v>
      </c>
      <c r="AF96" s="45"/>
    </row>
    <row r="97" spans="1:32" ht="16" x14ac:dyDescent="0.4">
      <c r="A97" t="s">
        <v>2161</v>
      </c>
      <c r="B97" s="2">
        <f>_xlfn.XLOOKUP(A34,Sheet5!E:E,Sheet5!F:F)</f>
        <v>8000</v>
      </c>
      <c r="C97" t="s">
        <v>9</v>
      </c>
      <c r="H97" s="2">
        <v>0</v>
      </c>
      <c r="I97" s="26">
        <f t="shared" si="5"/>
        <v>0</v>
      </c>
      <c r="J97" s="3">
        <f t="shared" si="15"/>
        <v>0</v>
      </c>
      <c r="K97" s="31">
        <f t="shared" si="7"/>
        <v>0</v>
      </c>
      <c r="L97" s="3">
        <f t="shared" si="13"/>
        <v>0</v>
      </c>
      <c r="M97" s="3">
        <f t="shared" si="8"/>
        <v>0</v>
      </c>
      <c r="R97" t="str">
        <f>IF(G97=0,"",_xlfn.XLOOKUP(G97,List_item!A:A,List_item!B:B))</f>
        <v/>
      </c>
      <c r="S97" s="44" t="s">
        <v>2161</v>
      </c>
      <c r="T97" s="45">
        <v>25000</v>
      </c>
      <c r="U97" s="44" t="s">
        <v>9</v>
      </c>
      <c r="V97" s="44"/>
      <c r="W97" s="45"/>
      <c r="X97" s="45"/>
      <c r="Y97" s="45"/>
      <c r="Z97" s="45">
        <v>0</v>
      </c>
      <c r="AA97" s="54">
        <f t="shared" si="9"/>
        <v>0</v>
      </c>
      <c r="AB97" s="52">
        <f t="shared" si="16"/>
        <v>0</v>
      </c>
      <c r="AC97" s="53">
        <f t="shared" si="11"/>
        <v>0</v>
      </c>
      <c r="AD97" s="52">
        <f t="shared" si="14"/>
        <v>0</v>
      </c>
      <c r="AE97" s="52">
        <f t="shared" si="12"/>
        <v>0</v>
      </c>
      <c r="AF97" s="45"/>
    </row>
    <row r="98" spans="1:32" ht="16" x14ac:dyDescent="0.4">
      <c r="A98" t="s">
        <v>2162</v>
      </c>
      <c r="B98" s="2">
        <f>_xlfn.XLOOKUP(A35,Sheet5!E:E,Sheet5!F:F)</f>
        <v>10000</v>
      </c>
      <c r="C98" t="s">
        <v>9</v>
      </c>
      <c r="G98" s="2" t="s">
        <v>310</v>
      </c>
      <c r="H98" s="2">
        <v>366</v>
      </c>
      <c r="I98" s="26">
        <f t="shared" si="5"/>
        <v>3.2105263157894734E-2</v>
      </c>
      <c r="J98" s="3">
        <f t="shared" si="15"/>
        <v>3660000</v>
      </c>
      <c r="K98" s="31">
        <f t="shared" si="7"/>
        <v>10804.021259711739</v>
      </c>
      <c r="L98" s="3">
        <f t="shared" si="13"/>
        <v>3954271.7810544963</v>
      </c>
      <c r="M98" s="3">
        <f t="shared" si="8"/>
        <v>-804.02125971173882</v>
      </c>
      <c r="R98" t="str">
        <f>IF(G98=0,"",_xlfn.XLOOKUP(G98,List_item!A:A,List_item!B:B))</f>
        <v>Boneless BL Frozen Kepala</v>
      </c>
      <c r="S98" s="44" t="s">
        <v>2162</v>
      </c>
      <c r="T98" s="45">
        <v>10000</v>
      </c>
      <c r="U98" s="44" t="s">
        <v>9</v>
      </c>
      <c r="V98" s="44"/>
      <c r="W98" s="45"/>
      <c r="X98" s="45"/>
      <c r="Y98" s="45" t="s">
        <v>310</v>
      </c>
      <c r="Z98" s="45">
        <v>366</v>
      </c>
      <c r="AA98" s="54">
        <f t="shared" si="9"/>
        <v>3.9581688602420319E-2</v>
      </c>
      <c r="AB98" s="52">
        <f t="shared" si="16"/>
        <v>3660000</v>
      </c>
      <c r="AC98" s="53">
        <f t="shared" si="11"/>
        <v>7971.5496735684728</v>
      </c>
      <c r="AD98" s="52">
        <f t="shared" si="14"/>
        <v>2917587.180526061</v>
      </c>
      <c r="AE98" s="52">
        <f t="shared" si="12"/>
        <v>2028.4503264315272</v>
      </c>
      <c r="AF98" s="45"/>
    </row>
    <row r="99" spans="1:32" ht="16" x14ac:dyDescent="0.4">
      <c r="A99" t="s">
        <v>0</v>
      </c>
      <c r="B99" s="2">
        <f>_xlfn.XLOOKUP(A36,Sheet5!E:E,Sheet5!F:F)</f>
        <v>0</v>
      </c>
      <c r="C99" t="s">
        <v>9</v>
      </c>
      <c r="G99" s="2" t="s">
        <v>22</v>
      </c>
      <c r="H99" s="2">
        <v>262</v>
      </c>
      <c r="I99" s="26">
        <f t="shared" si="5"/>
        <v>2.2982456140350879E-2</v>
      </c>
      <c r="J99" s="3">
        <f t="shared" si="15"/>
        <v>0</v>
      </c>
      <c r="K99" s="31">
        <f t="shared" si="7"/>
        <v>0</v>
      </c>
      <c r="L99" s="3">
        <f t="shared" si="13"/>
        <v>0</v>
      </c>
      <c r="M99" s="3">
        <f t="shared" si="8"/>
        <v>0</v>
      </c>
      <c r="R99" t="str">
        <f>IF(G99=0,"",_xlfn.XLOOKUP(G99,List_item!A:A,List_item!B:B))</f>
        <v>Boneless BL Frozen Ceker</v>
      </c>
      <c r="S99" s="44" t="s">
        <v>0</v>
      </c>
      <c r="T99" s="45">
        <v>10000</v>
      </c>
      <c r="U99" s="44" t="s">
        <v>9</v>
      </c>
      <c r="V99" s="44"/>
      <c r="W99" s="45"/>
      <c r="X99" s="45"/>
      <c r="Y99" s="45" t="s">
        <v>22</v>
      </c>
      <c r="Z99" s="45">
        <v>262</v>
      </c>
      <c r="AA99" s="54">
        <f t="shared" si="9"/>
        <v>2.8334432824683398E-2</v>
      </c>
      <c r="AB99" s="52">
        <f t="shared" si="16"/>
        <v>2620000</v>
      </c>
      <c r="AC99" s="53">
        <f t="shared" si="11"/>
        <v>7971.5496735684719</v>
      </c>
      <c r="AD99" s="52">
        <f t="shared" si="14"/>
        <v>2088546.0144749396</v>
      </c>
      <c r="AE99" s="52">
        <f t="shared" si="12"/>
        <v>2028.4503264315281</v>
      </c>
      <c r="AF99" s="45"/>
    </row>
    <row r="100" spans="1:32" ht="16" x14ac:dyDescent="0.4">
      <c r="A100" t="s">
        <v>24</v>
      </c>
      <c r="B100" s="2">
        <f>_xlfn.XLOOKUP(A37,Sheet5!E:E,Sheet5!F:F)</f>
        <v>0</v>
      </c>
      <c r="C100" t="s">
        <v>9</v>
      </c>
      <c r="H100" s="2">
        <v>0</v>
      </c>
      <c r="I100" s="26">
        <f t="shared" si="5"/>
        <v>0</v>
      </c>
      <c r="J100" s="3">
        <f t="shared" si="15"/>
        <v>0</v>
      </c>
      <c r="K100" s="31">
        <f t="shared" si="7"/>
        <v>0</v>
      </c>
      <c r="L100" s="3">
        <f t="shared" si="13"/>
        <v>0</v>
      </c>
      <c r="M100" s="3">
        <f t="shared" si="8"/>
        <v>0</v>
      </c>
      <c r="R100" t="str">
        <f>IF(G100=0,"",_xlfn.XLOOKUP(G100,List_item!A:A,List_item!B:B))</f>
        <v/>
      </c>
      <c r="S100" s="44" t="s">
        <v>24</v>
      </c>
      <c r="T100" s="45">
        <v>700</v>
      </c>
      <c r="U100" s="44" t="s">
        <v>9</v>
      </c>
      <c r="V100" s="44"/>
      <c r="W100" s="45"/>
      <c r="X100" s="45"/>
      <c r="Y100" s="45"/>
      <c r="Z100" s="45">
        <v>0</v>
      </c>
      <c r="AA100" s="54">
        <f t="shared" si="9"/>
        <v>0</v>
      </c>
      <c r="AB100" s="52">
        <f t="shared" si="16"/>
        <v>0</v>
      </c>
      <c r="AC100" s="53">
        <f t="shared" si="11"/>
        <v>0</v>
      </c>
      <c r="AD100" s="52">
        <f t="shared" si="14"/>
        <v>0</v>
      </c>
      <c r="AE100" s="52">
        <f t="shared" si="12"/>
        <v>0</v>
      </c>
      <c r="AF100" s="45"/>
    </row>
    <row r="101" spans="1:32" ht="16" x14ac:dyDescent="0.4">
      <c r="A101" s="32" t="s">
        <v>2200</v>
      </c>
      <c r="B101" s="30">
        <f>_xlfn.XLOOKUP(A38,Sheet5!E:E,Sheet5!F:F)</f>
        <v>4000</v>
      </c>
      <c r="C101" s="32" t="s">
        <v>9</v>
      </c>
      <c r="D101" s="32"/>
      <c r="E101" s="30"/>
      <c r="F101" s="30"/>
      <c r="G101" s="30"/>
      <c r="H101" s="30">
        <v>426.5</v>
      </c>
      <c r="I101" s="33">
        <f t="shared" si="5"/>
        <v>3.7412280701754383E-2</v>
      </c>
      <c r="J101" s="30">
        <f t="shared" si="15"/>
        <v>1706000</v>
      </c>
      <c r="K101" s="34">
        <f t="shared" si="7"/>
        <v>4321.608503884695</v>
      </c>
      <c r="L101" s="30">
        <f t="shared" si="13"/>
        <v>1843166.0269068223</v>
      </c>
      <c r="M101" s="30">
        <f t="shared" si="8"/>
        <v>-321.60850388469498</v>
      </c>
      <c r="N101" s="30" t="s">
        <v>3825</v>
      </c>
      <c r="R101" t="str">
        <f>IF(G101=0,"",_xlfn.XLOOKUP(G101,List_item!A:A,List_item!B:B))</f>
        <v/>
      </c>
      <c r="S101" s="56" t="s">
        <v>2200</v>
      </c>
      <c r="T101" s="57">
        <v>0</v>
      </c>
      <c r="U101" s="56" t="s">
        <v>9</v>
      </c>
      <c r="V101" s="56"/>
      <c r="W101" s="57"/>
      <c r="X101" s="57"/>
      <c r="Y101" s="57"/>
      <c r="Z101" s="57">
        <v>426.5</v>
      </c>
      <c r="AA101" s="58">
        <f t="shared" si="9"/>
        <v>4.612456335773843E-2</v>
      </c>
      <c r="AB101" s="57">
        <f t="shared" si="16"/>
        <v>0</v>
      </c>
      <c r="AC101" s="59">
        <f t="shared" si="11"/>
        <v>0</v>
      </c>
      <c r="AD101" s="57">
        <f t="shared" si="14"/>
        <v>0</v>
      </c>
      <c r="AE101" s="57">
        <f t="shared" si="12"/>
        <v>0</v>
      </c>
      <c r="AF101" s="57" t="s">
        <v>3825</v>
      </c>
    </row>
    <row r="102" spans="1:32" ht="16" x14ac:dyDescent="0.4">
      <c r="A102" t="s">
        <v>2167</v>
      </c>
      <c r="B102" s="2">
        <f>_xlfn.XLOOKUP(A39,Sheet5!E:E,Sheet5!F:F)</f>
        <v>6000</v>
      </c>
      <c r="C102" t="s">
        <v>9</v>
      </c>
      <c r="H102" s="2">
        <v>0</v>
      </c>
      <c r="I102" s="26">
        <f t="shared" si="5"/>
        <v>0</v>
      </c>
      <c r="J102" s="3">
        <f t="shared" si="15"/>
        <v>0</v>
      </c>
      <c r="K102" s="31">
        <f t="shared" si="7"/>
        <v>0</v>
      </c>
      <c r="L102" s="3">
        <f t="shared" si="13"/>
        <v>0</v>
      </c>
      <c r="M102" s="3">
        <f t="shared" si="8"/>
        <v>0</v>
      </c>
      <c r="R102" t="str">
        <f>IF(G102=0,"",_xlfn.XLOOKUP(G102,List_item!A:A,List_item!B:B))</f>
        <v/>
      </c>
      <c r="S102" s="44" t="s">
        <v>2167</v>
      </c>
      <c r="T102" s="45">
        <v>16000</v>
      </c>
      <c r="U102" s="44" t="s">
        <v>9</v>
      </c>
      <c r="V102" s="44"/>
      <c r="W102" s="45"/>
      <c r="X102" s="45"/>
      <c r="Y102" s="45"/>
      <c r="Z102" s="45">
        <v>0</v>
      </c>
      <c r="AA102" s="54">
        <f t="shared" si="9"/>
        <v>0</v>
      </c>
      <c r="AB102" s="52">
        <f t="shared" si="16"/>
        <v>0</v>
      </c>
      <c r="AC102" s="53">
        <f t="shared" si="11"/>
        <v>0</v>
      </c>
      <c r="AD102" s="52">
        <f t="shared" si="14"/>
        <v>0</v>
      </c>
      <c r="AE102" s="52">
        <f t="shared" si="12"/>
        <v>0</v>
      </c>
      <c r="AF102" s="45"/>
    </row>
    <row r="103" spans="1:32" ht="16" x14ac:dyDescent="0.4">
      <c r="A103" t="s">
        <v>2168</v>
      </c>
      <c r="B103" s="2">
        <f>_xlfn.XLOOKUP(A40,Sheet5!E:E,Sheet5!F:F)</f>
        <v>5000</v>
      </c>
      <c r="C103" t="s">
        <v>9</v>
      </c>
      <c r="H103" s="2">
        <v>0</v>
      </c>
      <c r="I103" s="26">
        <f t="shared" si="5"/>
        <v>0</v>
      </c>
      <c r="J103" s="3">
        <f t="shared" si="15"/>
        <v>0</v>
      </c>
      <c r="K103" s="31">
        <f t="shared" si="7"/>
        <v>0</v>
      </c>
      <c r="L103" s="3">
        <f t="shared" si="13"/>
        <v>0</v>
      </c>
      <c r="M103" s="3">
        <f t="shared" si="8"/>
        <v>0</v>
      </c>
      <c r="R103" t="str">
        <f>IF(G103=0,"",_xlfn.XLOOKUP(G103,List_item!A:A,List_item!B:B))</f>
        <v/>
      </c>
      <c r="S103" s="44" t="s">
        <v>2168</v>
      </c>
      <c r="T103" s="45">
        <v>10000</v>
      </c>
      <c r="U103" s="44" t="s">
        <v>9</v>
      </c>
      <c r="V103" s="44"/>
      <c r="W103" s="45"/>
      <c r="X103" s="45"/>
      <c r="Y103" s="45"/>
      <c r="Z103" s="45">
        <v>0</v>
      </c>
      <c r="AA103" s="54">
        <f t="shared" si="9"/>
        <v>0</v>
      </c>
      <c r="AB103" s="52">
        <f t="shared" si="16"/>
        <v>0</v>
      </c>
      <c r="AC103" s="53">
        <f t="shared" si="11"/>
        <v>0</v>
      </c>
      <c r="AD103" s="52">
        <f t="shared" si="14"/>
        <v>0</v>
      </c>
      <c r="AE103" s="52">
        <f t="shared" si="12"/>
        <v>0</v>
      </c>
      <c r="AF103" s="45"/>
    </row>
    <row r="104" spans="1:32" ht="16" x14ac:dyDescent="0.4">
      <c r="A104" t="s">
        <v>2169</v>
      </c>
      <c r="B104" s="2">
        <f>_xlfn.XLOOKUP(A41,Sheet5!E:E,Sheet5!F:F)</f>
        <v>0</v>
      </c>
      <c r="C104" t="s">
        <v>9</v>
      </c>
      <c r="H104" s="2">
        <v>0</v>
      </c>
      <c r="I104" s="26">
        <f t="shared" si="5"/>
        <v>0</v>
      </c>
      <c r="J104" s="3">
        <f t="shared" si="15"/>
        <v>0</v>
      </c>
      <c r="K104" s="31">
        <f t="shared" si="7"/>
        <v>0</v>
      </c>
      <c r="L104" s="3">
        <f t="shared" si="13"/>
        <v>0</v>
      </c>
      <c r="M104" s="3">
        <f t="shared" si="8"/>
        <v>0</v>
      </c>
      <c r="R104" t="str">
        <f>IF(G104=0,"",_xlfn.XLOOKUP(G104,List_item!A:A,List_item!B:B))</f>
        <v/>
      </c>
      <c r="S104" s="44" t="s">
        <v>2169</v>
      </c>
      <c r="T104" s="45">
        <v>5000</v>
      </c>
      <c r="U104" s="44" t="s">
        <v>9</v>
      </c>
      <c r="V104" s="44"/>
      <c r="W104" s="45"/>
      <c r="X104" s="45"/>
      <c r="Y104" s="45"/>
      <c r="Z104" s="45">
        <v>0</v>
      </c>
      <c r="AA104" s="54">
        <f t="shared" si="9"/>
        <v>0</v>
      </c>
      <c r="AB104" s="52">
        <f t="shared" si="16"/>
        <v>0</v>
      </c>
      <c r="AC104" s="53">
        <f t="shared" si="11"/>
        <v>0</v>
      </c>
      <c r="AD104" s="52">
        <f t="shared" si="14"/>
        <v>0</v>
      </c>
      <c r="AE104" s="52">
        <f t="shared" si="12"/>
        <v>0</v>
      </c>
      <c r="AF104" s="45"/>
    </row>
    <row r="105" spans="1:32" ht="16" x14ac:dyDescent="0.4">
      <c r="A105" t="s">
        <v>2201</v>
      </c>
      <c r="B105" s="2">
        <f>_xlfn.XLOOKUP(A42,Sheet5!E:E,Sheet5!F:F)</f>
        <v>24000</v>
      </c>
      <c r="C105" t="s">
        <v>9</v>
      </c>
      <c r="G105" s="2" t="s">
        <v>286</v>
      </c>
      <c r="H105" s="2">
        <v>549.5</v>
      </c>
      <c r="I105" s="26">
        <f t="shared" si="5"/>
        <v>4.8201754385964912E-2</v>
      </c>
      <c r="J105" s="3">
        <f t="shared" si="15"/>
        <v>13188000</v>
      </c>
      <c r="K105" s="31">
        <f t="shared" si="7"/>
        <v>25929.651023308175</v>
      </c>
      <c r="L105" s="3">
        <f t="shared" si="13"/>
        <v>14248343.237307843</v>
      </c>
      <c r="M105" s="3">
        <f t="shared" si="8"/>
        <v>-1929.6510233081754</v>
      </c>
      <c r="R105" t="str">
        <f>IF(G105=0,"",_xlfn.XLOOKUP(G105,List_item!A:A,List_item!B:B))</f>
        <v>Boneless BL Frozen HJA</v>
      </c>
      <c r="S105" s="44" t="s">
        <v>2201</v>
      </c>
      <c r="T105" s="45">
        <v>700</v>
      </c>
      <c r="U105" s="44" t="s">
        <v>9</v>
      </c>
      <c r="V105" s="44"/>
      <c r="W105" s="45"/>
      <c r="X105" s="45"/>
      <c r="Y105" s="45" t="s">
        <v>286</v>
      </c>
      <c r="Z105" s="45">
        <v>549.5</v>
      </c>
      <c r="AA105" s="54">
        <f t="shared" si="9"/>
        <v>5.9426606248715756E-2</v>
      </c>
      <c r="AB105" s="52">
        <f t="shared" si="16"/>
        <v>384650</v>
      </c>
      <c r="AC105" s="53">
        <f t="shared" si="11"/>
        <v>558.00847714979307</v>
      </c>
      <c r="AD105" s="52">
        <f t="shared" si="14"/>
        <v>306625.65819381131</v>
      </c>
      <c r="AE105" s="52">
        <f t="shared" si="12"/>
        <v>141.99152285020693</v>
      </c>
      <c r="AF105" s="45"/>
    </row>
    <row r="106" spans="1:32" ht="16" x14ac:dyDescent="0.4">
      <c r="A106" t="s">
        <v>2170</v>
      </c>
      <c r="B106" s="2">
        <f>_xlfn.XLOOKUP(A43,Sheet5!E:E,Sheet5!F:F)</f>
        <v>24000</v>
      </c>
      <c r="C106" t="s">
        <v>9</v>
      </c>
      <c r="H106" s="2">
        <v>0</v>
      </c>
      <c r="I106" s="26">
        <f t="shared" si="5"/>
        <v>0</v>
      </c>
      <c r="J106" s="3">
        <f t="shared" si="15"/>
        <v>0</v>
      </c>
      <c r="K106" s="31">
        <f t="shared" si="7"/>
        <v>0</v>
      </c>
      <c r="L106" s="3">
        <f t="shared" si="13"/>
        <v>0</v>
      </c>
      <c r="M106" s="3">
        <f t="shared" si="8"/>
        <v>0</v>
      </c>
      <c r="R106" t="str">
        <f>IF(G106=0,"",_xlfn.XLOOKUP(G106,List_item!A:A,List_item!B:B))</f>
        <v/>
      </c>
      <c r="S106" s="44" t="s">
        <v>2170</v>
      </c>
      <c r="T106" s="45">
        <v>28000</v>
      </c>
      <c r="U106" s="44" t="s">
        <v>9</v>
      </c>
      <c r="V106" s="44"/>
      <c r="W106" s="45"/>
      <c r="X106" s="45"/>
      <c r="Y106" s="45"/>
      <c r="Z106" s="45">
        <v>0</v>
      </c>
      <c r="AA106" s="54">
        <f t="shared" si="9"/>
        <v>0</v>
      </c>
      <c r="AB106" s="52">
        <f t="shared" si="16"/>
        <v>0</v>
      </c>
      <c r="AC106" s="53">
        <f t="shared" si="11"/>
        <v>0</v>
      </c>
      <c r="AD106" s="52">
        <f t="shared" si="14"/>
        <v>0</v>
      </c>
      <c r="AE106" s="52">
        <f t="shared" si="12"/>
        <v>0</v>
      </c>
      <c r="AF106" s="45"/>
    </row>
    <row r="107" spans="1:32" ht="16" x14ac:dyDescent="0.4">
      <c r="A107" t="s">
        <v>2171</v>
      </c>
      <c r="B107" s="2">
        <f>_xlfn.XLOOKUP(A44,Sheet5!E:E,Sheet5!F:F)</f>
        <v>20000</v>
      </c>
      <c r="C107" t="s">
        <v>9</v>
      </c>
      <c r="H107" s="2">
        <v>0</v>
      </c>
      <c r="I107" s="26">
        <f t="shared" si="5"/>
        <v>0</v>
      </c>
      <c r="J107" s="3">
        <f t="shared" si="15"/>
        <v>0</v>
      </c>
      <c r="K107" s="31">
        <f t="shared" si="7"/>
        <v>0</v>
      </c>
      <c r="L107" s="3">
        <f t="shared" si="13"/>
        <v>0</v>
      </c>
      <c r="M107" s="3">
        <f t="shared" si="8"/>
        <v>0</v>
      </c>
      <c r="R107" t="str">
        <f>IF(G107=0,"",_xlfn.XLOOKUP(G107,List_item!A:A,List_item!B:B))</f>
        <v/>
      </c>
      <c r="S107" s="44" t="s">
        <v>2171</v>
      </c>
      <c r="T107" s="45">
        <v>27000</v>
      </c>
      <c r="U107" s="44" t="s">
        <v>9</v>
      </c>
      <c r="V107" s="44"/>
      <c r="W107" s="45"/>
      <c r="X107" s="45"/>
      <c r="Y107" s="45"/>
      <c r="Z107" s="45">
        <v>0</v>
      </c>
      <c r="AA107" s="54">
        <f t="shared" si="9"/>
        <v>0</v>
      </c>
      <c r="AB107" s="52">
        <f t="shared" si="16"/>
        <v>0</v>
      </c>
      <c r="AC107" s="53">
        <f t="shared" si="11"/>
        <v>0</v>
      </c>
      <c r="AD107" s="52">
        <f t="shared" si="14"/>
        <v>0</v>
      </c>
      <c r="AE107" s="52">
        <f t="shared" si="12"/>
        <v>0</v>
      </c>
      <c r="AF107" s="45"/>
    </row>
    <row r="108" spans="1:32" ht="16" x14ac:dyDescent="0.4">
      <c r="A108" t="s">
        <v>2202</v>
      </c>
      <c r="B108" s="2">
        <f>_xlfn.XLOOKUP(A45,Sheet5!E:E,Sheet5!F:F)</f>
        <v>20000</v>
      </c>
      <c r="C108" t="s">
        <v>9</v>
      </c>
      <c r="G108" s="2" t="s">
        <v>505</v>
      </c>
      <c r="H108" s="2">
        <v>9.6</v>
      </c>
      <c r="I108" s="26">
        <f t="shared" si="5"/>
        <v>8.4210526315789467E-4</v>
      </c>
      <c r="J108" s="3">
        <f t="shared" si="15"/>
        <v>192000</v>
      </c>
      <c r="K108" s="31">
        <f t="shared" si="7"/>
        <v>21608.042519423478</v>
      </c>
      <c r="L108" s="3">
        <f t="shared" si="13"/>
        <v>207437.20818646537</v>
      </c>
      <c r="M108" s="3">
        <f t="shared" si="8"/>
        <v>-1608.0425194234776</v>
      </c>
      <c r="R108" t="str">
        <f>IF(G108=0,"",_xlfn.XLOOKUP(G108,List_item!A:A,List_item!B:B))</f>
        <v>Karkas Uk 0.4 Karkas Uk 0.4 Frozen Grade A</v>
      </c>
      <c r="S108" s="44" t="s">
        <v>2202</v>
      </c>
      <c r="T108" s="45">
        <v>30000</v>
      </c>
      <c r="U108" s="44" t="s">
        <v>9</v>
      </c>
      <c r="V108" s="44"/>
      <c r="W108" s="45"/>
      <c r="X108" s="45"/>
      <c r="Y108" s="45" t="s">
        <v>505</v>
      </c>
      <c r="Z108" s="45">
        <v>9.6</v>
      </c>
      <c r="AA108" s="54">
        <f t="shared" si="9"/>
        <v>1.0382082256372542E-3</v>
      </c>
      <c r="AB108" s="52">
        <f t="shared" si="16"/>
        <v>288000</v>
      </c>
      <c r="AC108" s="53">
        <f t="shared" si="11"/>
        <v>23914.649020705416</v>
      </c>
      <c r="AD108" s="52">
        <f t="shared" si="14"/>
        <v>229580.630598772</v>
      </c>
      <c r="AE108" s="52">
        <f t="shared" si="12"/>
        <v>6085.3509792945842</v>
      </c>
      <c r="AF108" s="45"/>
    </row>
    <row r="109" spans="1:32" ht="16" x14ac:dyDescent="0.4">
      <c r="A109" t="s">
        <v>2203</v>
      </c>
      <c r="B109" s="2">
        <f>_xlfn.XLOOKUP(A46,Sheet5!E:E,Sheet5!F:F)</f>
        <v>20000</v>
      </c>
      <c r="C109" t="s">
        <v>9</v>
      </c>
      <c r="G109" s="2" t="s">
        <v>571</v>
      </c>
      <c r="H109" s="2">
        <v>31.7</v>
      </c>
      <c r="I109" s="26">
        <f t="shared" si="5"/>
        <v>2.7807017543859647E-3</v>
      </c>
      <c r="J109" s="3">
        <f t="shared" si="15"/>
        <v>634000</v>
      </c>
      <c r="K109" s="31">
        <f t="shared" si="7"/>
        <v>21608.042519423478</v>
      </c>
      <c r="L109" s="3">
        <f t="shared" si="13"/>
        <v>684974.94786572421</v>
      </c>
      <c r="M109" s="3">
        <f t="shared" si="8"/>
        <v>-1608.0425194234776</v>
      </c>
      <c r="R109" t="str">
        <f>IF(G109=0,"",_xlfn.XLOOKUP(G109,List_item!A:A,List_item!B:B))</f>
        <v>Karkas Uk 0.5 Karkas Uk 0.5 Frozen Grade A</v>
      </c>
      <c r="S109" s="44" t="s">
        <v>2203</v>
      </c>
      <c r="T109" s="45">
        <v>30000</v>
      </c>
      <c r="U109" s="44" t="s">
        <v>9</v>
      </c>
      <c r="V109" s="44"/>
      <c r="W109" s="45"/>
      <c r="X109" s="45"/>
      <c r="Y109" s="45" t="s">
        <v>571</v>
      </c>
      <c r="Z109" s="45">
        <v>31.7</v>
      </c>
      <c r="AA109" s="54">
        <f t="shared" si="9"/>
        <v>3.4282500784063499E-3</v>
      </c>
      <c r="AB109" s="52">
        <f t="shared" si="16"/>
        <v>951000</v>
      </c>
      <c r="AC109" s="53">
        <f t="shared" si="11"/>
        <v>23914.649020705416</v>
      </c>
      <c r="AD109" s="52">
        <f t="shared" si="14"/>
        <v>758094.37395636167</v>
      </c>
      <c r="AE109" s="52">
        <f t="shared" si="12"/>
        <v>6085.3509792945842</v>
      </c>
      <c r="AF109" s="45"/>
    </row>
    <row r="110" spans="1:32" ht="16" x14ac:dyDescent="0.4">
      <c r="A110" t="s">
        <v>2204</v>
      </c>
      <c r="B110" s="2">
        <f>_xlfn.XLOOKUP(A47,Sheet5!E:E,Sheet5!F:F)</f>
        <v>20000</v>
      </c>
      <c r="C110" t="s">
        <v>9</v>
      </c>
      <c r="G110" s="2" t="s">
        <v>636</v>
      </c>
      <c r="H110" s="2">
        <v>61.5</v>
      </c>
      <c r="I110" s="26">
        <f t="shared" si="5"/>
        <v>5.3947368421052629E-3</v>
      </c>
      <c r="J110" s="3">
        <f t="shared" si="15"/>
        <v>1230000</v>
      </c>
      <c r="K110" s="31">
        <f t="shared" si="7"/>
        <v>21608.042519423478</v>
      </c>
      <c r="L110" s="3">
        <f t="shared" si="13"/>
        <v>1328894.6149445439</v>
      </c>
      <c r="M110" s="3">
        <f t="shared" si="8"/>
        <v>-1608.0425194234776</v>
      </c>
      <c r="R110" t="str">
        <f>IF(G110=0,"",_xlfn.XLOOKUP(G110,List_item!A:A,List_item!B:B))</f>
        <v>Karkas Uk 0.6 Karkas Uk 0.6 Frozen Grade A</v>
      </c>
      <c r="S110" s="44" t="s">
        <v>2204</v>
      </c>
      <c r="T110" s="45">
        <v>30000</v>
      </c>
      <c r="U110" s="44" t="s">
        <v>9</v>
      </c>
      <c r="V110" s="44"/>
      <c r="W110" s="45"/>
      <c r="X110" s="45"/>
      <c r="Y110" s="45" t="s">
        <v>636</v>
      </c>
      <c r="Z110" s="45">
        <v>61.5</v>
      </c>
      <c r="AA110" s="54">
        <f t="shared" si="9"/>
        <v>6.6510214454886599E-3</v>
      </c>
      <c r="AB110" s="52">
        <f t="shared" si="16"/>
        <v>1845000</v>
      </c>
      <c r="AC110" s="53">
        <f t="shared" si="11"/>
        <v>23914.649020705416</v>
      </c>
      <c r="AD110" s="52">
        <f t="shared" si="14"/>
        <v>1470750.9147733832</v>
      </c>
      <c r="AE110" s="52">
        <f t="shared" si="12"/>
        <v>6085.3509792945842</v>
      </c>
      <c r="AF110" s="45"/>
    </row>
    <row r="111" spans="1:32" ht="16" x14ac:dyDescent="0.4">
      <c r="A111" t="s">
        <v>2205</v>
      </c>
      <c r="B111" s="2">
        <f>_xlfn.XLOOKUP(A48,Sheet5!E:E,Sheet5!F:F)</f>
        <v>20000</v>
      </c>
      <c r="C111" t="s">
        <v>9</v>
      </c>
      <c r="G111" s="2" t="s">
        <v>701</v>
      </c>
      <c r="H111" s="2">
        <v>108.2</v>
      </c>
      <c r="I111" s="26">
        <f t="shared" si="5"/>
        <v>9.4912280701754392E-3</v>
      </c>
      <c r="J111" s="3">
        <f t="shared" si="15"/>
        <v>2164000</v>
      </c>
      <c r="K111" s="31">
        <f t="shared" si="7"/>
        <v>21608.042519423474</v>
      </c>
      <c r="L111" s="3">
        <f t="shared" si="13"/>
        <v>2337990.2006016201</v>
      </c>
      <c r="M111" s="3">
        <f t="shared" si="8"/>
        <v>-1608.042519423474</v>
      </c>
      <c r="R111" t="str">
        <f>IF(G111=0,"",_xlfn.XLOOKUP(G111,List_item!A:A,List_item!B:B))</f>
        <v>Karkas Uk 0.7 Karkas Uk 0.7 Frozen Grade A</v>
      </c>
      <c r="S111" s="44" t="s">
        <v>2205</v>
      </c>
      <c r="T111" s="45">
        <v>30000</v>
      </c>
      <c r="U111" s="44" t="s">
        <v>9</v>
      </c>
      <c r="V111" s="44"/>
      <c r="W111" s="45"/>
      <c r="X111" s="45"/>
      <c r="Y111" s="45" t="s">
        <v>701</v>
      </c>
      <c r="Z111" s="45">
        <v>108.2</v>
      </c>
      <c r="AA111" s="54">
        <f t="shared" si="9"/>
        <v>1.1701471876453221E-2</v>
      </c>
      <c r="AB111" s="52">
        <f t="shared" si="16"/>
        <v>3246000</v>
      </c>
      <c r="AC111" s="53">
        <f t="shared" si="11"/>
        <v>23914.649020705416</v>
      </c>
      <c r="AD111" s="52">
        <f t="shared" si="14"/>
        <v>2587565.024040326</v>
      </c>
      <c r="AE111" s="52">
        <f t="shared" si="12"/>
        <v>6085.3509792945842</v>
      </c>
      <c r="AF111" s="45"/>
    </row>
    <row r="112" spans="1:32" ht="16" x14ac:dyDescent="0.4">
      <c r="A112" t="s">
        <v>2206</v>
      </c>
      <c r="B112" s="2">
        <f>_xlfn.XLOOKUP(A49,Sheet5!E:E,Sheet5!F:F)</f>
        <v>20000</v>
      </c>
      <c r="C112" t="s">
        <v>9</v>
      </c>
      <c r="G112" s="2" t="s">
        <v>766</v>
      </c>
      <c r="H112" s="2">
        <v>93.5</v>
      </c>
      <c r="I112" s="26">
        <f t="shared" si="5"/>
        <v>8.2017543859649131E-3</v>
      </c>
      <c r="J112" s="3">
        <f t="shared" si="15"/>
        <v>1870000</v>
      </c>
      <c r="K112" s="31">
        <f t="shared" si="7"/>
        <v>21608.042519423478</v>
      </c>
      <c r="L112" s="3">
        <f t="shared" si="13"/>
        <v>2020351.9755660952</v>
      </c>
      <c r="M112" s="3">
        <f t="shared" si="8"/>
        <v>-1608.0425194234776</v>
      </c>
      <c r="R112" t="str">
        <f>IF(G112=0,"",_xlfn.XLOOKUP(G112,List_item!A:A,List_item!B:B))</f>
        <v>Karkas Uk 0.8 Karkas Uk 0.8 Frozen Grade A</v>
      </c>
      <c r="S112" s="44" t="s">
        <v>2206</v>
      </c>
      <c r="T112" s="45">
        <v>30000</v>
      </c>
      <c r="U112" s="44" t="s">
        <v>9</v>
      </c>
      <c r="V112" s="44"/>
      <c r="W112" s="45"/>
      <c r="X112" s="45"/>
      <c r="Y112" s="45" t="s">
        <v>766</v>
      </c>
      <c r="Z112" s="45">
        <v>93.5</v>
      </c>
      <c r="AA112" s="54">
        <f t="shared" si="9"/>
        <v>1.0111715530946174E-2</v>
      </c>
      <c r="AB112" s="52">
        <f t="shared" si="16"/>
        <v>2805000</v>
      </c>
      <c r="AC112" s="53">
        <f t="shared" si="11"/>
        <v>23914.649020705416</v>
      </c>
      <c r="AD112" s="52">
        <f t="shared" si="14"/>
        <v>2236019.6834359565</v>
      </c>
      <c r="AE112" s="52">
        <f t="shared" si="12"/>
        <v>6085.3509792945842</v>
      </c>
      <c r="AF112" s="45"/>
    </row>
    <row r="113" spans="1:32" ht="16" x14ac:dyDescent="0.4">
      <c r="A113" t="s">
        <v>2207</v>
      </c>
      <c r="B113" s="2">
        <f>_xlfn.XLOOKUP(A50,Sheet5!E:E,Sheet5!F:F)</f>
        <v>20000</v>
      </c>
      <c r="C113" t="s">
        <v>9</v>
      </c>
      <c r="G113" s="2" t="s">
        <v>831</v>
      </c>
      <c r="H113" s="2">
        <v>60.4</v>
      </c>
      <c r="I113" s="26">
        <f t="shared" si="5"/>
        <v>5.2982456140350876E-3</v>
      </c>
      <c r="J113" s="3">
        <f t="shared" si="15"/>
        <v>1208000</v>
      </c>
      <c r="K113" s="31">
        <f t="shared" si="7"/>
        <v>21608.042519423478</v>
      </c>
      <c r="L113" s="3">
        <f t="shared" si="13"/>
        <v>1305125.768173178</v>
      </c>
      <c r="M113" s="3">
        <f t="shared" si="8"/>
        <v>-1608.0425194234776</v>
      </c>
      <c r="R113" t="str">
        <f>IF(G113=0,"",_xlfn.XLOOKUP(G113,List_item!A:A,List_item!B:B))</f>
        <v>Karkas Uk 0.9 Karkas Uk 0.9 Frozen Grade A</v>
      </c>
      <c r="S113" s="44" t="s">
        <v>2207</v>
      </c>
      <c r="T113" s="45">
        <v>30000</v>
      </c>
      <c r="U113" s="44" t="s">
        <v>9</v>
      </c>
      <c r="V113" s="44"/>
      <c r="W113" s="45"/>
      <c r="X113" s="45"/>
      <c r="Y113" s="45" t="s">
        <v>831</v>
      </c>
      <c r="Z113" s="45">
        <v>60.4</v>
      </c>
      <c r="AA113" s="54">
        <f t="shared" si="9"/>
        <v>6.5320600863010584E-3</v>
      </c>
      <c r="AB113" s="52">
        <f t="shared" si="16"/>
        <v>1812000</v>
      </c>
      <c r="AC113" s="53">
        <f t="shared" si="11"/>
        <v>23914.649020705419</v>
      </c>
      <c r="AD113" s="52">
        <f t="shared" si="14"/>
        <v>1444444.8008506072</v>
      </c>
      <c r="AE113" s="52">
        <f t="shared" si="12"/>
        <v>6085.3509792945806</v>
      </c>
      <c r="AF113" s="45"/>
    </row>
    <row r="114" spans="1:32" ht="16" x14ac:dyDescent="0.4">
      <c r="A114" t="s">
        <v>2208</v>
      </c>
      <c r="B114" s="2">
        <f>_xlfn.XLOOKUP(A51,Sheet5!E:E,Sheet5!F:F)</f>
        <v>20000</v>
      </c>
      <c r="C114" t="s">
        <v>9</v>
      </c>
      <c r="G114" s="2" t="s">
        <v>896</v>
      </c>
      <c r="H114" s="2">
        <v>16.8</v>
      </c>
      <c r="I114" s="26">
        <f t="shared" si="5"/>
        <v>1.4736842105263158E-3</v>
      </c>
      <c r="J114" s="3">
        <f t="shared" si="15"/>
        <v>336000</v>
      </c>
      <c r="K114" s="31">
        <f t="shared" si="7"/>
        <v>21608.042519423478</v>
      </c>
      <c r="L114" s="3">
        <f t="shared" si="13"/>
        <v>363015.11432631442</v>
      </c>
      <c r="M114" s="3">
        <f t="shared" si="8"/>
        <v>-1608.0425194234776</v>
      </c>
      <c r="R114" t="str">
        <f>IF(G114=0,"",_xlfn.XLOOKUP(G114,List_item!A:A,List_item!B:B))</f>
        <v>Karkas Uk 1.0 Karkas Uk 1.0 Frozen Grade A</v>
      </c>
      <c r="S114" s="44" t="s">
        <v>2208</v>
      </c>
      <c r="T114" s="45">
        <v>30000</v>
      </c>
      <c r="U114" s="44" t="s">
        <v>9</v>
      </c>
      <c r="V114" s="44"/>
      <c r="W114" s="45"/>
      <c r="X114" s="45"/>
      <c r="Y114" s="45" t="s">
        <v>896</v>
      </c>
      <c r="Z114" s="45">
        <v>16.8</v>
      </c>
      <c r="AA114" s="54">
        <f t="shared" si="9"/>
        <v>1.8168643948651951E-3</v>
      </c>
      <c r="AB114" s="52">
        <f t="shared" si="16"/>
        <v>504000</v>
      </c>
      <c r="AC114" s="53">
        <f t="shared" si="11"/>
        <v>23914.649020705416</v>
      </c>
      <c r="AD114" s="52">
        <f t="shared" si="14"/>
        <v>401766.10354785097</v>
      </c>
      <c r="AE114" s="52">
        <f t="shared" si="12"/>
        <v>6085.3509792945842</v>
      </c>
      <c r="AF114" s="45"/>
    </row>
    <row r="115" spans="1:32" ht="16" x14ac:dyDescent="0.4">
      <c r="A115" t="s">
        <v>2209</v>
      </c>
      <c r="B115" s="2">
        <f>_xlfn.XLOOKUP(A52,Sheet5!E:E,Sheet5!F:F)</f>
        <v>20000</v>
      </c>
      <c r="C115" t="s">
        <v>9</v>
      </c>
      <c r="H115" s="2">
        <v>0</v>
      </c>
      <c r="I115" s="26">
        <f t="shared" si="5"/>
        <v>0</v>
      </c>
      <c r="J115" s="3">
        <f t="shared" si="15"/>
        <v>0</v>
      </c>
      <c r="K115" s="31">
        <f t="shared" si="7"/>
        <v>0</v>
      </c>
      <c r="L115" s="3">
        <f t="shared" si="13"/>
        <v>0</v>
      </c>
      <c r="M115" s="3">
        <f t="shared" si="8"/>
        <v>0</v>
      </c>
      <c r="R115" t="str">
        <f>IF(G115=0,"",_xlfn.XLOOKUP(G115,List_item!A:A,List_item!B:B))</f>
        <v/>
      </c>
      <c r="S115" s="44" t="s">
        <v>2209</v>
      </c>
      <c r="T115" s="45">
        <v>30000</v>
      </c>
      <c r="U115" s="44" t="s">
        <v>9</v>
      </c>
      <c r="V115" s="44"/>
      <c r="W115" s="45"/>
      <c r="X115" s="45"/>
      <c r="Y115" s="45"/>
      <c r="Z115" s="45">
        <v>0</v>
      </c>
      <c r="AA115" s="54">
        <f t="shared" si="9"/>
        <v>0</v>
      </c>
      <c r="AB115" s="52">
        <f t="shared" si="16"/>
        <v>0</v>
      </c>
      <c r="AC115" s="53">
        <f t="shared" si="11"/>
        <v>0</v>
      </c>
      <c r="AD115" s="52">
        <f t="shared" si="14"/>
        <v>0</v>
      </c>
      <c r="AE115" s="52">
        <f t="shared" si="12"/>
        <v>0</v>
      </c>
      <c r="AF115" s="45"/>
    </row>
    <row r="116" spans="1:32" ht="16" x14ac:dyDescent="0.4">
      <c r="A116" t="s">
        <v>2210</v>
      </c>
      <c r="B116" s="2">
        <f>_xlfn.XLOOKUP(A53,Sheet5!E:E,Sheet5!F:F)</f>
        <v>20000</v>
      </c>
      <c r="C116" t="s">
        <v>9</v>
      </c>
      <c r="H116" s="2">
        <v>0</v>
      </c>
      <c r="I116" s="26">
        <f t="shared" si="5"/>
        <v>0</v>
      </c>
      <c r="J116" s="3">
        <f t="shared" si="15"/>
        <v>0</v>
      </c>
      <c r="K116" s="31">
        <f t="shared" si="7"/>
        <v>0</v>
      </c>
      <c r="L116" s="3">
        <f t="shared" si="13"/>
        <v>0</v>
      </c>
      <c r="M116" s="3">
        <f t="shared" si="8"/>
        <v>0</v>
      </c>
      <c r="R116" t="str">
        <f>IF(G116=0,"",_xlfn.XLOOKUP(G116,List_item!A:A,List_item!B:B))</f>
        <v/>
      </c>
      <c r="S116" s="44" t="s">
        <v>2210</v>
      </c>
      <c r="T116" s="45">
        <v>30000</v>
      </c>
      <c r="U116" s="44" t="s">
        <v>9</v>
      </c>
      <c r="V116" s="44"/>
      <c r="W116" s="45"/>
      <c r="X116" s="45"/>
      <c r="Y116" s="45"/>
      <c r="Z116" s="45">
        <v>0</v>
      </c>
      <c r="AA116" s="54">
        <f t="shared" si="9"/>
        <v>0</v>
      </c>
      <c r="AB116" s="52">
        <f t="shared" si="16"/>
        <v>0</v>
      </c>
      <c r="AC116" s="53">
        <f t="shared" si="11"/>
        <v>0</v>
      </c>
      <c r="AD116" s="52">
        <f t="shared" si="14"/>
        <v>0</v>
      </c>
      <c r="AE116" s="52">
        <f t="shared" si="12"/>
        <v>0</v>
      </c>
      <c r="AF116" s="45"/>
    </row>
    <row r="117" spans="1:32" ht="16" x14ac:dyDescent="0.4">
      <c r="A117" t="s">
        <v>2211</v>
      </c>
      <c r="B117" s="2">
        <f>_xlfn.XLOOKUP(A54,Sheet5!E:E,Sheet5!F:F)</f>
        <v>20000</v>
      </c>
      <c r="C117" t="s">
        <v>9</v>
      </c>
      <c r="H117" s="2">
        <v>0</v>
      </c>
      <c r="I117" s="26">
        <f t="shared" si="5"/>
        <v>0</v>
      </c>
      <c r="J117" s="3">
        <f t="shared" si="15"/>
        <v>0</v>
      </c>
      <c r="K117" s="31">
        <f t="shared" si="7"/>
        <v>0</v>
      </c>
      <c r="L117" s="3">
        <f t="shared" si="13"/>
        <v>0</v>
      </c>
      <c r="M117" s="3">
        <f t="shared" si="8"/>
        <v>0</v>
      </c>
      <c r="R117" t="str">
        <f>IF(G117=0,"",_xlfn.XLOOKUP(G117,List_item!A:A,List_item!B:B))</f>
        <v/>
      </c>
      <c r="S117" s="44" t="s">
        <v>2211</v>
      </c>
      <c r="T117" s="45">
        <v>30000</v>
      </c>
      <c r="U117" s="44" t="s">
        <v>9</v>
      </c>
      <c r="V117" s="44"/>
      <c r="W117" s="45"/>
      <c r="X117" s="45"/>
      <c r="Y117" s="45"/>
      <c r="Z117" s="45">
        <v>0</v>
      </c>
      <c r="AA117" s="54">
        <f t="shared" si="9"/>
        <v>0</v>
      </c>
      <c r="AB117" s="52">
        <f t="shared" si="16"/>
        <v>0</v>
      </c>
      <c r="AC117" s="53">
        <f t="shared" si="11"/>
        <v>0</v>
      </c>
      <c r="AD117" s="52">
        <f t="shared" si="14"/>
        <v>0</v>
      </c>
      <c r="AE117" s="52">
        <f t="shared" si="12"/>
        <v>0</v>
      </c>
      <c r="AF117" s="45"/>
    </row>
    <row r="118" spans="1:32" ht="16" x14ac:dyDescent="0.4">
      <c r="A118" t="s">
        <v>2212</v>
      </c>
      <c r="B118" s="2">
        <f>_xlfn.XLOOKUP(A55,Sheet5!E:E,Sheet5!F:F)</f>
        <v>20000</v>
      </c>
      <c r="C118" t="s">
        <v>9</v>
      </c>
      <c r="H118" s="2">
        <v>0</v>
      </c>
      <c r="I118" s="26">
        <f t="shared" si="5"/>
        <v>0</v>
      </c>
      <c r="J118" s="3">
        <f t="shared" si="15"/>
        <v>0</v>
      </c>
      <c r="K118" s="31">
        <f t="shared" si="7"/>
        <v>0</v>
      </c>
      <c r="L118" s="3">
        <f t="shared" si="13"/>
        <v>0</v>
      </c>
      <c r="M118" s="3">
        <f t="shared" si="8"/>
        <v>0</v>
      </c>
      <c r="R118" t="str">
        <f>IF(G118=0,"",_xlfn.XLOOKUP(G118,List_item!A:A,List_item!B:B))</f>
        <v/>
      </c>
      <c r="S118" s="44" t="s">
        <v>2212</v>
      </c>
      <c r="T118" s="45">
        <v>30000</v>
      </c>
      <c r="U118" s="44" t="s">
        <v>9</v>
      </c>
      <c r="V118" s="44"/>
      <c r="W118" s="45"/>
      <c r="X118" s="45"/>
      <c r="Y118" s="45"/>
      <c r="Z118" s="45">
        <v>0</v>
      </c>
      <c r="AA118" s="54">
        <f t="shared" si="9"/>
        <v>0</v>
      </c>
      <c r="AB118" s="52">
        <f t="shared" si="16"/>
        <v>0</v>
      </c>
      <c r="AC118" s="53">
        <f t="shared" si="11"/>
        <v>0</v>
      </c>
      <c r="AD118" s="52">
        <f t="shared" si="14"/>
        <v>0</v>
      </c>
      <c r="AE118" s="52">
        <f t="shared" si="12"/>
        <v>0</v>
      </c>
      <c r="AF118" s="45"/>
    </row>
    <row r="119" spans="1:32" ht="16" x14ac:dyDescent="0.4">
      <c r="A119" t="s">
        <v>2213</v>
      </c>
      <c r="B119" s="2">
        <f>_xlfn.XLOOKUP(A56,Sheet5!E:E,Sheet5!F:F)</f>
        <v>20000</v>
      </c>
      <c r="C119" t="s">
        <v>9</v>
      </c>
      <c r="H119" s="2">
        <v>0</v>
      </c>
      <c r="I119" s="26">
        <f t="shared" si="5"/>
        <v>0</v>
      </c>
      <c r="J119" s="3">
        <f t="shared" si="15"/>
        <v>0</v>
      </c>
      <c r="K119" s="31">
        <f t="shared" si="7"/>
        <v>0</v>
      </c>
      <c r="L119" s="3">
        <f t="shared" si="13"/>
        <v>0</v>
      </c>
      <c r="M119" s="3">
        <f t="shared" si="8"/>
        <v>0</v>
      </c>
      <c r="R119" t="str">
        <f>IF(G119=0,"",_xlfn.XLOOKUP(G119,List_item!A:A,List_item!B:B))</f>
        <v/>
      </c>
      <c r="S119" s="44" t="s">
        <v>2213</v>
      </c>
      <c r="T119" s="45">
        <v>30000</v>
      </c>
      <c r="U119" s="44" t="s">
        <v>9</v>
      </c>
      <c r="V119" s="44"/>
      <c r="W119" s="45"/>
      <c r="X119" s="45"/>
      <c r="Y119" s="45"/>
      <c r="Z119" s="45">
        <v>0</v>
      </c>
      <c r="AA119" s="54">
        <f t="shared" si="9"/>
        <v>0</v>
      </c>
      <c r="AB119" s="52">
        <f t="shared" si="16"/>
        <v>0</v>
      </c>
      <c r="AC119" s="53">
        <f t="shared" si="11"/>
        <v>0</v>
      </c>
      <c r="AD119" s="52">
        <f t="shared" si="14"/>
        <v>0</v>
      </c>
      <c r="AE119" s="52">
        <f t="shared" si="12"/>
        <v>0</v>
      </c>
      <c r="AF119" s="45"/>
    </row>
    <row r="120" spans="1:32" ht="16" x14ac:dyDescent="0.4">
      <c r="A120" t="s">
        <v>2214</v>
      </c>
      <c r="B120" s="2">
        <f>_xlfn.XLOOKUP(A57,Sheet5!E:E,Sheet5!F:F)</f>
        <v>20000</v>
      </c>
      <c r="C120" t="s">
        <v>9</v>
      </c>
      <c r="H120" s="2">
        <v>0</v>
      </c>
      <c r="I120" s="26">
        <f t="shared" si="5"/>
        <v>0</v>
      </c>
      <c r="J120" s="3">
        <f t="shared" si="15"/>
        <v>0</v>
      </c>
      <c r="K120" s="31">
        <f t="shared" si="7"/>
        <v>0</v>
      </c>
      <c r="L120" s="3">
        <f t="shared" si="13"/>
        <v>0</v>
      </c>
      <c r="M120" s="3">
        <f t="shared" si="8"/>
        <v>0</v>
      </c>
      <c r="R120" t="str">
        <f>IF(G120=0,"",_xlfn.XLOOKUP(G120,List_item!A:A,List_item!B:B))</f>
        <v/>
      </c>
      <c r="S120" s="44" t="s">
        <v>2214</v>
      </c>
      <c r="T120" s="45">
        <v>30000</v>
      </c>
      <c r="U120" s="44" t="s">
        <v>9</v>
      </c>
      <c r="V120" s="44"/>
      <c r="W120" s="45"/>
      <c r="X120" s="45"/>
      <c r="Y120" s="45"/>
      <c r="Z120" s="45">
        <v>0</v>
      </c>
      <c r="AA120" s="54">
        <f t="shared" si="9"/>
        <v>0</v>
      </c>
      <c r="AB120" s="52">
        <f t="shared" si="16"/>
        <v>0</v>
      </c>
      <c r="AC120" s="53">
        <f t="shared" si="11"/>
        <v>0</v>
      </c>
      <c r="AD120" s="52">
        <f t="shared" si="14"/>
        <v>0</v>
      </c>
      <c r="AE120" s="52">
        <f t="shared" si="12"/>
        <v>0</v>
      </c>
      <c r="AF120" s="45"/>
    </row>
    <row r="121" spans="1:32" ht="16" x14ac:dyDescent="0.4">
      <c r="A121" t="s">
        <v>2215</v>
      </c>
      <c r="B121" s="2">
        <f>_xlfn.XLOOKUP(A58,Sheet5!E:E,Sheet5!F:F)</f>
        <v>20000</v>
      </c>
      <c r="C121" t="s">
        <v>9</v>
      </c>
      <c r="H121" s="2">
        <v>0</v>
      </c>
      <c r="I121" s="26">
        <f t="shared" si="5"/>
        <v>0</v>
      </c>
      <c r="J121" s="3">
        <f t="shared" si="15"/>
        <v>0</v>
      </c>
      <c r="K121" s="31">
        <f t="shared" si="7"/>
        <v>0</v>
      </c>
      <c r="L121" s="3">
        <f t="shared" si="13"/>
        <v>0</v>
      </c>
      <c r="M121" s="3">
        <f t="shared" si="8"/>
        <v>0</v>
      </c>
      <c r="R121" t="str">
        <f>IF(G121=0,"",_xlfn.XLOOKUP(G121,List_item!A:A,List_item!B:B))</f>
        <v/>
      </c>
      <c r="S121" s="44" t="s">
        <v>2215</v>
      </c>
      <c r="T121" s="45">
        <v>30000</v>
      </c>
      <c r="U121" s="44" t="s">
        <v>9</v>
      </c>
      <c r="V121" s="44"/>
      <c r="W121" s="45"/>
      <c r="X121" s="45"/>
      <c r="Y121" s="45"/>
      <c r="Z121" s="45">
        <v>0</v>
      </c>
      <c r="AA121" s="54">
        <f t="shared" si="9"/>
        <v>0</v>
      </c>
      <c r="AB121" s="52">
        <f t="shared" si="16"/>
        <v>0</v>
      </c>
      <c r="AC121" s="53">
        <f t="shared" si="11"/>
        <v>0</v>
      </c>
      <c r="AD121" s="52">
        <f t="shared" si="14"/>
        <v>0</v>
      </c>
      <c r="AE121" s="52">
        <f t="shared" si="12"/>
        <v>0</v>
      </c>
      <c r="AF121" s="45"/>
    </row>
    <row r="122" spans="1:32" ht="16" x14ac:dyDescent="0.4">
      <c r="A122" t="s">
        <v>2216</v>
      </c>
      <c r="B122" s="2">
        <f>_xlfn.XLOOKUP(A59,Sheet5!E:E,Sheet5!F:F)</f>
        <v>20000</v>
      </c>
      <c r="C122" t="s">
        <v>9</v>
      </c>
      <c r="H122" s="2">
        <v>0</v>
      </c>
      <c r="I122" s="26">
        <f t="shared" si="5"/>
        <v>0</v>
      </c>
      <c r="J122" s="3">
        <f t="shared" si="15"/>
        <v>0</v>
      </c>
      <c r="K122" s="31">
        <f t="shared" si="7"/>
        <v>0</v>
      </c>
      <c r="L122" s="3">
        <f t="shared" si="13"/>
        <v>0</v>
      </c>
      <c r="M122" s="3">
        <f t="shared" si="8"/>
        <v>0</v>
      </c>
      <c r="R122" t="str">
        <f>IF(G122=0,"",_xlfn.XLOOKUP(G122,List_item!A:A,List_item!B:B))</f>
        <v/>
      </c>
      <c r="S122" s="44" t="s">
        <v>2216</v>
      </c>
      <c r="T122" s="45">
        <v>30000</v>
      </c>
      <c r="U122" s="44" t="s">
        <v>9</v>
      </c>
      <c r="V122" s="44"/>
      <c r="W122" s="45"/>
      <c r="X122" s="45"/>
      <c r="Y122" s="45"/>
      <c r="Z122" s="45">
        <v>0</v>
      </c>
      <c r="AA122" s="54">
        <f t="shared" si="9"/>
        <v>0</v>
      </c>
      <c r="AB122" s="52">
        <f t="shared" si="16"/>
        <v>0</v>
      </c>
      <c r="AC122" s="53">
        <f t="shared" si="11"/>
        <v>0</v>
      </c>
      <c r="AD122" s="52">
        <f t="shared" si="14"/>
        <v>0</v>
      </c>
      <c r="AE122" s="52">
        <f t="shared" si="12"/>
        <v>0</v>
      </c>
      <c r="AF122" s="45"/>
    </row>
    <row r="123" spans="1:32" ht="16" x14ac:dyDescent="0.4">
      <c r="A123" t="s">
        <v>2217</v>
      </c>
      <c r="B123" s="2">
        <f>_xlfn.XLOOKUP(A60,Sheet5!E:E,Sheet5!F:F)</f>
        <v>20000</v>
      </c>
      <c r="C123" t="s">
        <v>9</v>
      </c>
      <c r="H123" s="2">
        <v>0</v>
      </c>
      <c r="I123" s="26">
        <f t="shared" si="5"/>
        <v>0</v>
      </c>
      <c r="J123" s="3">
        <f t="shared" si="15"/>
        <v>0</v>
      </c>
      <c r="K123" s="31">
        <f t="shared" si="7"/>
        <v>0</v>
      </c>
      <c r="L123" s="3">
        <f t="shared" si="13"/>
        <v>0</v>
      </c>
      <c r="M123" s="3">
        <f t="shared" si="8"/>
        <v>0</v>
      </c>
      <c r="R123" t="str">
        <f>IF(G123=0,"",_xlfn.XLOOKUP(G123,List_item!A:A,List_item!B:B))</f>
        <v/>
      </c>
      <c r="S123" s="44" t="s">
        <v>2217</v>
      </c>
      <c r="T123" s="45">
        <v>30000</v>
      </c>
      <c r="U123" s="44" t="s">
        <v>9</v>
      </c>
      <c r="V123" s="44"/>
      <c r="W123" s="45"/>
      <c r="X123" s="45"/>
      <c r="Y123" s="45"/>
      <c r="Z123" s="45">
        <v>0</v>
      </c>
      <c r="AA123" s="54">
        <f t="shared" si="9"/>
        <v>0</v>
      </c>
      <c r="AB123" s="52">
        <f t="shared" si="16"/>
        <v>0</v>
      </c>
      <c r="AC123" s="53">
        <f t="shared" si="11"/>
        <v>0</v>
      </c>
      <c r="AD123" s="52">
        <f t="shared" si="14"/>
        <v>0</v>
      </c>
      <c r="AE123" s="52">
        <f t="shared" si="12"/>
        <v>0</v>
      </c>
      <c r="AF123" s="45"/>
    </row>
    <row r="124" spans="1:32" ht="16" x14ac:dyDescent="0.4">
      <c r="A124" t="s">
        <v>2218</v>
      </c>
      <c r="B124" s="2">
        <f>_xlfn.XLOOKUP(A61,Sheet5!E:E,Sheet5!F:F)</f>
        <v>0</v>
      </c>
      <c r="C124" t="s">
        <v>9</v>
      </c>
      <c r="H124" s="2">
        <v>0</v>
      </c>
      <c r="I124" s="26">
        <f t="shared" si="5"/>
        <v>0</v>
      </c>
      <c r="J124" s="3">
        <f t="shared" si="15"/>
        <v>0</v>
      </c>
      <c r="K124" s="31">
        <f t="shared" si="7"/>
        <v>0</v>
      </c>
      <c r="L124" s="3">
        <f t="shared" si="13"/>
        <v>0</v>
      </c>
      <c r="M124" s="3">
        <f t="shared" si="8"/>
        <v>0</v>
      </c>
      <c r="S124" s="44" t="s">
        <v>2218</v>
      </c>
      <c r="T124" s="45">
        <v>30000</v>
      </c>
      <c r="U124" s="44" t="s">
        <v>9</v>
      </c>
      <c r="V124" s="44"/>
      <c r="W124" s="45"/>
      <c r="X124" s="45"/>
      <c r="Y124" s="45"/>
      <c r="Z124" s="45">
        <v>0</v>
      </c>
      <c r="AA124" s="54">
        <f t="shared" si="9"/>
        <v>0</v>
      </c>
      <c r="AB124" s="52">
        <f t="shared" si="16"/>
        <v>0</v>
      </c>
      <c r="AC124" s="53">
        <f t="shared" si="11"/>
        <v>0</v>
      </c>
      <c r="AD124" s="52">
        <f t="shared" si="14"/>
        <v>0</v>
      </c>
      <c r="AE124" s="52">
        <f t="shared" si="12"/>
        <v>0</v>
      </c>
      <c r="AF124" s="45"/>
    </row>
    <row r="128" spans="1:32" x14ac:dyDescent="0.35">
      <c r="H128" s="39">
        <f>+H129/E133</f>
        <v>0.69997142857142869</v>
      </c>
    </row>
    <row r="129" spans="1:18" x14ac:dyDescent="0.35">
      <c r="A129" s="8" t="s">
        <v>3830</v>
      </c>
      <c r="B129" s="19"/>
      <c r="C129" s="18"/>
      <c r="E129" s="18" t="s">
        <v>3824</v>
      </c>
      <c r="F129" s="2">
        <f>F133/E133</f>
        <v>16600</v>
      </c>
      <c r="H129" s="40">
        <f>+SUM(H134:H162)+SUM(H172:H180)</f>
        <v>7349.7000000000007</v>
      </c>
      <c r="J129" s="19" t="s">
        <v>2176</v>
      </c>
      <c r="K129" s="28">
        <f>SUM(J134:J188)/L133-1</f>
        <v>0.16263166953528407</v>
      </c>
    </row>
    <row r="130" spans="1:18" x14ac:dyDescent="0.35">
      <c r="A130" s="170" t="s">
        <v>27</v>
      </c>
      <c r="B130" s="165" t="s">
        <v>2163</v>
      </c>
      <c r="C130" s="170" t="s">
        <v>4</v>
      </c>
      <c r="D130" s="1"/>
      <c r="E130" s="171" t="s">
        <v>28</v>
      </c>
      <c r="F130" s="165" t="s">
        <v>6</v>
      </c>
      <c r="G130" s="165" t="s">
        <v>29</v>
      </c>
      <c r="H130" s="165" t="s">
        <v>5</v>
      </c>
      <c r="I130" s="165" t="s">
        <v>2177</v>
      </c>
      <c r="J130" s="165" t="s">
        <v>2180</v>
      </c>
      <c r="K130" s="166" t="s">
        <v>3827</v>
      </c>
      <c r="L130" s="167" t="s">
        <v>2173</v>
      </c>
      <c r="M130" s="165" t="s">
        <v>2172</v>
      </c>
      <c r="N130" s="165" t="s">
        <v>3826</v>
      </c>
      <c r="O130" s="165" t="s">
        <v>3841</v>
      </c>
    </row>
    <row r="131" spans="1:18" x14ac:dyDescent="0.35">
      <c r="A131" s="170"/>
      <c r="B131" s="165"/>
      <c r="C131" s="170"/>
      <c r="D131" s="1"/>
      <c r="E131" s="171"/>
      <c r="F131" s="165"/>
      <c r="G131" s="165"/>
      <c r="H131" s="165"/>
      <c r="I131" s="165"/>
      <c r="J131" s="165"/>
      <c r="K131" s="166"/>
      <c r="L131" s="168"/>
      <c r="M131" s="165"/>
      <c r="N131" s="165"/>
      <c r="O131" s="165"/>
    </row>
    <row r="132" spans="1:18" x14ac:dyDescent="0.35">
      <c r="A132" s="170"/>
      <c r="B132" s="165"/>
      <c r="C132" s="170"/>
      <c r="D132" s="1"/>
      <c r="E132" s="171"/>
      <c r="F132" s="165"/>
      <c r="G132" s="165"/>
      <c r="H132" s="165"/>
      <c r="I132" s="165"/>
      <c r="J132" s="165"/>
      <c r="K132" s="166"/>
      <c r="L132" s="169"/>
      <c r="M132" s="165"/>
      <c r="N132" s="165"/>
      <c r="O132" s="165"/>
    </row>
    <row r="133" spans="1:18" x14ac:dyDescent="0.35">
      <c r="A133" s="4"/>
      <c r="B133" s="24"/>
      <c r="C133" s="4"/>
      <c r="D133" s="1"/>
      <c r="E133" s="5">
        <v>10500</v>
      </c>
      <c r="F133" s="5">
        <f>+E133*16600</f>
        <v>174300000</v>
      </c>
      <c r="G133" s="5"/>
      <c r="H133" s="5"/>
      <c r="I133" s="5"/>
      <c r="J133" s="5">
        <f>+SUM(J134:J188)</f>
        <v>202646700</v>
      </c>
      <c r="K133" s="5"/>
      <c r="L133" s="5">
        <f>+SUM(L134:L188)</f>
        <v>174300000</v>
      </c>
      <c r="M133" s="5">
        <f>+F133-L133</f>
        <v>0</v>
      </c>
      <c r="O133" s="2">
        <v>14700000</v>
      </c>
      <c r="P133" t="s">
        <v>3843</v>
      </c>
    </row>
    <row r="134" spans="1:18" x14ac:dyDescent="0.35">
      <c r="A134" t="s">
        <v>3828</v>
      </c>
      <c r="B134" s="2">
        <f>_xlfn.XLOOKUP(A7,Sheet5!E:E,Sheet5!F:F)</f>
        <v>28000</v>
      </c>
      <c r="C134" t="s">
        <v>9</v>
      </c>
      <c r="D134" s="1"/>
      <c r="E134" s="5"/>
      <c r="F134" s="5"/>
      <c r="G134" s="3" t="s">
        <v>3789</v>
      </c>
      <c r="H134" s="31">
        <v>29.9</v>
      </c>
      <c r="I134" s="26">
        <f>IF(F134/E$133&gt;0,F134/E$133,H134/E$133)</f>
        <v>2.8476190476190476E-3</v>
      </c>
      <c r="J134" s="31">
        <f>+B134*(F134+H134)</f>
        <v>837200</v>
      </c>
      <c r="K134" s="31">
        <f>IFERROR(((J134/SUM($J$134:$J$188))*$F$133)/(F134+H134),0)</f>
        <v>24083.293732392387</v>
      </c>
      <c r="L134" s="31">
        <f>+K134*(F134+H134)</f>
        <v>720090.48259853234</v>
      </c>
      <c r="M134" s="31">
        <f>IF(K134=0,0,B134-K134)</f>
        <v>3916.706267607613</v>
      </c>
      <c r="R134" t="str">
        <f>IF(G134=0,"",_xlfn.XLOOKUP(G134,List_item!A:A,List_item!B:B))</f>
        <v>Karkas Uk 0.4 Karkas Uk 0.4 Frozen Premium</v>
      </c>
    </row>
    <row r="135" spans="1:18" x14ac:dyDescent="0.35">
      <c r="A135" t="s">
        <v>2182</v>
      </c>
      <c r="B135" s="2">
        <f>_xlfn.XLOOKUP(A8,Sheet5!E:E,Sheet5!F:F)</f>
        <v>28000</v>
      </c>
      <c r="C135" t="s">
        <v>9</v>
      </c>
      <c r="G135" s="3" t="s">
        <v>2219</v>
      </c>
      <c r="H135" s="3">
        <v>125.1</v>
      </c>
      <c r="I135" s="26">
        <f t="shared" ref="I135:I188" si="17">IF(F135/E$133&gt;0,F135/E$133,H135/E$133)</f>
        <v>1.1914285714285714E-2</v>
      </c>
      <c r="J135" s="3">
        <f t="shared" ref="J135:J151" si="18">+B135*(F135+H135)</f>
        <v>3502800</v>
      </c>
      <c r="K135" s="31">
        <f t="shared" ref="K135:K188" si="19">IFERROR(((J135/SUM($J$134:$J$188))*$F$133)/(F135+H135),0)</f>
        <v>24083.293732392391</v>
      </c>
      <c r="L135" s="3">
        <f>+K135*(F135+H135)</f>
        <v>3012820.0459222877</v>
      </c>
      <c r="M135" s="3">
        <f t="shared" ref="M135:M188" si="20">IF(K135=0,0,B135-K135)</f>
        <v>3916.7062676076093</v>
      </c>
      <c r="R135" t="str">
        <f>IF(G135=0,"",_xlfn.XLOOKUP(G135,List_item!A:A,List_item!B:B))</f>
        <v>Karkas Uk 0.5 Karkas Uk 0.5 Frozen Premium</v>
      </c>
    </row>
    <row r="136" spans="1:18" x14ac:dyDescent="0.35">
      <c r="A136" t="s">
        <v>2183</v>
      </c>
      <c r="B136" s="2">
        <f>_xlfn.XLOOKUP(A9,Sheet5!E:E,Sheet5!F:F)</f>
        <v>28000</v>
      </c>
      <c r="C136" t="s">
        <v>9</v>
      </c>
      <c r="G136" s="3" t="s">
        <v>2220</v>
      </c>
      <c r="H136" s="2">
        <v>372.9</v>
      </c>
      <c r="I136" s="26">
        <f t="shared" si="17"/>
        <v>3.5514285714285714E-2</v>
      </c>
      <c r="J136" s="3">
        <f t="shared" si="18"/>
        <v>10441200</v>
      </c>
      <c r="K136" s="31">
        <f t="shared" si="19"/>
        <v>24083.293732392387</v>
      </c>
      <c r="L136" s="3">
        <f t="shared" ref="L136:L188" si="21">+K136*(F136+H136)</f>
        <v>8980660.2328091208</v>
      </c>
      <c r="M136" s="3">
        <f t="shared" si="20"/>
        <v>3916.706267607613</v>
      </c>
      <c r="R136" t="str">
        <f>IF(G136=0,"",_xlfn.XLOOKUP(G136,List_item!A:A,List_item!B:B))</f>
        <v>Karkas Uk 0.6 Karkas Uk 0.6 Frozen Premium</v>
      </c>
    </row>
    <row r="137" spans="1:18" x14ac:dyDescent="0.35">
      <c r="A137" t="s">
        <v>2184</v>
      </c>
      <c r="B137" s="2">
        <f>_xlfn.XLOOKUP(A10,Sheet5!E:E,Sheet5!F:F)</f>
        <v>28000</v>
      </c>
      <c r="C137" t="s">
        <v>9</v>
      </c>
      <c r="E137" s="3"/>
      <c r="G137" s="3" t="s">
        <v>2221</v>
      </c>
      <c r="H137" s="3">
        <v>829.1</v>
      </c>
      <c r="I137" s="26">
        <f t="shared" si="17"/>
        <v>7.8961904761904761E-2</v>
      </c>
      <c r="J137" s="3">
        <f t="shared" si="18"/>
        <v>23214800</v>
      </c>
      <c r="K137" s="31">
        <f t="shared" si="19"/>
        <v>24083.293732392383</v>
      </c>
      <c r="L137" s="3">
        <f t="shared" si="21"/>
        <v>19967458.833526526</v>
      </c>
      <c r="M137" s="3">
        <f t="shared" si="20"/>
        <v>3916.7062676076166</v>
      </c>
      <c r="R137" t="str">
        <f>IF(G137=0,"",_xlfn.XLOOKUP(G137,List_item!A:A,List_item!B:B))</f>
        <v>Karkas Uk 0.7 Karkas Uk 0.7 Frozen Premium</v>
      </c>
    </row>
    <row r="138" spans="1:18" x14ac:dyDescent="0.35">
      <c r="A138" t="s">
        <v>2185</v>
      </c>
      <c r="B138" s="2">
        <f>_xlfn.XLOOKUP(A11,Sheet5!E:E,Sheet5!F:F)</f>
        <v>28000</v>
      </c>
      <c r="C138" t="s">
        <v>9</v>
      </c>
      <c r="G138" s="3" t="s">
        <v>2222</v>
      </c>
      <c r="H138" s="2">
        <v>1222.8</v>
      </c>
      <c r="I138" s="26">
        <f t="shared" si="17"/>
        <v>0.11645714285714286</v>
      </c>
      <c r="J138" s="3">
        <f t="shared" si="18"/>
        <v>34238400</v>
      </c>
      <c r="K138" s="31">
        <f t="shared" si="19"/>
        <v>24083.293732392387</v>
      </c>
      <c r="L138" s="3">
        <f t="shared" si="21"/>
        <v>29449051.575969409</v>
      </c>
      <c r="M138" s="3">
        <f t="shared" si="20"/>
        <v>3916.706267607613</v>
      </c>
      <c r="R138" t="str">
        <f>IF(G138=0,"",_xlfn.XLOOKUP(G138,List_item!A:A,List_item!B:B))</f>
        <v>Karkas Uk 0.8 Frozen Premium</v>
      </c>
    </row>
    <row r="139" spans="1:18" x14ac:dyDescent="0.35">
      <c r="A139" t="s">
        <v>2186</v>
      </c>
      <c r="B139" s="3">
        <f>_xlfn.XLOOKUP(A12,Sheet5!E:E,Sheet5!F:F)</f>
        <v>26500</v>
      </c>
      <c r="C139" t="s">
        <v>9</v>
      </c>
      <c r="E139"/>
      <c r="F139"/>
      <c r="G139" s="3" t="s">
        <v>2223</v>
      </c>
      <c r="H139" s="3">
        <v>1617</v>
      </c>
      <c r="I139" s="26">
        <f t="shared" si="17"/>
        <v>0.154</v>
      </c>
      <c r="J139" s="3">
        <f t="shared" si="18"/>
        <v>42850500</v>
      </c>
      <c r="K139" s="31">
        <f t="shared" si="19"/>
        <v>22793.117282442796</v>
      </c>
      <c r="L139" s="3">
        <f t="shared" si="21"/>
        <v>36856470.645709999</v>
      </c>
      <c r="M139" s="3">
        <f t="shared" si="20"/>
        <v>3706.8827175572042</v>
      </c>
      <c r="N139" s="3"/>
      <c r="R139" t="str">
        <f>IF(G139=0,"",_xlfn.XLOOKUP(G139,List_item!A:A,List_item!B:B))</f>
        <v>Karkas Uk 0.9 Frozen Premium</v>
      </c>
    </row>
    <row r="140" spans="1:18" x14ac:dyDescent="0.35">
      <c r="A140" t="s">
        <v>2187</v>
      </c>
      <c r="B140" s="3">
        <f>_xlfn.XLOOKUP(A13,Sheet5!E:E,Sheet5!F:F)</f>
        <v>26500</v>
      </c>
      <c r="C140" t="s">
        <v>9</v>
      </c>
      <c r="E140" s="3"/>
      <c r="F140"/>
      <c r="G140" s="3" t="s">
        <v>896</v>
      </c>
      <c r="H140" s="3">
        <v>995.5</v>
      </c>
      <c r="I140" s="26">
        <f t="shared" si="17"/>
        <v>9.4809523809523816E-2</v>
      </c>
      <c r="J140" s="3">
        <f t="shared" si="18"/>
        <v>26380750</v>
      </c>
      <c r="K140" s="31">
        <f t="shared" si="19"/>
        <v>22793.117282442792</v>
      </c>
      <c r="L140" s="3">
        <f t="shared" si="21"/>
        <v>22690548.254671801</v>
      </c>
      <c r="M140" s="3">
        <f t="shared" si="20"/>
        <v>3706.8827175572078</v>
      </c>
      <c r="N140" s="3"/>
      <c r="R140" t="str">
        <f>IF(G140=0,"",_xlfn.XLOOKUP(G140,List_item!A:A,List_item!B:B))</f>
        <v>Karkas Uk 1.0 Karkas Uk 1.0 Frozen Grade A</v>
      </c>
    </row>
    <row r="141" spans="1:18" x14ac:dyDescent="0.35">
      <c r="A141" t="s">
        <v>2188</v>
      </c>
      <c r="B141" s="3">
        <f>_xlfn.XLOOKUP(A14,Sheet5!E:E,Sheet5!F:F)</f>
        <v>26500</v>
      </c>
      <c r="C141" t="s">
        <v>9</v>
      </c>
      <c r="E141" s="6"/>
      <c r="F141"/>
      <c r="G141" s="3" t="s">
        <v>989</v>
      </c>
      <c r="H141" s="3">
        <v>743.3</v>
      </c>
      <c r="I141" s="26">
        <f t="shared" si="17"/>
        <v>7.0790476190476181E-2</v>
      </c>
      <c r="J141" s="3">
        <f t="shared" si="18"/>
        <v>19697450</v>
      </c>
      <c r="K141" s="31">
        <f t="shared" si="19"/>
        <v>22793.117282442796</v>
      </c>
      <c r="L141" s="3">
        <f t="shared" si="21"/>
        <v>16942124.076039728</v>
      </c>
      <c r="M141" s="3">
        <f t="shared" si="20"/>
        <v>3706.8827175572042</v>
      </c>
      <c r="N141" s="3"/>
      <c r="R141" t="str">
        <f>IF(G141=0,"",_xlfn.XLOOKUP(G141,List_item!A:A,List_item!B:B))</f>
        <v>Karkas Uk 1.1 Karkas Uk 1.1 Frozen Premium</v>
      </c>
    </row>
    <row r="142" spans="1:18" x14ac:dyDescent="0.35">
      <c r="A142" t="s">
        <v>2189</v>
      </c>
      <c r="B142" s="3">
        <f>_xlfn.XLOOKUP(A15,Sheet5!E:E,Sheet5!F:F)</f>
        <v>26500</v>
      </c>
      <c r="C142" t="s">
        <v>9</v>
      </c>
      <c r="E142" s="3"/>
      <c r="F142" s="3"/>
      <c r="G142" s="3" t="s">
        <v>1055</v>
      </c>
      <c r="H142" s="3">
        <v>224.2</v>
      </c>
      <c r="I142" s="26">
        <f t="shared" si="17"/>
        <v>2.1352380952380953E-2</v>
      </c>
      <c r="J142" s="3">
        <f t="shared" si="18"/>
        <v>5941300</v>
      </c>
      <c r="K142" s="31">
        <f t="shared" si="19"/>
        <v>22793.117282442796</v>
      </c>
      <c r="L142" s="3">
        <f t="shared" si="21"/>
        <v>5110216.8947236743</v>
      </c>
      <c r="M142" s="3">
        <f t="shared" si="20"/>
        <v>3706.8827175572042</v>
      </c>
      <c r="N142" s="3"/>
      <c r="R142" t="str">
        <f>IF(G142=0,"",_xlfn.XLOOKUP(G142,List_item!A:A,List_item!B:B))</f>
        <v>Karkas Uk 1.2 Karkas Uk 1.2 Frozen Premium</v>
      </c>
    </row>
    <row r="143" spans="1:18" x14ac:dyDescent="0.35">
      <c r="A143" t="s">
        <v>2190</v>
      </c>
      <c r="B143" s="2">
        <f>_xlfn.XLOOKUP(A16,Sheet5!E:E,Sheet5!F:F)</f>
        <v>26500</v>
      </c>
      <c r="C143" t="s">
        <v>9</v>
      </c>
      <c r="G143" s="3" t="s">
        <v>1121</v>
      </c>
      <c r="H143" s="2">
        <v>43</v>
      </c>
      <c r="I143" s="26">
        <f t="shared" si="17"/>
        <v>4.0952380952380954E-3</v>
      </c>
      <c r="J143" s="3">
        <f t="shared" si="18"/>
        <v>1139500</v>
      </c>
      <c r="K143" s="31">
        <f t="shared" si="19"/>
        <v>22793.117282442792</v>
      </c>
      <c r="L143" s="3">
        <f t="shared" si="21"/>
        <v>980104.04314504005</v>
      </c>
      <c r="M143" s="3">
        <f t="shared" si="20"/>
        <v>3706.8827175572078</v>
      </c>
      <c r="R143" t="str">
        <f>IF(G143=0,"",_xlfn.XLOOKUP(G143,List_item!A:A,List_item!B:B))</f>
        <v>Karkas Uk 1.3 Karkas Uk 1.3 Frozen Premium</v>
      </c>
    </row>
    <row r="144" spans="1:18" x14ac:dyDescent="0.35">
      <c r="A144" t="s">
        <v>2191</v>
      </c>
      <c r="B144" s="2">
        <f>_xlfn.XLOOKUP(A17,Sheet5!E:E,Sheet5!F:F)</f>
        <v>26500</v>
      </c>
      <c r="C144" t="s">
        <v>9</v>
      </c>
      <c r="G144" s="3"/>
      <c r="H144" s="2">
        <v>0</v>
      </c>
      <c r="I144" s="26">
        <f t="shared" si="17"/>
        <v>0</v>
      </c>
      <c r="J144" s="3">
        <f t="shared" si="18"/>
        <v>0</v>
      </c>
      <c r="K144" s="31">
        <f t="shared" si="19"/>
        <v>0</v>
      </c>
      <c r="L144" s="3">
        <f t="shared" si="21"/>
        <v>0</v>
      </c>
      <c r="M144" s="3">
        <f t="shared" si="20"/>
        <v>0</v>
      </c>
      <c r="R144" t="str">
        <f>IF(G144=0,"",_xlfn.XLOOKUP(G144,List_item!A:A,List_item!B:B))</f>
        <v/>
      </c>
    </row>
    <row r="145" spans="1:18" x14ac:dyDescent="0.35">
      <c r="A145" t="s">
        <v>2192</v>
      </c>
      <c r="B145" s="2">
        <f>_xlfn.XLOOKUP(A18,Sheet5!E:E,Sheet5!F:F)</f>
        <v>26500</v>
      </c>
      <c r="C145" t="s">
        <v>9</v>
      </c>
      <c r="E145" s="3"/>
      <c r="G145" s="3"/>
      <c r="H145" s="3">
        <v>0</v>
      </c>
      <c r="I145" s="26">
        <f t="shared" si="17"/>
        <v>0</v>
      </c>
      <c r="J145" s="3">
        <f t="shared" si="18"/>
        <v>0</v>
      </c>
      <c r="K145" s="31">
        <f t="shared" si="19"/>
        <v>0</v>
      </c>
      <c r="L145" s="3">
        <f t="shared" si="21"/>
        <v>0</v>
      </c>
      <c r="M145" s="3">
        <f t="shared" si="20"/>
        <v>0</v>
      </c>
      <c r="R145" t="str">
        <f>IF(G145=0,"",_xlfn.XLOOKUP(G145,List_item!A:A,List_item!B:B))</f>
        <v/>
      </c>
    </row>
    <row r="146" spans="1:18" x14ac:dyDescent="0.35">
      <c r="A146" t="s">
        <v>2193</v>
      </c>
      <c r="B146" s="2">
        <f>_xlfn.XLOOKUP(A19,Sheet5!E:E,Sheet5!F:F)</f>
        <v>26500</v>
      </c>
      <c r="C146" t="s">
        <v>9</v>
      </c>
      <c r="G146" s="3"/>
      <c r="H146" s="2">
        <v>0</v>
      </c>
      <c r="I146" s="26">
        <f t="shared" si="17"/>
        <v>0</v>
      </c>
      <c r="J146" s="3">
        <f t="shared" si="18"/>
        <v>0</v>
      </c>
      <c r="K146" s="31">
        <f t="shared" si="19"/>
        <v>0</v>
      </c>
      <c r="L146" s="3">
        <f t="shared" si="21"/>
        <v>0</v>
      </c>
      <c r="M146" s="3">
        <f t="shared" si="20"/>
        <v>0</v>
      </c>
      <c r="R146" t="str">
        <f>IF(G146=0,"",_xlfn.XLOOKUP(G146,List_item!A:A,List_item!B:B))</f>
        <v/>
      </c>
    </row>
    <row r="147" spans="1:18" x14ac:dyDescent="0.35">
      <c r="A147" t="s">
        <v>2194</v>
      </c>
      <c r="B147" s="2">
        <f>_xlfn.XLOOKUP(A20,Sheet5!E:E,Sheet5!F:F)</f>
        <v>26500</v>
      </c>
      <c r="C147" t="s">
        <v>9</v>
      </c>
      <c r="E147" s="3"/>
      <c r="G147" s="3"/>
      <c r="H147" s="3">
        <v>0</v>
      </c>
      <c r="I147" s="26">
        <f t="shared" si="17"/>
        <v>0</v>
      </c>
      <c r="J147" s="3">
        <f t="shared" si="18"/>
        <v>0</v>
      </c>
      <c r="K147" s="31">
        <f t="shared" si="19"/>
        <v>0</v>
      </c>
      <c r="L147" s="3">
        <f t="shared" si="21"/>
        <v>0</v>
      </c>
      <c r="M147" s="3">
        <f t="shared" si="20"/>
        <v>0</v>
      </c>
      <c r="R147" t="str">
        <f>IF(G147=0,"",_xlfn.XLOOKUP(G147,List_item!A:A,List_item!B:B))</f>
        <v/>
      </c>
    </row>
    <row r="148" spans="1:18" x14ac:dyDescent="0.35">
      <c r="A148" t="s">
        <v>2195</v>
      </c>
      <c r="B148" s="2">
        <f>_xlfn.XLOOKUP(A21,Sheet5!E:E,Sheet5!F:F)</f>
        <v>26500</v>
      </c>
      <c r="C148" t="s">
        <v>9</v>
      </c>
      <c r="E148" s="3"/>
      <c r="G148" s="3"/>
      <c r="H148" s="3">
        <v>0</v>
      </c>
      <c r="I148" s="26">
        <f t="shared" si="17"/>
        <v>0</v>
      </c>
      <c r="J148" s="3">
        <f t="shared" si="18"/>
        <v>0</v>
      </c>
      <c r="K148" s="31">
        <f t="shared" si="19"/>
        <v>0</v>
      </c>
      <c r="L148" s="3">
        <f t="shared" si="21"/>
        <v>0</v>
      </c>
      <c r="M148" s="3">
        <f t="shared" si="20"/>
        <v>0</v>
      </c>
      <c r="R148" t="str">
        <f>IF(G148=0,"",_xlfn.XLOOKUP(G148,List_item!A:A,List_item!B:B))</f>
        <v/>
      </c>
    </row>
    <row r="149" spans="1:18" x14ac:dyDescent="0.35">
      <c r="A149" t="s">
        <v>2196</v>
      </c>
      <c r="B149" s="2">
        <f>_xlfn.XLOOKUP(A22,Sheet5!E:E,Sheet5!F:F)</f>
        <v>26500</v>
      </c>
      <c r="C149" t="s">
        <v>9</v>
      </c>
      <c r="G149" s="3"/>
      <c r="H149" s="2">
        <v>0</v>
      </c>
      <c r="I149" s="26">
        <f t="shared" si="17"/>
        <v>0</v>
      </c>
      <c r="J149" s="3">
        <f t="shared" si="18"/>
        <v>0</v>
      </c>
      <c r="K149" s="31">
        <f t="shared" si="19"/>
        <v>0</v>
      </c>
      <c r="L149" s="3">
        <f t="shared" si="21"/>
        <v>0</v>
      </c>
      <c r="M149" s="3">
        <f t="shared" si="20"/>
        <v>0</v>
      </c>
      <c r="R149" t="str">
        <f>IF(G149=0,"",_xlfn.XLOOKUP(G149,List_item!A:A,List_item!B:B))</f>
        <v/>
      </c>
    </row>
    <row r="150" spans="1:18" x14ac:dyDescent="0.35">
      <c r="A150" t="s">
        <v>2197</v>
      </c>
      <c r="B150" s="2">
        <f>_xlfn.XLOOKUP(A23,Sheet5!E:E,Sheet5!F:F)</f>
        <v>26500</v>
      </c>
      <c r="C150" t="s">
        <v>9</v>
      </c>
      <c r="E150" s="3"/>
      <c r="G150" s="3"/>
      <c r="H150" s="3">
        <v>0</v>
      </c>
      <c r="I150" s="26">
        <f t="shared" si="17"/>
        <v>0</v>
      </c>
      <c r="J150" s="3">
        <f t="shared" si="18"/>
        <v>0</v>
      </c>
      <c r="K150" s="31">
        <f t="shared" si="19"/>
        <v>0</v>
      </c>
      <c r="L150" s="3">
        <f t="shared" si="21"/>
        <v>0</v>
      </c>
      <c r="M150" s="3">
        <f t="shared" si="20"/>
        <v>0</v>
      </c>
      <c r="R150" t="str">
        <f>IF(G150=0,"",_xlfn.XLOOKUP(G150,List_item!A:A,List_item!B:B))</f>
        <v/>
      </c>
    </row>
    <row r="151" spans="1:18" x14ac:dyDescent="0.35">
      <c r="A151" t="s">
        <v>2198</v>
      </c>
      <c r="B151" s="2">
        <f>_xlfn.XLOOKUP(A24,Sheet5!E:E,Sheet5!F:F)</f>
        <v>36000</v>
      </c>
      <c r="C151" t="s">
        <v>9</v>
      </c>
      <c r="E151" s="3"/>
      <c r="F151" s="3"/>
      <c r="G151" s="3"/>
      <c r="H151" s="3">
        <v>0</v>
      </c>
      <c r="I151" s="26">
        <f t="shared" si="17"/>
        <v>0</v>
      </c>
      <c r="J151" s="3">
        <f t="shared" si="18"/>
        <v>0</v>
      </c>
      <c r="K151" s="31">
        <f t="shared" si="19"/>
        <v>0</v>
      </c>
      <c r="L151" s="3">
        <f t="shared" si="21"/>
        <v>0</v>
      </c>
      <c r="M151" s="3">
        <f t="shared" si="20"/>
        <v>0</v>
      </c>
      <c r="R151" t="str">
        <f>IF(G151=0,"",_xlfn.XLOOKUP(G151,List_item!A:A,List_item!B:B))</f>
        <v/>
      </c>
    </row>
    <row r="152" spans="1:18" x14ac:dyDescent="0.35">
      <c r="A152" t="s">
        <v>8</v>
      </c>
      <c r="B152" s="2">
        <f>_xlfn.XLOOKUP(A25,Sheet5!E:E,Sheet5!F:F)</f>
        <v>34000</v>
      </c>
      <c r="C152" t="s">
        <v>9</v>
      </c>
      <c r="H152" s="2">
        <v>0</v>
      </c>
      <c r="I152" s="26">
        <f t="shared" si="17"/>
        <v>0</v>
      </c>
      <c r="J152" s="3">
        <f>+B152*(F152+H152)</f>
        <v>0</v>
      </c>
      <c r="K152" s="31">
        <f t="shared" si="19"/>
        <v>0</v>
      </c>
      <c r="L152" s="3">
        <f t="shared" si="21"/>
        <v>0</v>
      </c>
      <c r="M152" s="3">
        <f t="shared" si="20"/>
        <v>0</v>
      </c>
      <c r="R152" t="str">
        <f>IF(G152=0,"",_xlfn.XLOOKUP(G152,List_item!A:A,List_item!B:B))</f>
        <v/>
      </c>
    </row>
    <row r="153" spans="1:18" x14ac:dyDescent="0.35">
      <c r="A153" t="s">
        <v>10</v>
      </c>
      <c r="B153" s="2">
        <f>_xlfn.XLOOKUP(A26,Sheet5!E:E,Sheet5!F:F)</f>
        <v>35000</v>
      </c>
      <c r="C153" t="s">
        <v>9</v>
      </c>
      <c r="H153" s="2">
        <v>0</v>
      </c>
      <c r="I153" s="26">
        <f t="shared" si="17"/>
        <v>0</v>
      </c>
      <c r="J153" s="3">
        <f t="shared" ref="J153:J188" si="22">+B153*(F153+H153)</f>
        <v>0</v>
      </c>
      <c r="K153" s="31">
        <f t="shared" si="19"/>
        <v>0</v>
      </c>
      <c r="L153" s="3">
        <f t="shared" si="21"/>
        <v>0</v>
      </c>
      <c r="M153" s="3">
        <f t="shared" si="20"/>
        <v>0</v>
      </c>
      <c r="R153" t="str">
        <f>IF(G153=0,"",_xlfn.XLOOKUP(G153,List_item!A:A,List_item!B:B))</f>
        <v/>
      </c>
    </row>
    <row r="154" spans="1:18" x14ac:dyDescent="0.35">
      <c r="A154" t="s">
        <v>12</v>
      </c>
      <c r="B154" s="2">
        <f>_xlfn.XLOOKUP(A27,Sheet5!E:E,Sheet5!F:F)</f>
        <v>8000</v>
      </c>
      <c r="C154" t="s">
        <v>9</v>
      </c>
      <c r="H154" s="2">
        <v>0</v>
      </c>
      <c r="I154" s="26">
        <f t="shared" si="17"/>
        <v>0</v>
      </c>
      <c r="J154" s="3">
        <f t="shared" si="22"/>
        <v>0</v>
      </c>
      <c r="K154" s="31">
        <f t="shared" si="19"/>
        <v>0</v>
      </c>
      <c r="L154" s="3">
        <f t="shared" si="21"/>
        <v>0</v>
      </c>
      <c r="M154" s="3">
        <f t="shared" si="20"/>
        <v>0</v>
      </c>
      <c r="R154" t="str">
        <f>IF(G154=0,"",_xlfn.XLOOKUP(G154,List_item!A:A,List_item!B:B))</f>
        <v/>
      </c>
    </row>
    <row r="155" spans="1:18" x14ac:dyDescent="0.35">
      <c r="A155" t="s">
        <v>2159</v>
      </c>
      <c r="B155" s="2">
        <f>_xlfn.XLOOKUP(A28,Sheet5!E:E,Sheet5!F:F)</f>
        <v>22000</v>
      </c>
      <c r="C155" t="s">
        <v>9</v>
      </c>
      <c r="H155" s="2">
        <v>0</v>
      </c>
      <c r="I155" s="26">
        <f t="shared" si="17"/>
        <v>0</v>
      </c>
      <c r="J155" s="3">
        <f t="shared" si="22"/>
        <v>0</v>
      </c>
      <c r="K155" s="31">
        <f t="shared" si="19"/>
        <v>0</v>
      </c>
      <c r="L155" s="3">
        <f t="shared" si="21"/>
        <v>0</v>
      </c>
      <c r="M155" s="3">
        <f t="shared" si="20"/>
        <v>0</v>
      </c>
      <c r="R155" t="str">
        <f>IF(G155=0,"",_xlfn.XLOOKUP(G155,List_item!A:A,List_item!B:B))</f>
        <v/>
      </c>
    </row>
    <row r="156" spans="1:18" x14ac:dyDescent="0.35">
      <c r="A156" t="s">
        <v>2178</v>
      </c>
      <c r="B156" s="2">
        <f>_xlfn.XLOOKUP(A29,Sheet5!E:E,Sheet5!F:F)</f>
        <v>22000</v>
      </c>
      <c r="C156" t="s">
        <v>9</v>
      </c>
      <c r="H156" s="2">
        <v>0</v>
      </c>
      <c r="I156" s="26">
        <f t="shared" si="17"/>
        <v>0</v>
      </c>
      <c r="J156" s="3">
        <f t="shared" si="22"/>
        <v>0</v>
      </c>
      <c r="K156" s="31">
        <f t="shared" si="19"/>
        <v>0</v>
      </c>
      <c r="L156" s="3">
        <f t="shared" si="21"/>
        <v>0</v>
      </c>
      <c r="M156" s="3">
        <f t="shared" si="20"/>
        <v>0</v>
      </c>
      <c r="R156" t="str">
        <f>IF(G156=0,"",_xlfn.XLOOKUP(G156,List_item!A:A,List_item!B:B))</f>
        <v/>
      </c>
    </row>
    <row r="157" spans="1:18" x14ac:dyDescent="0.35">
      <c r="A157" t="s">
        <v>2179</v>
      </c>
      <c r="B157" s="2">
        <f>_xlfn.XLOOKUP(A30,Sheet5!E:E,Sheet5!F:F)</f>
        <v>20000</v>
      </c>
      <c r="C157" t="s">
        <v>9</v>
      </c>
      <c r="H157" s="2">
        <v>0</v>
      </c>
      <c r="I157" s="26">
        <f t="shared" si="17"/>
        <v>0</v>
      </c>
      <c r="J157" s="3">
        <f t="shared" si="22"/>
        <v>0</v>
      </c>
      <c r="K157" s="31">
        <f t="shared" si="19"/>
        <v>0</v>
      </c>
      <c r="L157" s="3">
        <f t="shared" si="21"/>
        <v>0</v>
      </c>
      <c r="M157" s="3">
        <f t="shared" si="20"/>
        <v>0</v>
      </c>
      <c r="R157" t="str">
        <f>IF(G157=0,"",_xlfn.XLOOKUP(G157,List_item!A:A,List_item!B:B))</f>
        <v/>
      </c>
    </row>
    <row r="158" spans="1:18" x14ac:dyDescent="0.35">
      <c r="A158" t="s">
        <v>2160</v>
      </c>
      <c r="B158" s="2">
        <f>_xlfn.XLOOKUP(A31,Sheet5!E:E,Sheet5!F:F)</f>
        <v>1500</v>
      </c>
      <c r="C158" t="s">
        <v>9</v>
      </c>
      <c r="H158" s="2">
        <v>0</v>
      </c>
      <c r="I158" s="26">
        <f t="shared" si="17"/>
        <v>0</v>
      </c>
      <c r="J158" s="3">
        <f t="shared" si="22"/>
        <v>0</v>
      </c>
      <c r="K158" s="31">
        <f t="shared" si="19"/>
        <v>0</v>
      </c>
      <c r="L158" s="3">
        <f t="shared" si="21"/>
        <v>0</v>
      </c>
      <c r="M158" s="3">
        <f t="shared" si="20"/>
        <v>0</v>
      </c>
      <c r="R158" t="str">
        <f>IF(G158=0,"",_xlfn.XLOOKUP(G158,List_item!A:A,List_item!B:B))</f>
        <v/>
      </c>
    </row>
    <row r="159" spans="1:18" x14ac:dyDescent="0.35">
      <c r="A159" t="s">
        <v>17</v>
      </c>
      <c r="B159" s="2">
        <f>_xlfn.XLOOKUP(A32,Sheet5!E:E,Sheet5!F:F)</f>
        <v>28000</v>
      </c>
      <c r="C159" t="s">
        <v>9</v>
      </c>
      <c r="H159" s="2">
        <v>0</v>
      </c>
      <c r="I159" s="26">
        <f t="shared" si="17"/>
        <v>0</v>
      </c>
      <c r="J159" s="3">
        <f t="shared" si="22"/>
        <v>0</v>
      </c>
      <c r="K159" s="31">
        <f t="shared" si="19"/>
        <v>0</v>
      </c>
      <c r="L159" s="3">
        <f t="shared" si="21"/>
        <v>0</v>
      </c>
      <c r="M159" s="3">
        <f t="shared" si="20"/>
        <v>0</v>
      </c>
      <c r="R159" t="str">
        <f>IF(G159=0,"",_xlfn.XLOOKUP(G159,List_item!A:A,List_item!B:B))</f>
        <v/>
      </c>
    </row>
    <row r="160" spans="1:18" x14ac:dyDescent="0.35">
      <c r="A160" t="s">
        <v>2199</v>
      </c>
      <c r="B160" s="2">
        <f>_xlfn.XLOOKUP(A33,Sheet5!E:E,Sheet5!F:F)</f>
        <v>14000</v>
      </c>
      <c r="C160" t="s">
        <v>9</v>
      </c>
      <c r="H160" s="2">
        <v>0</v>
      </c>
      <c r="I160" s="26">
        <f t="shared" si="17"/>
        <v>0</v>
      </c>
      <c r="J160" s="3">
        <f t="shared" si="22"/>
        <v>0</v>
      </c>
      <c r="K160" s="31">
        <f t="shared" si="19"/>
        <v>0</v>
      </c>
      <c r="L160" s="3">
        <f t="shared" si="21"/>
        <v>0</v>
      </c>
      <c r="M160" s="3">
        <f t="shared" si="20"/>
        <v>0</v>
      </c>
      <c r="R160" t="str">
        <f>IF(G160=0,"",_xlfn.XLOOKUP(G160,List_item!A:A,List_item!B:B))</f>
        <v/>
      </c>
    </row>
    <row r="161" spans="1:18" x14ac:dyDescent="0.35">
      <c r="A161" t="s">
        <v>2161</v>
      </c>
      <c r="B161" s="2">
        <f>_xlfn.XLOOKUP(A34,Sheet5!E:E,Sheet5!F:F)</f>
        <v>8000</v>
      </c>
      <c r="C161" t="s">
        <v>9</v>
      </c>
      <c r="G161" s="2" t="s">
        <v>19</v>
      </c>
      <c r="H161" s="2">
        <v>30.1</v>
      </c>
      <c r="I161" s="26">
        <f t="shared" si="17"/>
        <v>2.8666666666666667E-3</v>
      </c>
      <c r="J161" s="3">
        <f t="shared" si="22"/>
        <v>240800</v>
      </c>
      <c r="K161" s="31">
        <f t="shared" si="19"/>
        <v>6880.9410663978233</v>
      </c>
      <c r="L161" s="3">
        <f t="shared" si="21"/>
        <v>207116.3260985745</v>
      </c>
      <c r="M161" s="3">
        <f t="shared" si="20"/>
        <v>1119.0589336021767</v>
      </c>
      <c r="R161" t="str">
        <f>IF(G161=0,"",_xlfn.XLOOKUP(G161,List_item!A:A,List_item!B:B))</f>
        <v>Boneless BL Frozen Lemak</v>
      </c>
    </row>
    <row r="162" spans="1:18" x14ac:dyDescent="0.35">
      <c r="A162" t="s">
        <v>2162</v>
      </c>
      <c r="B162" s="2">
        <f>_xlfn.XLOOKUP(A35,Sheet5!E:E,Sheet5!F:F)</f>
        <v>10000</v>
      </c>
      <c r="C162" t="s">
        <v>9</v>
      </c>
      <c r="G162" s="2" t="s">
        <v>310</v>
      </c>
      <c r="H162" s="2">
        <v>546</v>
      </c>
      <c r="I162" s="26">
        <f t="shared" si="17"/>
        <v>5.1999999999999998E-2</v>
      </c>
      <c r="J162" s="3">
        <f t="shared" si="22"/>
        <v>5460000</v>
      </c>
      <c r="K162" s="31">
        <f t="shared" si="19"/>
        <v>8601.1763329972819</v>
      </c>
      <c r="L162" s="3">
        <f t="shared" si="21"/>
        <v>4696242.2778165163</v>
      </c>
      <c r="M162" s="3">
        <f t="shared" si="20"/>
        <v>1398.8236670027181</v>
      </c>
      <c r="R162" t="str">
        <f>IF(G162=0,"",_xlfn.XLOOKUP(G162,List_item!A:A,List_item!B:B))</f>
        <v>Boneless BL Frozen Kepala</v>
      </c>
    </row>
    <row r="163" spans="1:18" x14ac:dyDescent="0.35">
      <c r="A163" t="s">
        <v>0</v>
      </c>
      <c r="B163" s="2">
        <f>_xlfn.XLOOKUP(A36,Sheet5!E:E,Sheet5!F:F)</f>
        <v>0</v>
      </c>
      <c r="C163" t="s">
        <v>9</v>
      </c>
      <c r="G163" s="2" t="s">
        <v>22</v>
      </c>
      <c r="H163" s="2">
        <v>305.2</v>
      </c>
      <c r="I163" s="26">
        <f t="shared" si="17"/>
        <v>2.9066666666666664E-2</v>
      </c>
      <c r="J163" s="3">
        <f t="shared" si="22"/>
        <v>0</v>
      </c>
      <c r="K163" s="31">
        <f t="shared" si="19"/>
        <v>0</v>
      </c>
      <c r="L163" s="3">
        <f t="shared" si="21"/>
        <v>0</v>
      </c>
      <c r="M163" s="3">
        <f t="shared" si="20"/>
        <v>0</v>
      </c>
      <c r="R163" t="str">
        <f>IF(G163=0,"",_xlfn.XLOOKUP(G163,List_item!A:A,List_item!B:B))</f>
        <v>Boneless BL Frozen Ceker</v>
      </c>
    </row>
    <row r="164" spans="1:18" x14ac:dyDescent="0.35">
      <c r="A164" t="s">
        <v>24</v>
      </c>
      <c r="B164" s="2">
        <f>_xlfn.XLOOKUP(A37,Sheet5!E:E,Sheet5!F:F)</f>
        <v>0</v>
      </c>
      <c r="C164" t="s">
        <v>9</v>
      </c>
      <c r="H164" s="2">
        <v>0</v>
      </c>
      <c r="I164" s="26">
        <f t="shared" si="17"/>
        <v>0</v>
      </c>
      <c r="J164" s="3">
        <f t="shared" si="22"/>
        <v>0</v>
      </c>
      <c r="K164" s="31">
        <f t="shared" si="19"/>
        <v>0</v>
      </c>
      <c r="L164" s="3">
        <f t="shared" si="21"/>
        <v>0</v>
      </c>
      <c r="M164" s="3">
        <f t="shared" si="20"/>
        <v>0</v>
      </c>
      <c r="R164" t="str">
        <f>IF(G164=0,"",_xlfn.XLOOKUP(G164,List_item!A:A,List_item!B:B))</f>
        <v/>
      </c>
    </row>
    <row r="165" spans="1:18" x14ac:dyDescent="0.35">
      <c r="A165" s="32" t="s">
        <v>2200</v>
      </c>
      <c r="B165" s="30">
        <f>_xlfn.XLOOKUP(A38,Sheet5!E:E,Sheet5!F:F)</f>
        <v>4000</v>
      </c>
      <c r="C165" s="32" t="s">
        <v>9</v>
      </c>
      <c r="D165" s="32"/>
      <c r="E165" s="30"/>
      <c r="F165" s="30"/>
      <c r="G165" s="30"/>
      <c r="H165" s="30">
        <v>448.5</v>
      </c>
      <c r="I165" s="33">
        <f t="shared" si="17"/>
        <v>4.2714285714285712E-2</v>
      </c>
      <c r="J165" s="30">
        <f t="shared" si="22"/>
        <v>1794000</v>
      </c>
      <c r="K165" s="34">
        <f t="shared" si="19"/>
        <v>3440.4705331989126</v>
      </c>
      <c r="L165" s="30">
        <f t="shared" si="21"/>
        <v>1543051.0341397123</v>
      </c>
      <c r="M165" s="30">
        <f t="shared" si="20"/>
        <v>559.52946680108744</v>
      </c>
      <c r="N165" s="30" t="s">
        <v>3825</v>
      </c>
      <c r="R165" t="str">
        <f>IF(G165=0,"",_xlfn.XLOOKUP(G165,List_item!A:A,List_item!B:B))</f>
        <v/>
      </c>
    </row>
    <row r="166" spans="1:18" x14ac:dyDescent="0.35">
      <c r="A166" t="s">
        <v>2167</v>
      </c>
      <c r="B166" s="2">
        <f>_xlfn.XLOOKUP(A39,Sheet5!E:E,Sheet5!F:F)</f>
        <v>6000</v>
      </c>
      <c r="C166" t="s">
        <v>9</v>
      </c>
      <c r="H166" s="2">
        <v>0</v>
      </c>
      <c r="I166" s="26">
        <f t="shared" si="17"/>
        <v>0</v>
      </c>
      <c r="J166" s="3">
        <f t="shared" si="22"/>
        <v>0</v>
      </c>
      <c r="K166" s="31">
        <f t="shared" si="19"/>
        <v>0</v>
      </c>
      <c r="L166" s="3">
        <f t="shared" si="21"/>
        <v>0</v>
      </c>
      <c r="M166" s="3">
        <f t="shared" si="20"/>
        <v>0</v>
      </c>
      <c r="R166" t="str">
        <f>IF(G166=0,"",_xlfn.XLOOKUP(G166,List_item!A:A,List_item!B:B))</f>
        <v/>
      </c>
    </row>
    <row r="167" spans="1:18" x14ac:dyDescent="0.35">
      <c r="A167" t="s">
        <v>2168</v>
      </c>
      <c r="B167" s="2">
        <f>_xlfn.XLOOKUP(A40,Sheet5!E:E,Sheet5!F:F)</f>
        <v>5000</v>
      </c>
      <c r="C167" t="s">
        <v>9</v>
      </c>
      <c r="H167" s="2">
        <v>0</v>
      </c>
      <c r="I167" s="26">
        <f t="shared" si="17"/>
        <v>0</v>
      </c>
      <c r="J167" s="3">
        <f t="shared" si="22"/>
        <v>0</v>
      </c>
      <c r="K167" s="31">
        <f t="shared" si="19"/>
        <v>0</v>
      </c>
      <c r="L167" s="3">
        <f t="shared" si="21"/>
        <v>0</v>
      </c>
      <c r="M167" s="3">
        <f t="shared" si="20"/>
        <v>0</v>
      </c>
      <c r="R167" t="str">
        <f>IF(G167=0,"",_xlfn.XLOOKUP(G167,List_item!A:A,List_item!B:B))</f>
        <v/>
      </c>
    </row>
    <row r="168" spans="1:18" x14ac:dyDescent="0.35">
      <c r="A168" t="s">
        <v>2169</v>
      </c>
      <c r="B168" s="2">
        <f>_xlfn.XLOOKUP(A41,Sheet5!E:E,Sheet5!F:F)</f>
        <v>0</v>
      </c>
      <c r="C168" t="s">
        <v>9</v>
      </c>
      <c r="H168" s="2">
        <v>0</v>
      </c>
      <c r="I168" s="26">
        <f t="shared" si="17"/>
        <v>0</v>
      </c>
      <c r="J168" s="3">
        <f t="shared" si="22"/>
        <v>0</v>
      </c>
      <c r="K168" s="31">
        <f t="shared" si="19"/>
        <v>0</v>
      </c>
      <c r="L168" s="3">
        <f t="shared" si="21"/>
        <v>0</v>
      </c>
      <c r="M168" s="3">
        <f t="shared" si="20"/>
        <v>0</v>
      </c>
      <c r="R168" t="str">
        <f>IF(G168=0,"",_xlfn.XLOOKUP(G168,List_item!A:A,List_item!B:B))</f>
        <v/>
      </c>
    </row>
    <row r="169" spans="1:18" x14ac:dyDescent="0.35">
      <c r="A169" t="s">
        <v>2201</v>
      </c>
      <c r="B169" s="2">
        <f>_xlfn.XLOOKUP(A42,Sheet5!E:E,Sheet5!F:F)</f>
        <v>24000</v>
      </c>
      <c r="C169" t="s">
        <v>9</v>
      </c>
      <c r="G169" s="2" t="s">
        <v>286</v>
      </c>
      <c r="H169" s="2">
        <v>645.5</v>
      </c>
      <c r="I169" s="26">
        <f t="shared" si="17"/>
        <v>6.1476190476190476E-2</v>
      </c>
      <c r="J169" s="3">
        <f t="shared" si="22"/>
        <v>15492000</v>
      </c>
      <c r="K169" s="31">
        <f t="shared" si="19"/>
        <v>20642.82319919347</v>
      </c>
      <c r="L169" s="3">
        <f t="shared" si="21"/>
        <v>13324942.375079384</v>
      </c>
      <c r="M169" s="3">
        <f t="shared" si="20"/>
        <v>3357.1768008065301</v>
      </c>
      <c r="R169" t="str">
        <f>IF(G169=0,"",_xlfn.XLOOKUP(G169,List_item!A:A,List_item!B:B))</f>
        <v>Boneless BL Frozen HJA</v>
      </c>
    </row>
    <row r="170" spans="1:18" x14ac:dyDescent="0.35">
      <c r="A170" t="s">
        <v>2170</v>
      </c>
      <c r="B170" s="2">
        <f>_xlfn.XLOOKUP(A43,Sheet5!E:E,Sheet5!F:F)</f>
        <v>24000</v>
      </c>
      <c r="C170" t="s">
        <v>9</v>
      </c>
      <c r="H170" s="2">
        <v>0</v>
      </c>
      <c r="I170" s="26">
        <f t="shared" si="17"/>
        <v>0</v>
      </c>
      <c r="J170" s="3">
        <f t="shared" si="22"/>
        <v>0</v>
      </c>
      <c r="K170" s="31">
        <f t="shared" si="19"/>
        <v>0</v>
      </c>
      <c r="L170" s="3">
        <f t="shared" si="21"/>
        <v>0</v>
      </c>
      <c r="M170" s="3">
        <f t="shared" si="20"/>
        <v>0</v>
      </c>
      <c r="R170" t="str">
        <f>IF(G170=0,"",_xlfn.XLOOKUP(G170,List_item!A:A,List_item!B:B))</f>
        <v/>
      </c>
    </row>
    <row r="171" spans="1:18" x14ac:dyDescent="0.35">
      <c r="A171" t="s">
        <v>2171</v>
      </c>
      <c r="B171" s="2">
        <f>_xlfn.XLOOKUP(A44,Sheet5!E:E,Sheet5!F:F)</f>
        <v>20000</v>
      </c>
      <c r="C171" t="s">
        <v>9</v>
      </c>
      <c r="H171" s="2">
        <v>0</v>
      </c>
      <c r="I171" s="26">
        <f t="shared" si="17"/>
        <v>0</v>
      </c>
      <c r="J171" s="3">
        <f t="shared" si="22"/>
        <v>0</v>
      </c>
      <c r="K171" s="31">
        <f t="shared" si="19"/>
        <v>0</v>
      </c>
      <c r="L171" s="3">
        <f t="shared" si="21"/>
        <v>0</v>
      </c>
      <c r="M171" s="3">
        <f t="shared" si="20"/>
        <v>0</v>
      </c>
      <c r="R171" t="str">
        <f>IF(G171=0,"",_xlfn.XLOOKUP(G171,List_item!A:A,List_item!B:B))</f>
        <v/>
      </c>
    </row>
    <row r="172" spans="1:18" x14ac:dyDescent="0.35">
      <c r="A172" t="s">
        <v>2202</v>
      </c>
      <c r="B172" s="2">
        <f>_xlfn.XLOOKUP(A45,Sheet5!E:E,Sheet5!F:F)</f>
        <v>20000</v>
      </c>
      <c r="C172" t="s">
        <v>9</v>
      </c>
      <c r="G172" s="2" t="s">
        <v>505</v>
      </c>
      <c r="H172" s="2">
        <v>8.6</v>
      </c>
      <c r="I172" s="26">
        <f t="shared" si="17"/>
        <v>8.1904761904761899E-4</v>
      </c>
      <c r="J172" s="3">
        <f t="shared" si="22"/>
        <v>172000</v>
      </c>
      <c r="K172" s="31">
        <f t="shared" si="19"/>
        <v>17202.352665994564</v>
      </c>
      <c r="L172" s="3">
        <f t="shared" si="21"/>
        <v>147940.23292755324</v>
      </c>
      <c r="M172" s="3">
        <f t="shared" si="20"/>
        <v>2797.6473340054363</v>
      </c>
      <c r="R172" t="str">
        <f>IF(G172=0,"",_xlfn.XLOOKUP(G172,List_item!A:A,List_item!B:B))</f>
        <v>Karkas Uk 0.4 Karkas Uk 0.4 Frozen Grade A</v>
      </c>
    </row>
    <row r="173" spans="1:18" x14ac:dyDescent="0.35">
      <c r="A173" t="s">
        <v>2203</v>
      </c>
      <c r="B173" s="2">
        <f>_xlfn.XLOOKUP(A46,Sheet5!E:E,Sheet5!F:F)</f>
        <v>20000</v>
      </c>
      <c r="C173" t="s">
        <v>9</v>
      </c>
      <c r="G173" s="2" t="s">
        <v>571</v>
      </c>
      <c r="H173" s="2">
        <v>31.4</v>
      </c>
      <c r="I173" s="26">
        <f t="shared" si="17"/>
        <v>2.9904761904761905E-3</v>
      </c>
      <c r="J173" s="3">
        <f t="shared" si="22"/>
        <v>628000</v>
      </c>
      <c r="K173" s="31">
        <f t="shared" si="19"/>
        <v>17202.35266599456</v>
      </c>
      <c r="L173" s="3">
        <f t="shared" si="21"/>
        <v>540153.87371222919</v>
      </c>
      <c r="M173" s="3">
        <f t="shared" si="20"/>
        <v>2797.6473340054399</v>
      </c>
      <c r="R173" t="str">
        <f>IF(G173=0,"",_xlfn.XLOOKUP(G173,List_item!A:A,List_item!B:B))</f>
        <v>Karkas Uk 0.5 Karkas Uk 0.5 Frozen Grade A</v>
      </c>
    </row>
    <row r="174" spans="1:18" x14ac:dyDescent="0.35">
      <c r="A174" t="s">
        <v>2204</v>
      </c>
      <c r="B174" s="2">
        <f>_xlfn.XLOOKUP(A47,Sheet5!E:E,Sheet5!F:F)</f>
        <v>20000</v>
      </c>
      <c r="C174" t="s">
        <v>9</v>
      </c>
      <c r="G174" s="2" t="s">
        <v>636</v>
      </c>
      <c r="H174" s="2">
        <v>61.1</v>
      </c>
      <c r="I174" s="26">
        <f t="shared" si="17"/>
        <v>5.8190476190476195E-3</v>
      </c>
      <c r="J174" s="3">
        <f t="shared" si="22"/>
        <v>1222000</v>
      </c>
      <c r="K174" s="31">
        <f t="shared" si="19"/>
        <v>17202.352665994564</v>
      </c>
      <c r="L174" s="3">
        <f t="shared" si="21"/>
        <v>1051063.7478922678</v>
      </c>
      <c r="M174" s="3">
        <f t="shared" si="20"/>
        <v>2797.6473340054363</v>
      </c>
      <c r="R174" t="str">
        <f>IF(G174=0,"",_xlfn.XLOOKUP(G174,List_item!A:A,List_item!B:B))</f>
        <v>Karkas Uk 0.6 Karkas Uk 0.6 Frozen Grade A</v>
      </c>
    </row>
    <row r="175" spans="1:18" x14ac:dyDescent="0.35">
      <c r="A175" t="s">
        <v>2205</v>
      </c>
      <c r="B175" s="2">
        <f>_xlfn.XLOOKUP(A48,Sheet5!E:E,Sheet5!F:F)</f>
        <v>20000</v>
      </c>
      <c r="C175" t="s">
        <v>9</v>
      </c>
      <c r="G175" s="2" t="s">
        <v>701</v>
      </c>
      <c r="H175" s="2">
        <v>124.6</v>
      </c>
      <c r="I175" s="26">
        <f t="shared" si="17"/>
        <v>1.1866666666666666E-2</v>
      </c>
      <c r="J175" s="3">
        <f t="shared" si="22"/>
        <v>2492000</v>
      </c>
      <c r="K175" s="31">
        <f t="shared" si="19"/>
        <v>17202.352665994564</v>
      </c>
      <c r="L175" s="3">
        <f t="shared" si="21"/>
        <v>2143413.1421829225</v>
      </c>
      <c r="M175" s="3">
        <f t="shared" si="20"/>
        <v>2797.6473340054363</v>
      </c>
      <c r="R175" t="str">
        <f>IF(G175=0,"",_xlfn.XLOOKUP(G175,List_item!A:A,List_item!B:B))</f>
        <v>Karkas Uk 0.7 Karkas Uk 0.7 Frozen Grade A</v>
      </c>
    </row>
    <row r="176" spans="1:18" x14ac:dyDescent="0.35">
      <c r="A176" t="s">
        <v>2206</v>
      </c>
      <c r="B176" s="2">
        <f>_xlfn.XLOOKUP(A49,Sheet5!E:E,Sheet5!F:F)</f>
        <v>20000</v>
      </c>
      <c r="C176" t="s">
        <v>9</v>
      </c>
      <c r="G176" s="2" t="s">
        <v>766</v>
      </c>
      <c r="H176" s="2">
        <v>105.6</v>
      </c>
      <c r="I176" s="26">
        <f t="shared" si="17"/>
        <v>1.0057142857142857E-2</v>
      </c>
      <c r="J176" s="3">
        <f t="shared" si="22"/>
        <v>2112000</v>
      </c>
      <c r="K176" s="31">
        <f t="shared" si="19"/>
        <v>17202.35266599456</v>
      </c>
      <c r="L176" s="3">
        <f t="shared" si="21"/>
        <v>1816568.4415290256</v>
      </c>
      <c r="M176" s="3">
        <f t="shared" si="20"/>
        <v>2797.6473340054399</v>
      </c>
      <c r="R176" t="str">
        <f>IF(G176=0,"",_xlfn.XLOOKUP(G176,List_item!A:A,List_item!B:B))</f>
        <v>Karkas Uk 0.8 Karkas Uk 0.8 Frozen Grade A</v>
      </c>
    </row>
    <row r="177" spans="1:18" x14ac:dyDescent="0.35">
      <c r="A177" t="s">
        <v>2207</v>
      </c>
      <c r="B177" s="2">
        <f>_xlfn.XLOOKUP(A50,Sheet5!E:E,Sheet5!F:F)</f>
        <v>20000</v>
      </c>
      <c r="C177" t="s">
        <v>9</v>
      </c>
      <c r="G177" s="2" t="s">
        <v>831</v>
      </c>
      <c r="H177" s="2">
        <v>92.6</v>
      </c>
      <c r="I177" s="26">
        <f t="shared" si="17"/>
        <v>8.8190476190476187E-3</v>
      </c>
      <c r="J177" s="3">
        <f t="shared" si="22"/>
        <v>1852000</v>
      </c>
      <c r="K177" s="31">
        <f t="shared" si="19"/>
        <v>17202.352665994564</v>
      </c>
      <c r="L177" s="3">
        <f t="shared" si="21"/>
        <v>1592937.8568710964</v>
      </c>
      <c r="M177" s="3">
        <f t="shared" si="20"/>
        <v>2797.6473340054363</v>
      </c>
      <c r="R177" t="str">
        <f>IF(G177=0,"",_xlfn.XLOOKUP(G177,List_item!A:A,List_item!B:B))</f>
        <v>Karkas Uk 0.9 Karkas Uk 0.9 Frozen Grade A</v>
      </c>
    </row>
    <row r="178" spans="1:18" x14ac:dyDescent="0.35">
      <c r="A178" t="s">
        <v>2208</v>
      </c>
      <c r="B178" s="2">
        <f>_xlfn.XLOOKUP(A51,Sheet5!E:E,Sheet5!F:F)</f>
        <v>20000</v>
      </c>
      <c r="C178" t="s">
        <v>9</v>
      </c>
      <c r="G178" s="2" t="s">
        <v>896</v>
      </c>
      <c r="H178" s="2">
        <v>106.6</v>
      </c>
      <c r="I178" s="26">
        <f t="shared" si="17"/>
        <v>1.0152380952380953E-2</v>
      </c>
      <c r="J178" s="3">
        <f t="shared" si="22"/>
        <v>2132000</v>
      </c>
      <c r="K178" s="31">
        <f t="shared" si="19"/>
        <v>17202.35266599456</v>
      </c>
      <c r="L178" s="3">
        <f t="shared" si="21"/>
        <v>1833770.7941950201</v>
      </c>
      <c r="M178" s="3">
        <f t="shared" si="20"/>
        <v>2797.6473340054399</v>
      </c>
      <c r="R178" t="str">
        <f>IF(G178=0,"",_xlfn.XLOOKUP(G178,List_item!A:A,List_item!B:B))</f>
        <v>Karkas Uk 1.0 Karkas Uk 1.0 Frozen Grade A</v>
      </c>
    </row>
    <row r="179" spans="1:18" x14ac:dyDescent="0.35">
      <c r="A179" t="s">
        <v>2209</v>
      </c>
      <c r="B179" s="2">
        <f>_xlfn.XLOOKUP(A52,Sheet5!E:E,Sheet5!F:F)</f>
        <v>20000</v>
      </c>
      <c r="C179" t="s">
        <v>9</v>
      </c>
      <c r="G179" s="2" t="s">
        <v>962</v>
      </c>
      <c r="H179" s="2">
        <v>30.2</v>
      </c>
      <c r="I179" s="26">
        <f t="shared" si="17"/>
        <v>2.8761904761904762E-3</v>
      </c>
      <c r="J179" s="3">
        <f t="shared" si="22"/>
        <v>604000</v>
      </c>
      <c r="K179" s="31">
        <f t="shared" si="19"/>
        <v>17202.35266599456</v>
      </c>
      <c r="L179" s="3">
        <f t="shared" si="21"/>
        <v>519511.05051303568</v>
      </c>
      <c r="M179" s="3">
        <f t="shared" si="20"/>
        <v>2797.6473340054399</v>
      </c>
      <c r="R179" t="str">
        <f>IF(G179=0,"",_xlfn.XLOOKUP(G179,List_item!A:A,List_item!B:B))</f>
        <v>Karkas Uk 1.1 Karkas Uk 1.1 Frozen Grade A</v>
      </c>
    </row>
    <row r="180" spans="1:18" x14ac:dyDescent="0.35">
      <c r="A180" t="s">
        <v>2210</v>
      </c>
      <c r="B180" s="2">
        <f>_xlfn.XLOOKUP(A53,Sheet5!E:E,Sheet5!F:F)</f>
        <v>20000</v>
      </c>
      <c r="C180" t="s">
        <v>9</v>
      </c>
      <c r="G180" s="2" t="s">
        <v>1028</v>
      </c>
      <c r="H180" s="2">
        <v>10.1</v>
      </c>
      <c r="I180" s="26">
        <f t="shared" si="17"/>
        <v>9.6190476190476191E-4</v>
      </c>
      <c r="J180" s="3">
        <f t="shared" si="22"/>
        <v>202000</v>
      </c>
      <c r="K180" s="31">
        <f t="shared" si="19"/>
        <v>17202.35266599456</v>
      </c>
      <c r="L180" s="3">
        <f t="shared" si="21"/>
        <v>173743.76192654506</v>
      </c>
      <c r="M180" s="3">
        <f t="shared" si="20"/>
        <v>2797.6473340054399</v>
      </c>
      <c r="R180" t="str">
        <f>IF(G180=0,"",_xlfn.XLOOKUP(G180,List_item!A:A,List_item!B:B))</f>
        <v>Karkas Uk 1.2 Karkas Uk 1.2 Frozen Grade A</v>
      </c>
    </row>
    <row r="181" spans="1:18" x14ac:dyDescent="0.35">
      <c r="A181" t="s">
        <v>2211</v>
      </c>
      <c r="B181" s="2">
        <f>_xlfn.XLOOKUP(A54,Sheet5!E:E,Sheet5!F:F)</f>
        <v>20000</v>
      </c>
      <c r="C181" t="s">
        <v>9</v>
      </c>
      <c r="H181" s="2">
        <v>0</v>
      </c>
      <c r="I181" s="26">
        <f t="shared" si="17"/>
        <v>0</v>
      </c>
      <c r="J181" s="3">
        <f t="shared" si="22"/>
        <v>0</v>
      </c>
      <c r="K181" s="31">
        <f t="shared" si="19"/>
        <v>0</v>
      </c>
      <c r="L181" s="3">
        <f t="shared" si="21"/>
        <v>0</v>
      </c>
      <c r="M181" s="3">
        <f t="shared" si="20"/>
        <v>0</v>
      </c>
      <c r="R181" t="str">
        <f>IF(G181=0,"",_xlfn.XLOOKUP(G181,List_item!A:A,List_item!B:B))</f>
        <v/>
      </c>
    </row>
    <row r="182" spans="1:18" x14ac:dyDescent="0.35">
      <c r="A182" t="s">
        <v>2212</v>
      </c>
      <c r="B182" s="2">
        <f>_xlfn.XLOOKUP(A55,Sheet5!E:E,Sheet5!F:F)</f>
        <v>20000</v>
      </c>
      <c r="C182" t="s">
        <v>9</v>
      </c>
      <c r="H182" s="2">
        <v>0</v>
      </c>
      <c r="I182" s="26">
        <f t="shared" si="17"/>
        <v>0</v>
      </c>
      <c r="J182" s="3">
        <f t="shared" si="22"/>
        <v>0</v>
      </c>
      <c r="K182" s="31">
        <f t="shared" si="19"/>
        <v>0</v>
      </c>
      <c r="L182" s="3">
        <f t="shared" si="21"/>
        <v>0</v>
      </c>
      <c r="M182" s="3">
        <f t="shared" si="20"/>
        <v>0</v>
      </c>
      <c r="R182" t="str">
        <f>IF(G182=0,"",_xlfn.XLOOKUP(G182,List_item!A:A,List_item!B:B))</f>
        <v/>
      </c>
    </row>
    <row r="183" spans="1:18" x14ac:dyDescent="0.35">
      <c r="A183" t="s">
        <v>2213</v>
      </c>
      <c r="B183" s="2">
        <f>_xlfn.XLOOKUP(A56,Sheet5!E:E,Sheet5!F:F)</f>
        <v>20000</v>
      </c>
      <c r="C183" t="s">
        <v>9</v>
      </c>
      <c r="H183" s="2">
        <v>0</v>
      </c>
      <c r="I183" s="26">
        <f t="shared" si="17"/>
        <v>0</v>
      </c>
      <c r="J183" s="3">
        <f t="shared" si="22"/>
        <v>0</v>
      </c>
      <c r="K183" s="31">
        <f t="shared" si="19"/>
        <v>0</v>
      </c>
      <c r="L183" s="3">
        <f t="shared" si="21"/>
        <v>0</v>
      </c>
      <c r="M183" s="3">
        <f t="shared" si="20"/>
        <v>0</v>
      </c>
      <c r="R183" t="str">
        <f>IF(G183=0,"",_xlfn.XLOOKUP(G183,List_item!A:A,List_item!B:B))</f>
        <v/>
      </c>
    </row>
    <row r="184" spans="1:18" x14ac:dyDescent="0.35">
      <c r="A184" t="s">
        <v>2214</v>
      </c>
      <c r="B184" s="2">
        <f>_xlfn.XLOOKUP(A57,Sheet5!E:E,Sheet5!F:F)</f>
        <v>20000</v>
      </c>
      <c r="C184" t="s">
        <v>9</v>
      </c>
      <c r="H184" s="2">
        <v>0</v>
      </c>
      <c r="I184" s="26">
        <f t="shared" si="17"/>
        <v>0</v>
      </c>
      <c r="J184" s="3">
        <f t="shared" si="22"/>
        <v>0</v>
      </c>
      <c r="K184" s="31">
        <f t="shared" si="19"/>
        <v>0</v>
      </c>
      <c r="L184" s="3">
        <f t="shared" si="21"/>
        <v>0</v>
      </c>
      <c r="M184" s="3">
        <f t="shared" si="20"/>
        <v>0</v>
      </c>
      <c r="R184" t="str">
        <f>IF(G184=0,"",_xlfn.XLOOKUP(G184,List_item!A:A,List_item!B:B))</f>
        <v/>
      </c>
    </row>
    <row r="185" spans="1:18" x14ac:dyDescent="0.35">
      <c r="A185" t="s">
        <v>2215</v>
      </c>
      <c r="B185" s="2">
        <f>_xlfn.XLOOKUP(A58,Sheet5!E:E,Sheet5!F:F)</f>
        <v>20000</v>
      </c>
      <c r="C185" t="s">
        <v>9</v>
      </c>
      <c r="H185" s="2">
        <v>0</v>
      </c>
      <c r="I185" s="26">
        <f t="shared" si="17"/>
        <v>0</v>
      </c>
      <c r="J185" s="3">
        <f t="shared" si="22"/>
        <v>0</v>
      </c>
      <c r="K185" s="31">
        <f t="shared" si="19"/>
        <v>0</v>
      </c>
      <c r="L185" s="3">
        <f t="shared" si="21"/>
        <v>0</v>
      </c>
      <c r="M185" s="3">
        <f t="shared" si="20"/>
        <v>0</v>
      </c>
      <c r="R185" t="str">
        <f>IF(G185=0,"",_xlfn.XLOOKUP(G185,List_item!A:A,List_item!B:B))</f>
        <v/>
      </c>
    </row>
    <row r="186" spans="1:18" x14ac:dyDescent="0.35">
      <c r="A186" t="s">
        <v>2216</v>
      </c>
      <c r="B186" s="2">
        <f>_xlfn.XLOOKUP(A59,Sheet5!E:E,Sheet5!F:F)</f>
        <v>20000</v>
      </c>
      <c r="C186" t="s">
        <v>9</v>
      </c>
      <c r="H186" s="2">
        <v>0</v>
      </c>
      <c r="I186" s="26">
        <f t="shared" si="17"/>
        <v>0</v>
      </c>
      <c r="J186" s="3">
        <f t="shared" si="22"/>
        <v>0</v>
      </c>
      <c r="K186" s="31">
        <f t="shared" si="19"/>
        <v>0</v>
      </c>
      <c r="L186" s="3">
        <f t="shared" si="21"/>
        <v>0</v>
      </c>
      <c r="M186" s="3">
        <f t="shared" si="20"/>
        <v>0</v>
      </c>
      <c r="R186" t="str">
        <f>IF(G186=0,"",_xlfn.XLOOKUP(G186,List_item!A:A,List_item!B:B))</f>
        <v/>
      </c>
    </row>
    <row r="187" spans="1:18" x14ac:dyDescent="0.35">
      <c r="A187" t="s">
        <v>2217</v>
      </c>
      <c r="B187" s="2">
        <f>_xlfn.XLOOKUP(A60,Sheet5!E:E,Sheet5!F:F)</f>
        <v>20000</v>
      </c>
      <c r="C187" t="s">
        <v>9</v>
      </c>
      <c r="H187" s="2">
        <v>0</v>
      </c>
      <c r="I187" s="26">
        <f t="shared" si="17"/>
        <v>0</v>
      </c>
      <c r="J187" s="3">
        <f t="shared" si="22"/>
        <v>0</v>
      </c>
      <c r="K187" s="31">
        <f t="shared" si="19"/>
        <v>0</v>
      </c>
      <c r="L187" s="3">
        <f t="shared" si="21"/>
        <v>0</v>
      </c>
      <c r="M187" s="3">
        <f t="shared" si="20"/>
        <v>0</v>
      </c>
      <c r="R187" t="str">
        <f>IF(G187=0,"",_xlfn.XLOOKUP(G187,List_item!A:A,List_item!B:B))</f>
        <v/>
      </c>
    </row>
    <row r="188" spans="1:18" x14ac:dyDescent="0.35">
      <c r="A188" t="s">
        <v>2218</v>
      </c>
      <c r="B188" s="2">
        <f>_xlfn.XLOOKUP(A61,Sheet5!E:E,Sheet5!F:F)</f>
        <v>0</v>
      </c>
      <c r="C188" t="s">
        <v>9</v>
      </c>
      <c r="H188" s="2">
        <v>0</v>
      </c>
      <c r="I188" s="26">
        <f t="shared" si="17"/>
        <v>0</v>
      </c>
      <c r="J188" s="3">
        <f t="shared" si="22"/>
        <v>0</v>
      </c>
      <c r="K188" s="31">
        <f t="shared" si="19"/>
        <v>0</v>
      </c>
      <c r="L188" s="3">
        <f t="shared" si="21"/>
        <v>0</v>
      </c>
      <c r="M188" s="3">
        <f t="shared" si="20"/>
        <v>0</v>
      </c>
    </row>
    <row r="191" spans="1:18" x14ac:dyDescent="0.35">
      <c r="A191" s="8" t="s">
        <v>3832</v>
      </c>
      <c r="B191" s="19"/>
      <c r="C191" s="18"/>
      <c r="E191" s="18" t="s">
        <v>3824</v>
      </c>
      <c r="F191" s="2">
        <f>F195/E195</f>
        <v>18100</v>
      </c>
      <c r="H191" s="40">
        <f>+SUM(H196:H224)+SUM(H234:H242)</f>
        <v>2316.1000000000004</v>
      </c>
      <c r="J191" s="19" t="s">
        <v>2176</v>
      </c>
      <c r="K191" s="28" t="e">
        <f>SUM(J196:J250)/L195-1</f>
        <v>#N/A</v>
      </c>
    </row>
    <row r="192" spans="1:18" x14ac:dyDescent="0.35">
      <c r="A192" s="170" t="s">
        <v>27</v>
      </c>
      <c r="B192" s="165" t="s">
        <v>2163</v>
      </c>
      <c r="C192" s="170" t="s">
        <v>4</v>
      </c>
      <c r="D192" s="1"/>
      <c r="E192" s="171" t="s">
        <v>28</v>
      </c>
      <c r="F192" s="165" t="s">
        <v>6</v>
      </c>
      <c r="G192" s="165" t="s">
        <v>29</v>
      </c>
      <c r="H192" s="165" t="s">
        <v>5</v>
      </c>
      <c r="I192" s="165" t="s">
        <v>2177</v>
      </c>
      <c r="J192" s="165" t="s">
        <v>2180</v>
      </c>
      <c r="K192" s="166" t="s">
        <v>3827</v>
      </c>
      <c r="L192" s="167" t="s">
        <v>2173</v>
      </c>
      <c r="M192" s="165" t="s">
        <v>2172</v>
      </c>
      <c r="N192" s="165" t="s">
        <v>3826</v>
      </c>
      <c r="O192" s="165" t="s">
        <v>3841</v>
      </c>
    </row>
    <row r="193" spans="1:18" x14ac:dyDescent="0.35">
      <c r="A193" s="170"/>
      <c r="B193" s="165"/>
      <c r="C193" s="170"/>
      <c r="D193" s="1"/>
      <c r="E193" s="171"/>
      <c r="F193" s="165"/>
      <c r="G193" s="165"/>
      <c r="H193" s="165"/>
      <c r="I193" s="165"/>
      <c r="J193" s="165"/>
      <c r="K193" s="166"/>
      <c r="L193" s="168"/>
      <c r="M193" s="165"/>
      <c r="N193" s="165"/>
      <c r="O193" s="165"/>
    </row>
    <row r="194" spans="1:18" x14ac:dyDescent="0.35">
      <c r="A194" s="170"/>
      <c r="B194" s="165"/>
      <c r="C194" s="170"/>
      <c r="D194" s="1"/>
      <c r="E194" s="171"/>
      <c r="F194" s="165"/>
      <c r="G194" s="165"/>
      <c r="H194" s="165"/>
      <c r="I194" s="165"/>
      <c r="J194" s="165"/>
      <c r="K194" s="166"/>
      <c r="L194" s="169"/>
      <c r="M194" s="165"/>
      <c r="N194" s="165"/>
      <c r="O194" s="165"/>
    </row>
    <row r="195" spans="1:18" x14ac:dyDescent="0.35">
      <c r="A195" s="4"/>
      <c r="B195" s="24"/>
      <c r="C195" s="4"/>
      <c r="D195" s="1"/>
      <c r="E195" s="5">
        <v>3327.8</v>
      </c>
      <c r="F195" s="5">
        <f>+E195*18100</f>
        <v>60233180</v>
      </c>
      <c r="G195" s="5"/>
      <c r="H195" s="5"/>
      <c r="I195" s="5"/>
      <c r="J195" s="5" t="e">
        <f>+SUM(J196:J250)</f>
        <v>#N/A</v>
      </c>
      <c r="K195" s="5"/>
      <c r="L195" s="5">
        <f>+SUM(L196:L250)</f>
        <v>0</v>
      </c>
      <c r="M195" s="5">
        <f>+F195-L195</f>
        <v>60233180</v>
      </c>
      <c r="O195" s="2">
        <v>4200000</v>
      </c>
      <c r="P195" t="s">
        <v>3842</v>
      </c>
    </row>
    <row r="196" spans="1:18" x14ac:dyDescent="0.35">
      <c r="A196" t="s">
        <v>3828</v>
      </c>
      <c r="B196" s="2">
        <v>32000</v>
      </c>
      <c r="C196" t="s">
        <v>9</v>
      </c>
      <c r="D196" s="1"/>
      <c r="E196" s="5"/>
      <c r="F196" s="5"/>
      <c r="G196" s="3" t="s">
        <v>3789</v>
      </c>
      <c r="H196" s="31">
        <v>5.3</v>
      </c>
      <c r="I196" s="26">
        <f>IF(F196/E$133&gt;0,F196/E$133,H196/E$133)</f>
        <v>5.0476190476190477E-4</v>
      </c>
      <c r="J196" s="31">
        <f>+B196*(F196+H196)</f>
        <v>169600</v>
      </c>
      <c r="K196" s="31">
        <f>IFERROR(((J196/SUM($J$196:$J$250))*$F$195)/(F196+H196),0)</f>
        <v>0</v>
      </c>
      <c r="L196" s="31">
        <f>+K196*(F196+H196)</f>
        <v>0</v>
      </c>
      <c r="M196" s="31">
        <f>IF(K196=0,0,B196-K196)</f>
        <v>0</v>
      </c>
      <c r="R196" t="str">
        <f>IF(G196=0,"",_xlfn.XLOOKUP(G196,List_item!A:A,List_item!B:B))</f>
        <v>Karkas Uk 0.4 Karkas Uk 0.4 Frozen Premium</v>
      </c>
    </row>
    <row r="197" spans="1:18" x14ac:dyDescent="0.35">
      <c r="A197" t="s">
        <v>2182</v>
      </c>
      <c r="B197" s="2">
        <v>32000</v>
      </c>
      <c r="C197" t="s">
        <v>9</v>
      </c>
      <c r="G197" s="3" t="s">
        <v>2219</v>
      </c>
      <c r="H197" s="3">
        <v>62.6</v>
      </c>
      <c r="I197" s="26">
        <f t="shared" ref="I197:I250" si="23">IF(F197/E$133&gt;0,F197/E$133,H197/E$133)</f>
        <v>5.961904761904762E-3</v>
      </c>
      <c r="J197" s="3">
        <f t="shared" ref="J197:J213" si="24">+B197*(F197+H197)</f>
        <v>2003200</v>
      </c>
      <c r="K197" s="31">
        <f t="shared" ref="K197:K250" si="25">IFERROR(((J197/SUM($J$196:$J$250))*$F$195)/(F197+H197),0)</f>
        <v>0</v>
      </c>
      <c r="L197" s="3">
        <f>+K197*(F197+H197)</f>
        <v>0</v>
      </c>
      <c r="M197" s="3">
        <f t="shared" ref="M197:M250" si="26">IF(K197=0,0,B197-K197)</f>
        <v>0</v>
      </c>
      <c r="R197" t="str">
        <f>IF(G197=0,"",_xlfn.XLOOKUP(G197,List_item!A:A,List_item!B:B))</f>
        <v>Karkas Uk 0.5 Karkas Uk 0.5 Frozen Premium</v>
      </c>
    </row>
    <row r="198" spans="1:18" x14ac:dyDescent="0.35">
      <c r="A198" t="s">
        <v>2183</v>
      </c>
      <c r="B198" s="2">
        <v>32000</v>
      </c>
      <c r="C198" t="s">
        <v>9</v>
      </c>
      <c r="G198" s="3" t="s">
        <v>2220</v>
      </c>
      <c r="H198" s="2">
        <v>235.8</v>
      </c>
      <c r="I198" s="26">
        <f t="shared" si="23"/>
        <v>2.245714285714286E-2</v>
      </c>
      <c r="J198" s="3">
        <f t="shared" si="24"/>
        <v>7545600</v>
      </c>
      <c r="K198" s="31">
        <f t="shared" si="25"/>
        <v>0</v>
      </c>
      <c r="L198" s="3">
        <f t="shared" ref="L198:L250" si="27">+K198*(F198+H198)</f>
        <v>0</v>
      </c>
      <c r="M198" s="3">
        <f t="shared" si="26"/>
        <v>0</v>
      </c>
      <c r="R198" t="str">
        <f>IF(G198=0,"",_xlfn.XLOOKUP(G198,List_item!A:A,List_item!B:B))</f>
        <v>Karkas Uk 0.6 Karkas Uk 0.6 Frozen Premium</v>
      </c>
    </row>
    <row r="199" spans="1:18" x14ac:dyDescent="0.35">
      <c r="A199" t="s">
        <v>2184</v>
      </c>
      <c r="B199" s="2">
        <v>32000</v>
      </c>
      <c r="C199" t="s">
        <v>9</v>
      </c>
      <c r="E199" s="3"/>
      <c r="G199" s="3" t="s">
        <v>2221</v>
      </c>
      <c r="H199" s="3">
        <v>574</v>
      </c>
      <c r="I199" s="26">
        <f t="shared" si="23"/>
        <v>5.4666666666666669E-2</v>
      </c>
      <c r="J199" s="3">
        <f t="shared" si="24"/>
        <v>18368000</v>
      </c>
      <c r="K199" s="31">
        <f t="shared" si="25"/>
        <v>0</v>
      </c>
      <c r="L199" s="3">
        <f t="shared" si="27"/>
        <v>0</v>
      </c>
      <c r="M199" s="3">
        <f t="shared" si="26"/>
        <v>0</v>
      </c>
      <c r="R199" t="str">
        <f>IF(G199=0,"",_xlfn.XLOOKUP(G199,List_item!A:A,List_item!B:B))</f>
        <v>Karkas Uk 0.7 Karkas Uk 0.7 Frozen Premium</v>
      </c>
    </row>
    <row r="200" spans="1:18" x14ac:dyDescent="0.35">
      <c r="A200" t="s">
        <v>2185</v>
      </c>
      <c r="B200" s="2">
        <v>32000</v>
      </c>
      <c r="C200" t="s">
        <v>9</v>
      </c>
      <c r="G200" s="3" t="s">
        <v>2222</v>
      </c>
      <c r="H200" s="2">
        <v>537.6</v>
      </c>
      <c r="I200" s="26">
        <f t="shared" si="23"/>
        <v>5.1200000000000002E-2</v>
      </c>
      <c r="J200" s="3">
        <f t="shared" si="24"/>
        <v>17203200</v>
      </c>
      <c r="K200" s="31">
        <f t="shared" si="25"/>
        <v>0</v>
      </c>
      <c r="L200" s="3">
        <f t="shared" si="27"/>
        <v>0</v>
      </c>
      <c r="M200" s="3">
        <f t="shared" si="26"/>
        <v>0</v>
      </c>
      <c r="R200" t="str">
        <f>IF(G200=0,"",_xlfn.XLOOKUP(G200,List_item!A:A,List_item!B:B))</f>
        <v>Karkas Uk 0.8 Frozen Premium</v>
      </c>
    </row>
    <row r="201" spans="1:18" x14ac:dyDescent="0.35">
      <c r="A201" t="s">
        <v>2186</v>
      </c>
      <c r="B201" s="3">
        <v>32000</v>
      </c>
      <c r="C201" t="s">
        <v>9</v>
      </c>
      <c r="E201"/>
      <c r="F201"/>
      <c r="G201" s="3" t="s">
        <v>2223</v>
      </c>
      <c r="H201" s="3">
        <v>532.4</v>
      </c>
      <c r="I201" s="26">
        <f t="shared" si="23"/>
        <v>5.0704761904761905E-2</v>
      </c>
      <c r="J201" s="3">
        <f t="shared" si="24"/>
        <v>17036800</v>
      </c>
      <c r="K201" s="31">
        <f t="shared" si="25"/>
        <v>0</v>
      </c>
      <c r="L201" s="3">
        <f t="shared" si="27"/>
        <v>0</v>
      </c>
      <c r="M201" s="3">
        <f t="shared" si="26"/>
        <v>0</v>
      </c>
      <c r="N201" s="3"/>
      <c r="R201" t="str">
        <f>IF(G201=0,"",_xlfn.XLOOKUP(G201,List_item!A:A,List_item!B:B))</f>
        <v>Karkas Uk 0.9 Frozen Premium</v>
      </c>
    </row>
    <row r="202" spans="1:18" x14ac:dyDescent="0.35">
      <c r="A202" t="s">
        <v>2187</v>
      </c>
      <c r="B202" s="3">
        <v>32000</v>
      </c>
      <c r="C202" t="s">
        <v>9</v>
      </c>
      <c r="E202" s="3"/>
      <c r="F202"/>
      <c r="G202" s="3" t="s">
        <v>923</v>
      </c>
      <c r="H202" s="3">
        <v>76.5</v>
      </c>
      <c r="I202" s="26">
        <f t="shared" si="23"/>
        <v>7.285714285714286E-3</v>
      </c>
      <c r="J202" s="3">
        <f t="shared" si="24"/>
        <v>2448000</v>
      </c>
      <c r="K202" s="31">
        <f t="shared" si="25"/>
        <v>0</v>
      </c>
      <c r="L202" s="3">
        <f t="shared" si="27"/>
        <v>0</v>
      </c>
      <c r="M202" s="3">
        <f t="shared" si="26"/>
        <v>0</v>
      </c>
      <c r="N202" s="3"/>
      <c r="R202" t="str">
        <f>IF(G202=0,"",_xlfn.XLOOKUP(G202,List_item!A:A,List_item!B:B))</f>
        <v>Karkas Uk 1.0 Karkas Uk 1.0 Frozen Premium</v>
      </c>
    </row>
    <row r="203" spans="1:18" x14ac:dyDescent="0.35">
      <c r="A203" t="s">
        <v>2188</v>
      </c>
      <c r="B203" s="3">
        <v>32000</v>
      </c>
      <c r="C203" t="s">
        <v>9</v>
      </c>
      <c r="E203" s="6"/>
      <c r="F203"/>
      <c r="G203" s="3" t="s">
        <v>989</v>
      </c>
      <c r="H203" s="3">
        <v>12.7</v>
      </c>
      <c r="I203" s="26">
        <f t="shared" si="23"/>
        <v>1.2095238095238094E-3</v>
      </c>
      <c r="J203" s="3">
        <f t="shared" si="24"/>
        <v>406400</v>
      </c>
      <c r="K203" s="31">
        <f t="shared" si="25"/>
        <v>0</v>
      </c>
      <c r="L203" s="3">
        <f t="shared" si="27"/>
        <v>0</v>
      </c>
      <c r="M203" s="3">
        <f t="shared" si="26"/>
        <v>0</v>
      </c>
      <c r="N203" s="3"/>
      <c r="R203" t="str">
        <f>IF(G203=0,"",_xlfn.XLOOKUP(G203,List_item!A:A,List_item!B:B))</f>
        <v>Karkas Uk 1.1 Karkas Uk 1.1 Frozen Premium</v>
      </c>
    </row>
    <row r="204" spans="1:18" x14ac:dyDescent="0.35">
      <c r="A204" t="s">
        <v>2189</v>
      </c>
      <c r="B204" s="3" t="e">
        <f>_xlfn.XLOOKUP(A204,'Price list'!A:A,'Price list'!B:B)</f>
        <v>#N/A</v>
      </c>
      <c r="C204" t="s">
        <v>9</v>
      </c>
      <c r="E204" s="3"/>
      <c r="F204" s="3"/>
      <c r="G204" s="3"/>
      <c r="H204" s="3">
        <v>0</v>
      </c>
      <c r="I204" s="26">
        <f t="shared" si="23"/>
        <v>0</v>
      </c>
      <c r="J204" s="3" t="e">
        <f t="shared" si="24"/>
        <v>#N/A</v>
      </c>
      <c r="K204" s="31">
        <f t="shared" si="25"/>
        <v>0</v>
      </c>
      <c r="L204" s="3">
        <f t="shared" si="27"/>
        <v>0</v>
      </c>
      <c r="M204" s="3">
        <f t="shared" si="26"/>
        <v>0</v>
      </c>
      <c r="N204" s="3"/>
      <c r="R204" t="str">
        <f>IF(G204=0,"",_xlfn.XLOOKUP(G204,List_item!A:A,List_item!B:B))</f>
        <v/>
      </c>
    </row>
    <row r="205" spans="1:18" x14ac:dyDescent="0.35">
      <c r="A205" t="s">
        <v>2190</v>
      </c>
      <c r="B205" s="2" t="e">
        <f>_xlfn.XLOOKUP(A205,'Price list'!A:A,'Price list'!B:B)</f>
        <v>#N/A</v>
      </c>
      <c r="C205" t="s">
        <v>9</v>
      </c>
      <c r="G205" s="3"/>
      <c r="H205" s="2">
        <v>0</v>
      </c>
      <c r="I205" s="26">
        <f t="shared" si="23"/>
        <v>0</v>
      </c>
      <c r="J205" s="3" t="e">
        <f t="shared" si="24"/>
        <v>#N/A</v>
      </c>
      <c r="K205" s="31">
        <f t="shared" si="25"/>
        <v>0</v>
      </c>
      <c r="L205" s="3">
        <f t="shared" si="27"/>
        <v>0</v>
      </c>
      <c r="M205" s="3">
        <f t="shared" si="26"/>
        <v>0</v>
      </c>
      <c r="R205" t="str">
        <f>IF(G205=0,"",_xlfn.XLOOKUP(G205,List_item!A:A,List_item!B:B))</f>
        <v/>
      </c>
    </row>
    <row r="206" spans="1:18" x14ac:dyDescent="0.35">
      <c r="A206" t="s">
        <v>2191</v>
      </c>
      <c r="B206" s="2">
        <v>32000</v>
      </c>
      <c r="C206" t="s">
        <v>9</v>
      </c>
      <c r="G206" s="3"/>
      <c r="H206" s="2">
        <v>0</v>
      </c>
      <c r="I206" s="26">
        <f t="shared" si="23"/>
        <v>0</v>
      </c>
      <c r="J206" s="3">
        <f t="shared" si="24"/>
        <v>0</v>
      </c>
      <c r="K206" s="31">
        <f t="shared" si="25"/>
        <v>0</v>
      </c>
      <c r="L206" s="3">
        <f t="shared" si="27"/>
        <v>0</v>
      </c>
      <c r="M206" s="3">
        <f t="shared" si="26"/>
        <v>0</v>
      </c>
      <c r="R206" t="str">
        <f>IF(G206=0,"",_xlfn.XLOOKUP(G206,List_item!A:A,List_item!B:B))</f>
        <v/>
      </c>
    </row>
    <row r="207" spans="1:18" x14ac:dyDescent="0.35">
      <c r="A207" t="s">
        <v>2192</v>
      </c>
      <c r="B207" s="2">
        <v>32000</v>
      </c>
      <c r="C207" t="s">
        <v>9</v>
      </c>
      <c r="E207" s="3"/>
      <c r="G207" s="3"/>
      <c r="H207" s="3">
        <v>0</v>
      </c>
      <c r="I207" s="26">
        <f t="shared" si="23"/>
        <v>0</v>
      </c>
      <c r="J207" s="3">
        <f t="shared" si="24"/>
        <v>0</v>
      </c>
      <c r="K207" s="31">
        <f t="shared" si="25"/>
        <v>0</v>
      </c>
      <c r="L207" s="3">
        <f t="shared" si="27"/>
        <v>0</v>
      </c>
      <c r="M207" s="3">
        <f t="shared" si="26"/>
        <v>0</v>
      </c>
      <c r="R207" t="str">
        <f>IF(G207=0,"",_xlfn.XLOOKUP(G207,List_item!A:A,List_item!B:B))</f>
        <v/>
      </c>
    </row>
    <row r="208" spans="1:18" x14ac:dyDescent="0.35">
      <c r="A208" t="s">
        <v>2193</v>
      </c>
      <c r="B208" s="2">
        <v>32000</v>
      </c>
      <c r="C208" t="s">
        <v>9</v>
      </c>
      <c r="G208" s="3"/>
      <c r="H208" s="2">
        <v>0</v>
      </c>
      <c r="I208" s="26">
        <f t="shared" si="23"/>
        <v>0</v>
      </c>
      <c r="J208" s="3">
        <f t="shared" si="24"/>
        <v>0</v>
      </c>
      <c r="K208" s="31">
        <f t="shared" si="25"/>
        <v>0</v>
      </c>
      <c r="L208" s="3">
        <f t="shared" si="27"/>
        <v>0</v>
      </c>
      <c r="M208" s="3">
        <f t="shared" si="26"/>
        <v>0</v>
      </c>
      <c r="R208" t="str">
        <f>IF(G208=0,"",_xlfn.XLOOKUP(G208,List_item!A:A,List_item!B:B))</f>
        <v/>
      </c>
    </row>
    <row r="209" spans="1:18" x14ac:dyDescent="0.35">
      <c r="A209" t="s">
        <v>2194</v>
      </c>
      <c r="B209" s="2" t="e">
        <f>_xlfn.XLOOKUP(A209,'Price list'!A:A,'Price list'!B:B)</f>
        <v>#N/A</v>
      </c>
      <c r="C209" t="s">
        <v>9</v>
      </c>
      <c r="E209" s="3"/>
      <c r="G209" s="3"/>
      <c r="H209" s="3">
        <v>0</v>
      </c>
      <c r="I209" s="26">
        <f t="shared" si="23"/>
        <v>0</v>
      </c>
      <c r="J209" s="3" t="e">
        <f t="shared" si="24"/>
        <v>#N/A</v>
      </c>
      <c r="K209" s="31">
        <f t="shared" si="25"/>
        <v>0</v>
      </c>
      <c r="L209" s="3">
        <f t="shared" si="27"/>
        <v>0</v>
      </c>
      <c r="M209" s="3">
        <f t="shared" si="26"/>
        <v>0</v>
      </c>
      <c r="R209" t="str">
        <f>IF(G209=0,"",_xlfn.XLOOKUP(G209,List_item!A:A,List_item!B:B))</f>
        <v/>
      </c>
    </row>
    <row r="210" spans="1:18" x14ac:dyDescent="0.35">
      <c r="A210" t="s">
        <v>2195</v>
      </c>
      <c r="B210" s="2" t="e">
        <f>_xlfn.XLOOKUP(A210,'Price list'!A:A,'Price list'!B:B)</f>
        <v>#N/A</v>
      </c>
      <c r="C210" t="s">
        <v>9</v>
      </c>
      <c r="E210" s="3"/>
      <c r="G210" s="3"/>
      <c r="H210" s="3">
        <v>0</v>
      </c>
      <c r="I210" s="26">
        <f t="shared" si="23"/>
        <v>0</v>
      </c>
      <c r="J210" s="3" t="e">
        <f t="shared" si="24"/>
        <v>#N/A</v>
      </c>
      <c r="K210" s="31">
        <f t="shared" si="25"/>
        <v>0</v>
      </c>
      <c r="L210" s="3">
        <f t="shared" si="27"/>
        <v>0</v>
      </c>
      <c r="M210" s="3">
        <f t="shared" si="26"/>
        <v>0</v>
      </c>
      <c r="R210" t="str">
        <f>IF(G210=0,"",_xlfn.XLOOKUP(G210,List_item!A:A,List_item!B:B))</f>
        <v/>
      </c>
    </row>
    <row r="211" spans="1:18" x14ac:dyDescent="0.35">
      <c r="A211" t="s">
        <v>2196</v>
      </c>
      <c r="B211" s="2">
        <v>32000</v>
      </c>
      <c r="C211" t="s">
        <v>9</v>
      </c>
      <c r="G211" s="3"/>
      <c r="H211" s="2">
        <v>0</v>
      </c>
      <c r="I211" s="26">
        <f t="shared" si="23"/>
        <v>0</v>
      </c>
      <c r="J211" s="3">
        <f t="shared" si="24"/>
        <v>0</v>
      </c>
      <c r="K211" s="31">
        <f t="shared" si="25"/>
        <v>0</v>
      </c>
      <c r="L211" s="3">
        <f t="shared" si="27"/>
        <v>0</v>
      </c>
      <c r="M211" s="3">
        <f t="shared" si="26"/>
        <v>0</v>
      </c>
      <c r="R211" t="str">
        <f>IF(G211=0,"",_xlfn.XLOOKUP(G211,List_item!A:A,List_item!B:B))</f>
        <v/>
      </c>
    </row>
    <row r="212" spans="1:18" x14ac:dyDescent="0.35">
      <c r="A212" t="s">
        <v>2197</v>
      </c>
      <c r="B212" s="2">
        <v>32000</v>
      </c>
      <c r="C212" t="s">
        <v>9</v>
      </c>
      <c r="E212" s="3"/>
      <c r="G212" s="3"/>
      <c r="H212" s="3">
        <v>0</v>
      </c>
      <c r="I212" s="26">
        <f t="shared" si="23"/>
        <v>0</v>
      </c>
      <c r="J212" s="3">
        <f t="shared" si="24"/>
        <v>0</v>
      </c>
      <c r="K212" s="31">
        <f t="shared" si="25"/>
        <v>0</v>
      </c>
      <c r="L212" s="3">
        <f t="shared" si="27"/>
        <v>0</v>
      </c>
      <c r="M212" s="3">
        <f t="shared" si="26"/>
        <v>0</v>
      </c>
      <c r="R212" t="str">
        <f>IF(G212=0,"",_xlfn.XLOOKUP(G212,List_item!A:A,List_item!B:B))</f>
        <v/>
      </c>
    </row>
    <row r="213" spans="1:18" x14ac:dyDescent="0.35">
      <c r="A213" t="s">
        <v>2198</v>
      </c>
      <c r="B213" s="2">
        <v>32000</v>
      </c>
      <c r="C213" t="s">
        <v>9</v>
      </c>
      <c r="E213" s="3"/>
      <c r="F213" s="3"/>
      <c r="G213" s="3"/>
      <c r="H213" s="3">
        <v>0</v>
      </c>
      <c r="I213" s="26">
        <f t="shared" si="23"/>
        <v>0</v>
      </c>
      <c r="J213" s="3">
        <f t="shared" si="24"/>
        <v>0</v>
      </c>
      <c r="K213" s="31">
        <f t="shared" si="25"/>
        <v>0</v>
      </c>
      <c r="L213" s="3">
        <f t="shared" si="27"/>
        <v>0</v>
      </c>
      <c r="M213" s="3">
        <f t="shared" si="26"/>
        <v>0</v>
      </c>
      <c r="R213" t="str">
        <f>IF(G213=0,"",_xlfn.XLOOKUP(G213,List_item!A:A,List_item!B:B))</f>
        <v/>
      </c>
    </row>
    <row r="214" spans="1:18" x14ac:dyDescent="0.35">
      <c r="A214" t="s">
        <v>8</v>
      </c>
      <c r="B214" s="2">
        <f>_xlfn.XLOOKUP(A214,'Price list'!A:A,'Price list'!B:B)</f>
        <v>50000</v>
      </c>
      <c r="C214" t="s">
        <v>9</v>
      </c>
      <c r="H214" s="2">
        <v>0</v>
      </c>
      <c r="I214" s="26">
        <f t="shared" si="23"/>
        <v>0</v>
      </c>
      <c r="J214" s="3">
        <f>+B214*(F214+H214)</f>
        <v>0</v>
      </c>
      <c r="K214" s="31">
        <f t="shared" si="25"/>
        <v>0</v>
      </c>
      <c r="L214" s="3">
        <f t="shared" si="27"/>
        <v>0</v>
      </c>
      <c r="M214" s="3">
        <f t="shared" si="26"/>
        <v>0</v>
      </c>
      <c r="R214" t="str">
        <f>IF(G214=0,"",_xlfn.XLOOKUP(G214,List_item!A:A,List_item!B:B))</f>
        <v/>
      </c>
    </row>
    <row r="215" spans="1:18" x14ac:dyDescent="0.35">
      <c r="A215" t="s">
        <v>10</v>
      </c>
      <c r="B215" s="2">
        <f>_xlfn.XLOOKUP(A215,'Price list'!A:A,'Price list'!B:B)</f>
        <v>48000</v>
      </c>
      <c r="C215" t="s">
        <v>9</v>
      </c>
      <c r="H215" s="2">
        <v>0</v>
      </c>
      <c r="I215" s="26">
        <f t="shared" si="23"/>
        <v>0</v>
      </c>
      <c r="J215" s="3">
        <f t="shared" ref="J215:J250" si="28">+B215*(F215+H215)</f>
        <v>0</v>
      </c>
      <c r="K215" s="31">
        <f t="shared" si="25"/>
        <v>0</v>
      </c>
      <c r="L215" s="3">
        <f t="shared" si="27"/>
        <v>0</v>
      </c>
      <c r="M215" s="3">
        <f t="shared" si="26"/>
        <v>0</v>
      </c>
      <c r="R215" t="str">
        <f>IF(G215=0,"",_xlfn.XLOOKUP(G215,List_item!A:A,List_item!B:B))</f>
        <v/>
      </c>
    </row>
    <row r="216" spans="1:18" x14ac:dyDescent="0.35">
      <c r="A216" t="s">
        <v>12</v>
      </c>
      <c r="B216" s="2">
        <f>_xlfn.XLOOKUP(A216,'Price list'!A:A,'Price list'!B:B)</f>
        <v>49000</v>
      </c>
      <c r="C216" t="s">
        <v>9</v>
      </c>
      <c r="H216" s="2">
        <v>0</v>
      </c>
      <c r="I216" s="26">
        <f t="shared" si="23"/>
        <v>0</v>
      </c>
      <c r="J216" s="3">
        <f t="shared" si="28"/>
        <v>0</v>
      </c>
      <c r="K216" s="31">
        <f t="shared" si="25"/>
        <v>0</v>
      </c>
      <c r="L216" s="3">
        <f t="shared" si="27"/>
        <v>0</v>
      </c>
      <c r="M216" s="3">
        <f t="shared" si="26"/>
        <v>0</v>
      </c>
      <c r="R216" t="str">
        <f>IF(G216=0,"",_xlfn.XLOOKUP(G216,List_item!A:A,List_item!B:B))</f>
        <v/>
      </c>
    </row>
    <row r="217" spans="1:18" x14ac:dyDescent="0.35">
      <c r="A217" t="s">
        <v>2159</v>
      </c>
      <c r="B217" s="2">
        <f>_xlfn.XLOOKUP(A217,'Price list'!A:A,'Price list'!B:B)</f>
        <v>5500</v>
      </c>
      <c r="C217" t="s">
        <v>9</v>
      </c>
      <c r="H217" s="2">
        <v>0</v>
      </c>
      <c r="I217" s="26">
        <f t="shared" si="23"/>
        <v>0</v>
      </c>
      <c r="J217" s="3">
        <f t="shared" si="28"/>
        <v>0</v>
      </c>
      <c r="K217" s="31">
        <f t="shared" si="25"/>
        <v>0</v>
      </c>
      <c r="L217" s="3">
        <f t="shared" si="27"/>
        <v>0</v>
      </c>
      <c r="M217" s="3">
        <f t="shared" si="26"/>
        <v>0</v>
      </c>
      <c r="R217" t="str">
        <f>IF(G217=0,"",_xlfn.XLOOKUP(G217,List_item!A:A,List_item!B:B))</f>
        <v/>
      </c>
    </row>
    <row r="218" spans="1:18" x14ac:dyDescent="0.35">
      <c r="A218" t="s">
        <v>2178</v>
      </c>
      <c r="B218" s="2" t="e">
        <f>_xlfn.XLOOKUP(A218,'Price list'!A:A,'Price list'!B:B)</f>
        <v>#N/A</v>
      </c>
      <c r="C218" t="s">
        <v>9</v>
      </c>
      <c r="H218" s="2">
        <v>0</v>
      </c>
      <c r="I218" s="26">
        <f t="shared" si="23"/>
        <v>0</v>
      </c>
      <c r="J218" s="3" t="e">
        <f t="shared" si="28"/>
        <v>#N/A</v>
      </c>
      <c r="K218" s="31">
        <f t="shared" si="25"/>
        <v>0</v>
      </c>
      <c r="L218" s="3">
        <f t="shared" si="27"/>
        <v>0</v>
      </c>
      <c r="M218" s="3">
        <f t="shared" si="26"/>
        <v>0</v>
      </c>
      <c r="R218" t="str">
        <f>IF(G218=0,"",_xlfn.XLOOKUP(G218,List_item!A:A,List_item!B:B))</f>
        <v/>
      </c>
    </row>
    <row r="219" spans="1:18" x14ac:dyDescent="0.35">
      <c r="A219" t="s">
        <v>2179</v>
      </c>
      <c r="B219" s="2" t="e">
        <f>_xlfn.XLOOKUP(A219,'Price list'!A:A,'Price list'!B:B)</f>
        <v>#N/A</v>
      </c>
      <c r="C219" t="s">
        <v>9</v>
      </c>
      <c r="H219" s="2">
        <v>0</v>
      </c>
      <c r="I219" s="26">
        <f t="shared" si="23"/>
        <v>0</v>
      </c>
      <c r="J219" s="3" t="e">
        <f t="shared" si="28"/>
        <v>#N/A</v>
      </c>
      <c r="K219" s="31">
        <f t="shared" si="25"/>
        <v>0</v>
      </c>
      <c r="L219" s="3">
        <f t="shared" si="27"/>
        <v>0</v>
      </c>
      <c r="M219" s="3">
        <f t="shared" si="26"/>
        <v>0</v>
      </c>
      <c r="R219" t="str">
        <f>IF(G219=0,"",_xlfn.XLOOKUP(G219,List_item!A:A,List_item!B:B))</f>
        <v/>
      </c>
    </row>
    <row r="220" spans="1:18" x14ac:dyDescent="0.35">
      <c r="A220" t="s">
        <v>2160</v>
      </c>
      <c r="B220" s="2">
        <f>_xlfn.XLOOKUP(A220,'Price list'!A:A,'Price list'!B:B)</f>
        <v>18000</v>
      </c>
      <c r="C220" t="s">
        <v>9</v>
      </c>
      <c r="H220" s="2">
        <v>0</v>
      </c>
      <c r="I220" s="26">
        <f t="shared" si="23"/>
        <v>0</v>
      </c>
      <c r="J220" s="3">
        <f t="shared" si="28"/>
        <v>0</v>
      </c>
      <c r="K220" s="31">
        <f t="shared" si="25"/>
        <v>0</v>
      </c>
      <c r="L220" s="3">
        <f t="shared" si="27"/>
        <v>0</v>
      </c>
      <c r="M220" s="3">
        <f t="shared" si="26"/>
        <v>0</v>
      </c>
      <c r="R220" t="str">
        <f>IF(G220=0,"",_xlfn.XLOOKUP(G220,List_item!A:A,List_item!B:B))</f>
        <v/>
      </c>
    </row>
    <row r="221" spans="1:18" x14ac:dyDescent="0.35">
      <c r="A221" t="s">
        <v>17</v>
      </c>
      <c r="B221" s="2">
        <f>_xlfn.XLOOKUP(A221,'Price list'!A:A,'Price list'!B:B)</f>
        <v>3500</v>
      </c>
      <c r="C221" t="s">
        <v>9</v>
      </c>
      <c r="H221" s="2">
        <v>0</v>
      </c>
      <c r="I221" s="26">
        <f t="shared" si="23"/>
        <v>0</v>
      </c>
      <c r="J221" s="3">
        <f t="shared" si="28"/>
        <v>0</v>
      </c>
      <c r="K221" s="31">
        <f t="shared" si="25"/>
        <v>0</v>
      </c>
      <c r="L221" s="3">
        <f t="shared" si="27"/>
        <v>0</v>
      </c>
      <c r="M221" s="3">
        <f t="shared" si="26"/>
        <v>0</v>
      </c>
      <c r="R221" t="str">
        <f>IF(G221=0,"",_xlfn.XLOOKUP(G221,List_item!A:A,List_item!B:B))</f>
        <v/>
      </c>
    </row>
    <row r="222" spans="1:18" x14ac:dyDescent="0.35">
      <c r="A222" t="s">
        <v>2199</v>
      </c>
      <c r="B222" s="2">
        <f>_xlfn.XLOOKUP(A222,'Price list'!A:A,'Price list'!B:B)</f>
        <v>38000</v>
      </c>
      <c r="C222" t="s">
        <v>9</v>
      </c>
      <c r="H222" s="2">
        <v>0</v>
      </c>
      <c r="I222" s="26">
        <f t="shared" si="23"/>
        <v>0</v>
      </c>
      <c r="J222" s="3">
        <f t="shared" si="28"/>
        <v>0</v>
      </c>
      <c r="K222" s="31">
        <f t="shared" si="25"/>
        <v>0</v>
      </c>
      <c r="L222" s="3">
        <f t="shared" si="27"/>
        <v>0</v>
      </c>
      <c r="M222" s="3">
        <f t="shared" si="26"/>
        <v>0</v>
      </c>
      <c r="R222" t="str">
        <f>IF(G222=0,"",_xlfn.XLOOKUP(G222,List_item!A:A,List_item!B:B))</f>
        <v/>
      </c>
    </row>
    <row r="223" spans="1:18" x14ac:dyDescent="0.35">
      <c r="A223" t="s">
        <v>2161</v>
      </c>
      <c r="B223" s="2">
        <f>_xlfn.XLOOKUP(A223,'Price list'!A:A,'Price list'!B:B)</f>
        <v>18000</v>
      </c>
      <c r="C223" t="s">
        <v>9</v>
      </c>
      <c r="G223" s="2" t="s">
        <v>19</v>
      </c>
      <c r="H223" s="2">
        <v>7</v>
      </c>
      <c r="I223" s="26">
        <f t="shared" si="23"/>
        <v>6.6666666666666664E-4</v>
      </c>
      <c r="J223" s="3">
        <f t="shared" si="28"/>
        <v>126000</v>
      </c>
      <c r="K223" s="31">
        <f t="shared" si="25"/>
        <v>0</v>
      </c>
      <c r="L223" s="3">
        <f t="shared" si="27"/>
        <v>0</v>
      </c>
      <c r="M223" s="3">
        <f t="shared" si="26"/>
        <v>0</v>
      </c>
      <c r="R223" t="str">
        <f>IF(G223=0,"",_xlfn.XLOOKUP(G223,List_item!A:A,List_item!B:B))</f>
        <v>Boneless BL Frozen Lemak</v>
      </c>
    </row>
    <row r="224" spans="1:18" x14ac:dyDescent="0.35">
      <c r="A224" t="s">
        <v>2162</v>
      </c>
      <c r="B224" s="2">
        <f>_xlfn.XLOOKUP(A224,'Price list'!A:A,'Price list'!B:B)</f>
        <v>8000</v>
      </c>
      <c r="C224" t="s">
        <v>9</v>
      </c>
      <c r="G224" s="2" t="s">
        <v>310</v>
      </c>
      <c r="H224" s="2">
        <v>204.9</v>
      </c>
      <c r="I224" s="26">
        <f t="shared" si="23"/>
        <v>1.9514285714285713E-2</v>
      </c>
      <c r="J224" s="3">
        <f t="shared" si="28"/>
        <v>1639200</v>
      </c>
      <c r="K224" s="31">
        <f t="shared" si="25"/>
        <v>0</v>
      </c>
      <c r="L224" s="3">
        <f t="shared" si="27"/>
        <v>0</v>
      </c>
      <c r="M224" s="3">
        <f t="shared" si="26"/>
        <v>0</v>
      </c>
      <c r="R224" t="str">
        <f>IF(G224=0,"",_xlfn.XLOOKUP(G224,List_item!A:A,List_item!B:B))</f>
        <v>Boneless BL Frozen Kepala</v>
      </c>
    </row>
    <row r="225" spans="1:18" x14ac:dyDescent="0.35">
      <c r="A225" t="s">
        <v>0</v>
      </c>
      <c r="B225" s="2">
        <f>_xlfn.XLOOKUP(A225,'Price list'!A:A,'Price list'!B:B)</f>
        <v>10000</v>
      </c>
      <c r="C225" t="s">
        <v>9</v>
      </c>
      <c r="G225" s="2" t="s">
        <v>22</v>
      </c>
      <c r="H225" s="2">
        <v>101.7</v>
      </c>
      <c r="I225" s="26">
        <f t="shared" si="23"/>
        <v>9.6857142857142853E-3</v>
      </c>
      <c r="J225" s="3">
        <f t="shared" si="28"/>
        <v>1017000</v>
      </c>
      <c r="K225" s="31">
        <f t="shared" si="25"/>
        <v>0</v>
      </c>
      <c r="L225" s="3">
        <f t="shared" si="27"/>
        <v>0</v>
      </c>
      <c r="M225" s="3">
        <f t="shared" si="26"/>
        <v>0</v>
      </c>
      <c r="R225" t="str">
        <f>IF(G225=0,"",_xlfn.XLOOKUP(G225,List_item!A:A,List_item!B:B))</f>
        <v>Boneless BL Frozen Ceker</v>
      </c>
    </row>
    <row r="226" spans="1:18" x14ac:dyDescent="0.35">
      <c r="A226" t="s">
        <v>24</v>
      </c>
      <c r="B226" s="2">
        <f>_xlfn.XLOOKUP(A226,'Price list'!A:A,'Price list'!B:B)</f>
        <v>4000</v>
      </c>
      <c r="C226" t="s">
        <v>9</v>
      </c>
      <c r="H226" s="2">
        <v>0</v>
      </c>
      <c r="I226" s="26">
        <f t="shared" si="23"/>
        <v>0</v>
      </c>
      <c r="J226" s="3">
        <f t="shared" si="28"/>
        <v>0</v>
      </c>
      <c r="K226" s="31">
        <f t="shared" si="25"/>
        <v>0</v>
      </c>
      <c r="L226" s="3">
        <f t="shared" si="27"/>
        <v>0</v>
      </c>
      <c r="M226" s="3">
        <f t="shared" si="26"/>
        <v>0</v>
      </c>
      <c r="R226" t="str">
        <f>IF(G226=0,"",_xlfn.XLOOKUP(G226,List_item!A:A,List_item!B:B))</f>
        <v/>
      </c>
    </row>
    <row r="227" spans="1:18" x14ac:dyDescent="0.35">
      <c r="A227" s="32" t="s">
        <v>2200</v>
      </c>
      <c r="B227" s="30">
        <v>0</v>
      </c>
      <c r="C227" s="32" t="s">
        <v>9</v>
      </c>
      <c r="D227" s="32"/>
      <c r="E227" s="30"/>
      <c r="F227" s="30"/>
      <c r="G227" s="30"/>
      <c r="H227" s="30">
        <v>190.6</v>
      </c>
      <c r="I227" s="33">
        <f t="shared" si="23"/>
        <v>1.8152380952380951E-2</v>
      </c>
      <c r="J227" s="30">
        <f t="shared" si="28"/>
        <v>0</v>
      </c>
      <c r="K227" s="34">
        <f t="shared" si="25"/>
        <v>0</v>
      </c>
      <c r="L227" s="30">
        <f t="shared" si="27"/>
        <v>0</v>
      </c>
      <c r="M227" s="30">
        <f t="shared" si="26"/>
        <v>0</v>
      </c>
      <c r="N227" s="30" t="s">
        <v>3825</v>
      </c>
      <c r="R227" t="str">
        <f>IF(G227=0,"",_xlfn.XLOOKUP(G227,List_item!A:A,List_item!B:B))</f>
        <v/>
      </c>
    </row>
    <row r="228" spans="1:18" x14ac:dyDescent="0.35">
      <c r="A228" t="s">
        <v>2167</v>
      </c>
      <c r="B228" s="2">
        <f>_xlfn.XLOOKUP(A228,'Price list'!A:A,'Price list'!B:B)</f>
        <v>16000</v>
      </c>
      <c r="C228" t="s">
        <v>9</v>
      </c>
      <c r="H228" s="2">
        <v>0</v>
      </c>
      <c r="I228" s="26">
        <f t="shared" si="23"/>
        <v>0</v>
      </c>
      <c r="J228" s="3">
        <f t="shared" si="28"/>
        <v>0</v>
      </c>
      <c r="K228" s="31">
        <f t="shared" si="25"/>
        <v>0</v>
      </c>
      <c r="L228" s="3">
        <f t="shared" si="27"/>
        <v>0</v>
      </c>
      <c r="M228" s="3">
        <f t="shared" si="26"/>
        <v>0</v>
      </c>
      <c r="R228" t="str">
        <f>IF(G228=0,"",_xlfn.XLOOKUP(G228,List_item!A:A,List_item!B:B))</f>
        <v/>
      </c>
    </row>
    <row r="229" spans="1:18" x14ac:dyDescent="0.35">
      <c r="A229" t="s">
        <v>2168</v>
      </c>
      <c r="B229" s="2">
        <f>_xlfn.XLOOKUP(A229,'Price list'!A:A,'Price list'!B:B)</f>
        <v>10000</v>
      </c>
      <c r="C229" t="s">
        <v>9</v>
      </c>
      <c r="H229" s="2">
        <v>0</v>
      </c>
      <c r="I229" s="26">
        <f t="shared" si="23"/>
        <v>0</v>
      </c>
      <c r="J229" s="3">
        <f t="shared" si="28"/>
        <v>0</v>
      </c>
      <c r="K229" s="31">
        <f t="shared" si="25"/>
        <v>0</v>
      </c>
      <c r="L229" s="3">
        <f t="shared" si="27"/>
        <v>0</v>
      </c>
      <c r="M229" s="3">
        <f t="shared" si="26"/>
        <v>0</v>
      </c>
      <c r="R229" t="str">
        <f>IF(G229=0,"",_xlfn.XLOOKUP(G229,List_item!A:A,List_item!B:B))</f>
        <v/>
      </c>
    </row>
    <row r="230" spans="1:18" x14ac:dyDescent="0.35">
      <c r="A230" t="s">
        <v>2169</v>
      </c>
      <c r="B230" s="2">
        <f>_xlfn.XLOOKUP(A230,'Price list'!A:A,'Price list'!B:B)</f>
        <v>5000</v>
      </c>
      <c r="C230" t="s">
        <v>9</v>
      </c>
      <c r="H230" s="2">
        <v>0</v>
      </c>
      <c r="I230" s="26">
        <f t="shared" si="23"/>
        <v>0</v>
      </c>
      <c r="J230" s="3">
        <f t="shared" si="28"/>
        <v>0</v>
      </c>
      <c r="K230" s="31">
        <f t="shared" si="25"/>
        <v>0</v>
      </c>
      <c r="L230" s="3">
        <f t="shared" si="27"/>
        <v>0</v>
      </c>
      <c r="M230" s="3">
        <f t="shared" si="26"/>
        <v>0</v>
      </c>
      <c r="R230" t="str">
        <f>IF(G230=0,"",_xlfn.XLOOKUP(G230,List_item!A:A,List_item!B:B))</f>
        <v/>
      </c>
    </row>
    <row r="231" spans="1:18" x14ac:dyDescent="0.35">
      <c r="A231" t="s">
        <v>2201</v>
      </c>
      <c r="B231" s="2">
        <v>700</v>
      </c>
      <c r="C231" t="s">
        <v>9</v>
      </c>
      <c r="G231" s="2" t="s">
        <v>286</v>
      </c>
      <c r="H231" s="2">
        <v>226</v>
      </c>
      <c r="I231" s="26">
        <f t="shared" si="23"/>
        <v>2.1523809523809525E-2</v>
      </c>
      <c r="J231" s="3">
        <f t="shared" si="28"/>
        <v>158200</v>
      </c>
      <c r="K231" s="31">
        <f t="shared" si="25"/>
        <v>0</v>
      </c>
      <c r="L231" s="3">
        <f t="shared" si="27"/>
        <v>0</v>
      </c>
      <c r="M231" s="3">
        <f t="shared" si="26"/>
        <v>0</v>
      </c>
      <c r="R231" t="str">
        <f>IF(G231=0,"",_xlfn.XLOOKUP(G231,List_item!A:A,List_item!B:B))</f>
        <v>Boneless BL Frozen HJA</v>
      </c>
    </row>
    <row r="232" spans="1:18" x14ac:dyDescent="0.35">
      <c r="A232" t="s">
        <v>2170</v>
      </c>
      <c r="B232" s="2">
        <f>_xlfn.XLOOKUP(A232,'Price list'!A:A,'Price list'!B:B)</f>
        <v>45000</v>
      </c>
      <c r="C232" t="s">
        <v>9</v>
      </c>
      <c r="H232" s="2">
        <v>0</v>
      </c>
      <c r="I232" s="26">
        <f t="shared" si="23"/>
        <v>0</v>
      </c>
      <c r="J232" s="3">
        <f t="shared" si="28"/>
        <v>0</v>
      </c>
      <c r="K232" s="31">
        <f t="shared" si="25"/>
        <v>0</v>
      </c>
      <c r="L232" s="3">
        <f t="shared" si="27"/>
        <v>0</v>
      </c>
      <c r="M232" s="3">
        <f t="shared" si="26"/>
        <v>0</v>
      </c>
      <c r="R232" t="str">
        <f>IF(G232=0,"",_xlfn.XLOOKUP(G232,List_item!A:A,List_item!B:B))</f>
        <v/>
      </c>
    </row>
    <row r="233" spans="1:18" x14ac:dyDescent="0.35">
      <c r="A233" t="s">
        <v>2171</v>
      </c>
      <c r="B233" s="2">
        <f>_xlfn.XLOOKUP(A233,'Price list'!A:A,'Price list'!B:B)</f>
        <v>44000</v>
      </c>
      <c r="C233" t="s">
        <v>9</v>
      </c>
      <c r="H233" s="2">
        <v>0</v>
      </c>
      <c r="I233" s="26">
        <f t="shared" si="23"/>
        <v>0</v>
      </c>
      <c r="J233" s="3">
        <f t="shared" si="28"/>
        <v>0</v>
      </c>
      <c r="K233" s="31">
        <f t="shared" si="25"/>
        <v>0</v>
      </c>
      <c r="L233" s="3">
        <f t="shared" si="27"/>
        <v>0</v>
      </c>
      <c r="M233" s="3">
        <f t="shared" si="26"/>
        <v>0</v>
      </c>
      <c r="R233" t="str">
        <f>IF(G233=0,"",_xlfn.XLOOKUP(G233,List_item!A:A,List_item!B:B))</f>
        <v/>
      </c>
    </row>
    <row r="234" spans="1:18" x14ac:dyDescent="0.35">
      <c r="A234" t="s">
        <v>2202</v>
      </c>
      <c r="B234" s="2">
        <v>30000</v>
      </c>
      <c r="C234" t="s">
        <v>9</v>
      </c>
      <c r="G234" s="2" t="s">
        <v>505</v>
      </c>
      <c r="H234" s="2">
        <v>1.8</v>
      </c>
      <c r="I234" s="26">
        <f t="shared" si="23"/>
        <v>1.7142857142857143E-4</v>
      </c>
      <c r="J234" s="3">
        <f t="shared" si="28"/>
        <v>54000</v>
      </c>
      <c r="K234" s="31">
        <f t="shared" si="25"/>
        <v>0</v>
      </c>
      <c r="L234" s="3">
        <f t="shared" si="27"/>
        <v>0</v>
      </c>
      <c r="M234" s="3">
        <f t="shared" si="26"/>
        <v>0</v>
      </c>
      <c r="R234" t="str">
        <f>IF(G234=0,"",_xlfn.XLOOKUP(G234,List_item!A:A,List_item!B:B))</f>
        <v>Karkas Uk 0.4 Karkas Uk 0.4 Frozen Grade A</v>
      </c>
    </row>
    <row r="235" spans="1:18" x14ac:dyDescent="0.35">
      <c r="A235" t="s">
        <v>2203</v>
      </c>
      <c r="B235" s="2">
        <v>30000</v>
      </c>
      <c r="C235" t="s">
        <v>9</v>
      </c>
      <c r="G235" s="2" t="s">
        <v>571</v>
      </c>
      <c r="H235" s="2">
        <v>4.7</v>
      </c>
      <c r="I235" s="26">
        <f t="shared" si="23"/>
        <v>4.4761904761904766E-4</v>
      </c>
      <c r="J235" s="3">
        <f t="shared" si="28"/>
        <v>141000</v>
      </c>
      <c r="K235" s="31">
        <f t="shared" si="25"/>
        <v>0</v>
      </c>
      <c r="L235" s="3">
        <f t="shared" si="27"/>
        <v>0</v>
      </c>
      <c r="M235" s="3">
        <f t="shared" si="26"/>
        <v>0</v>
      </c>
      <c r="R235" t="str">
        <f>IF(G235=0,"",_xlfn.XLOOKUP(G235,List_item!A:A,List_item!B:B))</f>
        <v>Karkas Uk 0.5 Karkas Uk 0.5 Frozen Grade A</v>
      </c>
    </row>
    <row r="236" spans="1:18" x14ac:dyDescent="0.35">
      <c r="A236" t="s">
        <v>2204</v>
      </c>
      <c r="B236" s="2">
        <v>30000</v>
      </c>
      <c r="C236" t="s">
        <v>9</v>
      </c>
      <c r="G236" s="2" t="s">
        <v>636</v>
      </c>
      <c r="H236" s="2">
        <v>8.3000000000000007</v>
      </c>
      <c r="I236" s="26">
        <f t="shared" si="23"/>
        <v>7.9047619047619051E-4</v>
      </c>
      <c r="J236" s="3">
        <f t="shared" si="28"/>
        <v>249000.00000000003</v>
      </c>
      <c r="K236" s="31">
        <f t="shared" si="25"/>
        <v>0</v>
      </c>
      <c r="L236" s="3">
        <f t="shared" si="27"/>
        <v>0</v>
      </c>
      <c r="M236" s="3">
        <f t="shared" si="26"/>
        <v>0</v>
      </c>
      <c r="R236" t="str">
        <f>IF(G236=0,"",_xlfn.XLOOKUP(G236,List_item!A:A,List_item!B:B))</f>
        <v>Karkas Uk 0.6 Karkas Uk 0.6 Frozen Grade A</v>
      </c>
    </row>
    <row r="237" spans="1:18" x14ac:dyDescent="0.35">
      <c r="A237" t="s">
        <v>2205</v>
      </c>
      <c r="B237" s="2">
        <v>30000</v>
      </c>
      <c r="C237" t="s">
        <v>9</v>
      </c>
      <c r="G237" s="2" t="s">
        <v>701</v>
      </c>
      <c r="H237" s="2">
        <v>16.399999999999999</v>
      </c>
      <c r="I237" s="26">
        <f t="shared" si="23"/>
        <v>1.5619047619047617E-3</v>
      </c>
      <c r="J237" s="3">
        <f t="shared" si="28"/>
        <v>491999.99999999994</v>
      </c>
      <c r="K237" s="31">
        <f t="shared" si="25"/>
        <v>0</v>
      </c>
      <c r="L237" s="3">
        <f t="shared" si="27"/>
        <v>0</v>
      </c>
      <c r="M237" s="3">
        <f t="shared" si="26"/>
        <v>0</v>
      </c>
      <c r="R237" t="str">
        <f>IF(G237=0,"",_xlfn.XLOOKUP(G237,List_item!A:A,List_item!B:B))</f>
        <v>Karkas Uk 0.7 Karkas Uk 0.7 Frozen Grade A</v>
      </c>
    </row>
    <row r="238" spans="1:18" x14ac:dyDescent="0.35">
      <c r="A238" t="s">
        <v>2206</v>
      </c>
      <c r="B238" s="2">
        <v>30000</v>
      </c>
      <c r="C238" t="s">
        <v>9</v>
      </c>
      <c r="G238" s="2" t="s">
        <v>766</v>
      </c>
      <c r="H238" s="2">
        <v>19.3</v>
      </c>
      <c r="I238" s="26">
        <f t="shared" si="23"/>
        <v>1.8380952380952381E-3</v>
      </c>
      <c r="J238" s="3">
        <f t="shared" si="28"/>
        <v>579000</v>
      </c>
      <c r="K238" s="31">
        <f t="shared" si="25"/>
        <v>0</v>
      </c>
      <c r="L238" s="3">
        <f t="shared" si="27"/>
        <v>0</v>
      </c>
      <c r="M238" s="3">
        <f t="shared" si="26"/>
        <v>0</v>
      </c>
      <c r="R238" t="str">
        <f>IF(G238=0,"",_xlfn.XLOOKUP(G238,List_item!A:A,List_item!B:B))</f>
        <v>Karkas Uk 0.8 Karkas Uk 0.8 Frozen Grade A</v>
      </c>
    </row>
    <row r="239" spans="1:18" x14ac:dyDescent="0.35">
      <c r="A239" t="s">
        <v>2207</v>
      </c>
      <c r="B239" s="2">
        <v>30000</v>
      </c>
      <c r="C239" t="s">
        <v>9</v>
      </c>
      <c r="G239" s="2" t="s">
        <v>831</v>
      </c>
      <c r="H239" s="2">
        <v>16.8</v>
      </c>
      <c r="I239" s="26">
        <f t="shared" si="23"/>
        <v>1.6000000000000001E-3</v>
      </c>
      <c r="J239" s="3">
        <f t="shared" si="28"/>
        <v>504000</v>
      </c>
      <c r="K239" s="31">
        <f t="shared" si="25"/>
        <v>0</v>
      </c>
      <c r="L239" s="3">
        <f t="shared" si="27"/>
        <v>0</v>
      </c>
      <c r="M239" s="3">
        <f t="shared" si="26"/>
        <v>0</v>
      </c>
      <c r="R239" t="str">
        <f>IF(G239=0,"",_xlfn.XLOOKUP(G239,List_item!A:A,List_item!B:B))</f>
        <v>Karkas Uk 0.9 Karkas Uk 0.9 Frozen Grade A</v>
      </c>
    </row>
    <row r="240" spans="1:18" x14ac:dyDescent="0.35">
      <c r="A240" t="s">
        <v>2208</v>
      </c>
      <c r="B240" s="2">
        <v>30000</v>
      </c>
      <c r="C240" t="s">
        <v>9</v>
      </c>
      <c r="H240" s="2">
        <v>0</v>
      </c>
      <c r="I240" s="26">
        <f t="shared" si="23"/>
        <v>0</v>
      </c>
      <c r="J240" s="3">
        <f t="shared" si="28"/>
        <v>0</v>
      </c>
      <c r="K240" s="31">
        <f t="shared" si="25"/>
        <v>0</v>
      </c>
      <c r="L240" s="3">
        <f t="shared" si="27"/>
        <v>0</v>
      </c>
      <c r="M240" s="3">
        <f t="shared" si="26"/>
        <v>0</v>
      </c>
      <c r="R240" t="str">
        <f>IF(G240=0,"",_xlfn.XLOOKUP(G240,List_item!A:A,List_item!B:B))</f>
        <v/>
      </c>
    </row>
    <row r="241" spans="1:18" x14ac:dyDescent="0.35">
      <c r="A241" t="s">
        <v>2209</v>
      </c>
      <c r="B241" s="2">
        <v>30000</v>
      </c>
      <c r="C241" t="s">
        <v>9</v>
      </c>
      <c r="H241" s="2">
        <v>0</v>
      </c>
      <c r="I241" s="26">
        <f t="shared" si="23"/>
        <v>0</v>
      </c>
      <c r="J241" s="3">
        <f t="shared" si="28"/>
        <v>0</v>
      </c>
      <c r="K241" s="31">
        <f t="shared" si="25"/>
        <v>0</v>
      </c>
      <c r="L241" s="3">
        <f t="shared" si="27"/>
        <v>0</v>
      </c>
      <c r="M241" s="3">
        <f t="shared" si="26"/>
        <v>0</v>
      </c>
      <c r="R241" t="str">
        <f>IF(G241=0,"",_xlfn.XLOOKUP(G241,List_item!A:A,List_item!B:B))</f>
        <v/>
      </c>
    </row>
    <row r="242" spans="1:18" x14ac:dyDescent="0.35">
      <c r="A242" t="s">
        <v>2210</v>
      </c>
      <c r="B242" s="2" t="e">
        <f>_xlfn.XLOOKUP(A242,'Price list'!A:A,'Price list'!B:B)</f>
        <v>#N/A</v>
      </c>
      <c r="C242" t="s">
        <v>9</v>
      </c>
      <c r="H242" s="2">
        <v>0</v>
      </c>
      <c r="I242" s="26">
        <f t="shared" si="23"/>
        <v>0</v>
      </c>
      <c r="J242" s="3" t="e">
        <f t="shared" si="28"/>
        <v>#N/A</v>
      </c>
      <c r="K242" s="31">
        <f t="shared" si="25"/>
        <v>0</v>
      </c>
      <c r="L242" s="3">
        <f t="shared" si="27"/>
        <v>0</v>
      </c>
      <c r="M242" s="3">
        <f t="shared" si="26"/>
        <v>0</v>
      </c>
      <c r="R242" t="str">
        <f>IF(G242=0,"",_xlfn.XLOOKUP(G242,List_item!A:A,List_item!B:B))</f>
        <v/>
      </c>
    </row>
    <row r="243" spans="1:18" x14ac:dyDescent="0.35">
      <c r="A243" t="s">
        <v>2211</v>
      </c>
      <c r="B243" s="2" t="e">
        <f>_xlfn.XLOOKUP(A243,'Price list'!A:A,'Price list'!B:B)</f>
        <v>#N/A</v>
      </c>
      <c r="C243" t="s">
        <v>9</v>
      </c>
      <c r="H243" s="2">
        <v>0</v>
      </c>
      <c r="I243" s="26">
        <f t="shared" si="23"/>
        <v>0</v>
      </c>
      <c r="J243" s="3" t="e">
        <f t="shared" si="28"/>
        <v>#N/A</v>
      </c>
      <c r="K243" s="31">
        <f t="shared" si="25"/>
        <v>0</v>
      </c>
      <c r="L243" s="3">
        <f t="shared" si="27"/>
        <v>0</v>
      </c>
      <c r="M243" s="3">
        <f t="shared" si="26"/>
        <v>0</v>
      </c>
      <c r="R243" t="str">
        <f>IF(G243=0,"",_xlfn.XLOOKUP(G243,List_item!A:A,List_item!B:B))</f>
        <v/>
      </c>
    </row>
    <row r="244" spans="1:18" x14ac:dyDescent="0.35">
      <c r="A244" t="s">
        <v>2212</v>
      </c>
      <c r="B244" s="2">
        <v>30000</v>
      </c>
      <c r="C244" t="s">
        <v>9</v>
      </c>
      <c r="H244" s="2">
        <v>0</v>
      </c>
      <c r="I244" s="26">
        <f t="shared" si="23"/>
        <v>0</v>
      </c>
      <c r="J244" s="3">
        <f t="shared" si="28"/>
        <v>0</v>
      </c>
      <c r="K244" s="31">
        <f t="shared" si="25"/>
        <v>0</v>
      </c>
      <c r="L244" s="3">
        <f t="shared" si="27"/>
        <v>0</v>
      </c>
      <c r="M244" s="3">
        <f t="shared" si="26"/>
        <v>0</v>
      </c>
      <c r="R244" t="str">
        <f>IF(G244=0,"",_xlfn.XLOOKUP(G244,List_item!A:A,List_item!B:B))</f>
        <v/>
      </c>
    </row>
    <row r="245" spans="1:18" x14ac:dyDescent="0.35">
      <c r="A245" t="s">
        <v>2213</v>
      </c>
      <c r="B245" s="2">
        <v>30000</v>
      </c>
      <c r="C245" t="s">
        <v>9</v>
      </c>
      <c r="H245" s="2">
        <v>0</v>
      </c>
      <c r="I245" s="26">
        <f t="shared" si="23"/>
        <v>0</v>
      </c>
      <c r="J245" s="3">
        <f t="shared" si="28"/>
        <v>0</v>
      </c>
      <c r="K245" s="31">
        <f t="shared" si="25"/>
        <v>0</v>
      </c>
      <c r="L245" s="3">
        <f t="shared" si="27"/>
        <v>0</v>
      </c>
      <c r="M245" s="3">
        <f t="shared" si="26"/>
        <v>0</v>
      </c>
      <c r="R245" t="str">
        <f>IF(G245=0,"",_xlfn.XLOOKUP(G245,List_item!A:A,List_item!B:B))</f>
        <v/>
      </c>
    </row>
    <row r="246" spans="1:18" x14ac:dyDescent="0.35">
      <c r="A246" t="s">
        <v>2214</v>
      </c>
      <c r="B246" s="2">
        <v>30000</v>
      </c>
      <c r="C246" t="s">
        <v>9</v>
      </c>
      <c r="H246" s="2">
        <v>0</v>
      </c>
      <c r="I246" s="26">
        <f t="shared" si="23"/>
        <v>0</v>
      </c>
      <c r="J246" s="3">
        <f t="shared" si="28"/>
        <v>0</v>
      </c>
      <c r="K246" s="31">
        <f t="shared" si="25"/>
        <v>0</v>
      </c>
      <c r="L246" s="3">
        <f t="shared" si="27"/>
        <v>0</v>
      </c>
      <c r="M246" s="3">
        <f t="shared" si="26"/>
        <v>0</v>
      </c>
      <c r="R246" t="str">
        <f>IF(G246=0,"",_xlfn.XLOOKUP(G246,List_item!A:A,List_item!B:B))</f>
        <v/>
      </c>
    </row>
    <row r="247" spans="1:18" x14ac:dyDescent="0.35">
      <c r="A247" t="s">
        <v>2215</v>
      </c>
      <c r="B247" s="2">
        <v>30000</v>
      </c>
      <c r="C247" t="s">
        <v>9</v>
      </c>
      <c r="H247" s="2">
        <v>0</v>
      </c>
      <c r="I247" s="26">
        <f t="shared" si="23"/>
        <v>0</v>
      </c>
      <c r="J247" s="3">
        <f t="shared" si="28"/>
        <v>0</v>
      </c>
      <c r="K247" s="31">
        <f t="shared" si="25"/>
        <v>0</v>
      </c>
      <c r="L247" s="3">
        <f t="shared" si="27"/>
        <v>0</v>
      </c>
      <c r="M247" s="3">
        <f t="shared" si="26"/>
        <v>0</v>
      </c>
      <c r="R247" t="str">
        <f>IF(G247=0,"",_xlfn.XLOOKUP(G247,List_item!A:A,List_item!B:B))</f>
        <v/>
      </c>
    </row>
    <row r="248" spans="1:18" x14ac:dyDescent="0.35">
      <c r="A248" t="s">
        <v>2216</v>
      </c>
      <c r="B248" s="2">
        <v>30000</v>
      </c>
      <c r="C248" t="s">
        <v>9</v>
      </c>
      <c r="H248" s="2">
        <v>0</v>
      </c>
      <c r="I248" s="26">
        <f t="shared" si="23"/>
        <v>0</v>
      </c>
      <c r="J248" s="3">
        <f t="shared" si="28"/>
        <v>0</v>
      </c>
      <c r="K248" s="31">
        <f t="shared" si="25"/>
        <v>0</v>
      </c>
      <c r="L248" s="3">
        <f t="shared" si="27"/>
        <v>0</v>
      </c>
      <c r="M248" s="3">
        <f t="shared" si="26"/>
        <v>0</v>
      </c>
      <c r="R248" t="str">
        <f>IF(G248=0,"",_xlfn.XLOOKUP(G248,List_item!A:A,List_item!B:B))</f>
        <v/>
      </c>
    </row>
    <row r="249" spans="1:18" x14ac:dyDescent="0.35">
      <c r="A249" t="s">
        <v>2217</v>
      </c>
      <c r="B249" s="2">
        <v>30000</v>
      </c>
      <c r="C249" t="s">
        <v>9</v>
      </c>
      <c r="H249" s="2">
        <v>0</v>
      </c>
      <c r="I249" s="26">
        <f t="shared" si="23"/>
        <v>0</v>
      </c>
      <c r="J249" s="3">
        <f t="shared" si="28"/>
        <v>0</v>
      </c>
      <c r="K249" s="31">
        <f t="shared" si="25"/>
        <v>0</v>
      </c>
      <c r="L249" s="3">
        <f t="shared" si="27"/>
        <v>0</v>
      </c>
      <c r="M249" s="3">
        <f t="shared" si="26"/>
        <v>0</v>
      </c>
      <c r="R249" t="str">
        <f>IF(G249=0,"",_xlfn.XLOOKUP(G249,List_item!A:A,List_item!B:B))</f>
        <v/>
      </c>
    </row>
    <row r="250" spans="1:18" x14ac:dyDescent="0.35">
      <c r="A250" t="s">
        <v>2218</v>
      </c>
      <c r="B250" s="2">
        <v>30000</v>
      </c>
      <c r="C250" t="s">
        <v>9</v>
      </c>
      <c r="H250" s="2">
        <v>0</v>
      </c>
      <c r="I250" s="26">
        <f t="shared" si="23"/>
        <v>0</v>
      </c>
      <c r="J250" s="3">
        <f t="shared" si="28"/>
        <v>0</v>
      </c>
      <c r="K250" s="31">
        <f t="shared" si="25"/>
        <v>0</v>
      </c>
      <c r="L250" s="3">
        <f t="shared" si="27"/>
        <v>0</v>
      </c>
      <c r="M250" s="3">
        <f t="shared" si="26"/>
        <v>0</v>
      </c>
    </row>
    <row r="255" spans="1:18" x14ac:dyDescent="0.35">
      <c r="A255" s="8" t="s">
        <v>3833</v>
      </c>
      <c r="B255" s="19"/>
      <c r="C255" s="18"/>
      <c r="E255" s="18" t="s">
        <v>3824</v>
      </c>
      <c r="F255" s="2">
        <f>F259/E259</f>
        <v>18100</v>
      </c>
      <c r="H255" s="40">
        <f>+SUM(H260:H288)+SUM(H298:H306)</f>
        <v>3252.9</v>
      </c>
      <c r="J255" s="19" t="s">
        <v>2176</v>
      </c>
      <c r="K255" s="28" t="e">
        <f>SUM(J260:J314)/L259-1</f>
        <v>#N/A</v>
      </c>
    </row>
    <row r="256" spans="1:18" x14ac:dyDescent="0.35">
      <c r="A256" s="170" t="s">
        <v>27</v>
      </c>
      <c r="B256" s="165" t="s">
        <v>2163</v>
      </c>
      <c r="C256" s="170" t="s">
        <v>4</v>
      </c>
      <c r="D256" s="1"/>
      <c r="E256" s="171" t="s">
        <v>28</v>
      </c>
      <c r="F256" s="165" t="s">
        <v>6</v>
      </c>
      <c r="G256" s="165" t="s">
        <v>29</v>
      </c>
      <c r="H256" s="165" t="s">
        <v>5</v>
      </c>
      <c r="I256" s="165" t="s">
        <v>2177</v>
      </c>
      <c r="J256" s="165" t="s">
        <v>2180</v>
      </c>
      <c r="K256" s="166" t="s">
        <v>3827</v>
      </c>
      <c r="L256" s="167" t="s">
        <v>2173</v>
      </c>
      <c r="M256" s="165" t="s">
        <v>2172</v>
      </c>
      <c r="N256" s="165" t="s">
        <v>3826</v>
      </c>
      <c r="O256" s="165" t="s">
        <v>3841</v>
      </c>
    </row>
    <row r="257" spans="1:18" x14ac:dyDescent="0.35">
      <c r="A257" s="170"/>
      <c r="B257" s="165"/>
      <c r="C257" s="170"/>
      <c r="D257" s="1"/>
      <c r="E257" s="171"/>
      <c r="F257" s="165"/>
      <c r="G257" s="165"/>
      <c r="H257" s="165"/>
      <c r="I257" s="165"/>
      <c r="J257" s="165"/>
      <c r="K257" s="166"/>
      <c r="L257" s="168"/>
      <c r="M257" s="165"/>
      <c r="N257" s="165"/>
      <c r="O257" s="165"/>
    </row>
    <row r="258" spans="1:18" x14ac:dyDescent="0.35">
      <c r="A258" s="170"/>
      <c r="B258" s="165"/>
      <c r="C258" s="170"/>
      <c r="D258" s="1"/>
      <c r="E258" s="171"/>
      <c r="F258" s="165"/>
      <c r="G258" s="165"/>
      <c r="H258" s="165"/>
      <c r="I258" s="165"/>
      <c r="J258" s="165"/>
      <c r="K258" s="166"/>
      <c r="L258" s="169"/>
      <c r="M258" s="165"/>
      <c r="N258" s="165"/>
      <c r="O258" s="165"/>
    </row>
    <row r="259" spans="1:18" x14ac:dyDescent="0.35">
      <c r="A259" s="4"/>
      <c r="B259" s="24"/>
      <c r="C259" s="4"/>
      <c r="D259" s="1"/>
      <c r="E259" s="5">
        <v>4500</v>
      </c>
      <c r="F259" s="5">
        <f>+E259*18100</f>
        <v>81450000</v>
      </c>
      <c r="G259" s="5"/>
      <c r="H259" s="5"/>
      <c r="I259" s="5"/>
      <c r="J259" s="5" t="e">
        <f>+SUM(J260:J314)</f>
        <v>#N/A</v>
      </c>
      <c r="K259" s="5"/>
      <c r="L259" s="5">
        <f>+SUM(L260:L314)</f>
        <v>0</v>
      </c>
      <c r="M259" s="5">
        <f>+F259-L259</f>
        <v>81450000</v>
      </c>
      <c r="O259" s="2">
        <v>4200000</v>
      </c>
      <c r="P259" t="s">
        <v>3842</v>
      </c>
    </row>
    <row r="260" spans="1:18" x14ac:dyDescent="0.35">
      <c r="A260" t="s">
        <v>3828</v>
      </c>
      <c r="B260" s="2">
        <v>32000</v>
      </c>
      <c r="C260" t="s">
        <v>9</v>
      </c>
      <c r="D260" s="1"/>
      <c r="E260" s="5"/>
      <c r="F260" s="5"/>
      <c r="G260" s="3"/>
      <c r="H260" s="31">
        <v>0</v>
      </c>
      <c r="I260" s="26">
        <f>IF(F260/E$133&gt;0,F260/E$133,H260/E$133)</f>
        <v>0</v>
      </c>
      <c r="J260" s="31">
        <f>+B260*(F260+H260)</f>
        <v>0</v>
      </c>
      <c r="K260" s="31">
        <f>IFERROR(((J260/SUM($J$260:$J$314))*$F$259)/(F260+H260),0)</f>
        <v>0</v>
      </c>
      <c r="L260" s="31">
        <f>+K260*(F260+H260)</f>
        <v>0</v>
      </c>
      <c r="M260" s="31">
        <f>IF(K260=0,0,B260-K260)</f>
        <v>0</v>
      </c>
      <c r="R260" t="str">
        <f>IF(G260=0,"",_xlfn.XLOOKUP(G260,List_item!A:A,List_item!B:B))</f>
        <v/>
      </c>
    </row>
    <row r="261" spans="1:18" x14ac:dyDescent="0.35">
      <c r="A261" t="s">
        <v>2182</v>
      </c>
      <c r="B261" s="2">
        <v>32000</v>
      </c>
      <c r="C261" t="s">
        <v>9</v>
      </c>
      <c r="G261" s="3" t="s">
        <v>2219</v>
      </c>
      <c r="H261" s="3">
        <v>41.1</v>
      </c>
      <c r="I261" s="26">
        <f t="shared" ref="I261:I314" si="29">IF(F261/E$133&gt;0,F261/E$133,H261/E$133)</f>
        <v>3.9142857142857148E-3</v>
      </c>
      <c r="J261" s="3">
        <f t="shared" ref="J261:J277" si="30">+B261*(F261+H261)</f>
        <v>1315200</v>
      </c>
      <c r="K261" s="31">
        <f t="shared" ref="K261:K314" si="31">IFERROR(((J261/SUM($J$260:$J$314))*$F$259)/(F261+H261),0)</f>
        <v>0</v>
      </c>
      <c r="L261" s="3">
        <f>+K261*(F261+H261)</f>
        <v>0</v>
      </c>
      <c r="M261" s="3">
        <f t="shared" ref="M261:M314" si="32">IF(K261=0,0,B261-K261)</f>
        <v>0</v>
      </c>
      <c r="R261" t="str">
        <f>IF(G261=0,"",_xlfn.XLOOKUP(G261,List_item!A:A,List_item!B:B))</f>
        <v>Karkas Uk 0.5 Karkas Uk 0.5 Frozen Premium</v>
      </c>
    </row>
    <row r="262" spans="1:18" x14ac:dyDescent="0.35">
      <c r="A262" t="s">
        <v>2183</v>
      </c>
      <c r="B262" s="2">
        <v>32000</v>
      </c>
      <c r="C262" t="s">
        <v>9</v>
      </c>
      <c r="G262" s="3" t="s">
        <v>2220</v>
      </c>
      <c r="H262" s="2">
        <v>204.9</v>
      </c>
      <c r="I262" s="26">
        <f t="shared" si="29"/>
        <v>1.9514285714285713E-2</v>
      </c>
      <c r="J262" s="3">
        <f t="shared" si="30"/>
        <v>6556800</v>
      </c>
      <c r="K262" s="31">
        <f t="shared" si="31"/>
        <v>0</v>
      </c>
      <c r="L262" s="3">
        <f t="shared" ref="L262:L314" si="33">+K262*(F262+H262)</f>
        <v>0</v>
      </c>
      <c r="M262" s="3">
        <f t="shared" si="32"/>
        <v>0</v>
      </c>
      <c r="R262" t="str">
        <f>IF(G262=0,"",_xlfn.XLOOKUP(G262,List_item!A:A,List_item!B:B))</f>
        <v>Karkas Uk 0.6 Karkas Uk 0.6 Frozen Premium</v>
      </c>
    </row>
    <row r="263" spans="1:18" x14ac:dyDescent="0.35">
      <c r="A263" t="s">
        <v>2184</v>
      </c>
      <c r="B263" s="2">
        <v>32000</v>
      </c>
      <c r="C263" t="s">
        <v>9</v>
      </c>
      <c r="E263" s="3"/>
      <c r="G263" s="3" t="s">
        <v>2221</v>
      </c>
      <c r="H263" s="3">
        <v>494.2</v>
      </c>
      <c r="I263" s="26">
        <f t="shared" si="29"/>
        <v>4.7066666666666666E-2</v>
      </c>
      <c r="J263" s="3">
        <f t="shared" si="30"/>
        <v>15814400</v>
      </c>
      <c r="K263" s="31">
        <f t="shared" si="31"/>
        <v>0</v>
      </c>
      <c r="L263" s="3">
        <f t="shared" si="33"/>
        <v>0</v>
      </c>
      <c r="M263" s="3">
        <f t="shared" si="32"/>
        <v>0</v>
      </c>
      <c r="R263" t="str">
        <f>IF(G263=0,"",_xlfn.XLOOKUP(G263,List_item!A:A,List_item!B:B))</f>
        <v>Karkas Uk 0.7 Karkas Uk 0.7 Frozen Premium</v>
      </c>
    </row>
    <row r="264" spans="1:18" x14ac:dyDescent="0.35">
      <c r="A264" t="s">
        <v>2185</v>
      </c>
      <c r="B264" s="2">
        <v>32000</v>
      </c>
      <c r="C264" t="s">
        <v>9</v>
      </c>
      <c r="G264" s="3" t="s">
        <v>2222</v>
      </c>
      <c r="H264" s="2">
        <v>777.4</v>
      </c>
      <c r="I264" s="26">
        <f t="shared" si="29"/>
        <v>7.4038095238095236E-2</v>
      </c>
      <c r="J264" s="3">
        <f t="shared" si="30"/>
        <v>24876800</v>
      </c>
      <c r="K264" s="31">
        <f t="shared" si="31"/>
        <v>0</v>
      </c>
      <c r="L264" s="3">
        <f t="shared" si="33"/>
        <v>0</v>
      </c>
      <c r="M264" s="3">
        <f t="shared" si="32"/>
        <v>0</v>
      </c>
      <c r="R264" t="str">
        <f>IF(G264=0,"",_xlfn.XLOOKUP(G264,List_item!A:A,List_item!B:B))</f>
        <v>Karkas Uk 0.8 Frozen Premium</v>
      </c>
    </row>
    <row r="265" spans="1:18" x14ac:dyDescent="0.35">
      <c r="A265" t="s">
        <v>2186</v>
      </c>
      <c r="B265" s="3">
        <v>32000</v>
      </c>
      <c r="C265" t="s">
        <v>9</v>
      </c>
      <c r="E265"/>
      <c r="F265"/>
      <c r="G265" s="3" t="s">
        <v>2223</v>
      </c>
      <c r="H265" s="3">
        <v>775.4</v>
      </c>
      <c r="I265" s="26">
        <f t="shared" si="29"/>
        <v>7.3847619047619051E-2</v>
      </c>
      <c r="J265" s="3">
        <f t="shared" si="30"/>
        <v>24812800</v>
      </c>
      <c r="K265" s="31">
        <f t="shared" si="31"/>
        <v>0</v>
      </c>
      <c r="L265" s="3">
        <f t="shared" si="33"/>
        <v>0</v>
      </c>
      <c r="M265" s="3">
        <f t="shared" si="32"/>
        <v>0</v>
      </c>
      <c r="N265" s="3"/>
      <c r="R265" t="str">
        <f>IF(G265=0,"",_xlfn.XLOOKUP(G265,List_item!A:A,List_item!B:B))</f>
        <v>Karkas Uk 0.9 Frozen Premium</v>
      </c>
    </row>
    <row r="266" spans="1:18" x14ac:dyDescent="0.35">
      <c r="A266" t="s">
        <v>2187</v>
      </c>
      <c r="B266" s="3">
        <v>32000</v>
      </c>
      <c r="C266" t="s">
        <v>9</v>
      </c>
      <c r="E266" s="3"/>
      <c r="F266"/>
      <c r="G266" s="3" t="s">
        <v>923</v>
      </c>
      <c r="H266" s="3">
        <v>261.89999999999998</v>
      </c>
      <c r="I266" s="26">
        <f t="shared" si="29"/>
        <v>2.4942857142857142E-2</v>
      </c>
      <c r="J266" s="3">
        <f t="shared" si="30"/>
        <v>8380799.9999999991</v>
      </c>
      <c r="K266" s="31">
        <f t="shared" si="31"/>
        <v>0</v>
      </c>
      <c r="L266" s="3">
        <f t="shared" si="33"/>
        <v>0</v>
      </c>
      <c r="M266" s="3">
        <f t="shared" si="32"/>
        <v>0</v>
      </c>
      <c r="N266" s="3"/>
      <c r="R266" t="str">
        <f>IF(G266=0,"",_xlfn.XLOOKUP(G266,List_item!A:A,List_item!B:B))</f>
        <v>Karkas Uk 1.0 Karkas Uk 1.0 Frozen Premium</v>
      </c>
    </row>
    <row r="267" spans="1:18" x14ac:dyDescent="0.35">
      <c r="A267" t="s">
        <v>2188</v>
      </c>
      <c r="B267" s="3">
        <v>32000</v>
      </c>
      <c r="C267" t="s">
        <v>9</v>
      </c>
      <c r="E267" s="6"/>
      <c r="F267"/>
      <c r="G267" s="3" t="s">
        <v>989</v>
      </c>
      <c r="H267" s="3">
        <v>122.6</v>
      </c>
      <c r="I267" s="26">
        <f t="shared" si="29"/>
        <v>1.1676190476190475E-2</v>
      </c>
      <c r="J267" s="3">
        <f t="shared" si="30"/>
        <v>3923200</v>
      </c>
      <c r="K267" s="31">
        <f t="shared" si="31"/>
        <v>0</v>
      </c>
      <c r="L267" s="3">
        <f t="shared" si="33"/>
        <v>0</v>
      </c>
      <c r="M267" s="3">
        <f t="shared" si="32"/>
        <v>0</v>
      </c>
      <c r="N267" s="3"/>
      <c r="R267" t="str">
        <f>IF(G267=0,"",_xlfn.XLOOKUP(G267,List_item!A:A,List_item!B:B))</f>
        <v>Karkas Uk 1.1 Karkas Uk 1.1 Frozen Premium</v>
      </c>
    </row>
    <row r="268" spans="1:18" x14ac:dyDescent="0.35">
      <c r="A268" t="s">
        <v>2189</v>
      </c>
      <c r="B268" s="3" t="e">
        <f>_xlfn.XLOOKUP(A268,'Price list'!A:A,'Price list'!B:B)</f>
        <v>#N/A</v>
      </c>
      <c r="C268" t="s">
        <v>9</v>
      </c>
      <c r="E268" s="3"/>
      <c r="F268" s="3"/>
      <c r="G268" s="3" t="s">
        <v>1055</v>
      </c>
      <c r="H268" s="3">
        <v>23.6</v>
      </c>
      <c r="I268" s="26">
        <f t="shared" si="29"/>
        <v>2.2476190476190478E-3</v>
      </c>
      <c r="J268" s="3" t="e">
        <f t="shared" si="30"/>
        <v>#N/A</v>
      </c>
      <c r="K268" s="31">
        <f t="shared" si="31"/>
        <v>0</v>
      </c>
      <c r="L268" s="3">
        <f t="shared" si="33"/>
        <v>0</v>
      </c>
      <c r="M268" s="3">
        <f t="shared" si="32"/>
        <v>0</v>
      </c>
      <c r="N268" s="3"/>
      <c r="R268" t="str">
        <f>IF(G268=0,"",_xlfn.XLOOKUP(G268,List_item!A:A,List_item!B:B))</f>
        <v>Karkas Uk 1.2 Karkas Uk 1.2 Frozen Premium</v>
      </c>
    </row>
    <row r="269" spans="1:18" x14ac:dyDescent="0.35">
      <c r="A269" t="s">
        <v>2190</v>
      </c>
      <c r="B269" s="2" t="e">
        <f>_xlfn.XLOOKUP(A269,'Price list'!A:A,'Price list'!B:B)</f>
        <v>#N/A</v>
      </c>
      <c r="C269" t="s">
        <v>9</v>
      </c>
      <c r="G269" s="3"/>
      <c r="H269" s="2">
        <v>0</v>
      </c>
      <c r="I269" s="26">
        <f t="shared" si="29"/>
        <v>0</v>
      </c>
      <c r="J269" s="3" t="e">
        <f t="shared" si="30"/>
        <v>#N/A</v>
      </c>
      <c r="K269" s="31">
        <f t="shared" si="31"/>
        <v>0</v>
      </c>
      <c r="L269" s="3">
        <f t="shared" si="33"/>
        <v>0</v>
      </c>
      <c r="M269" s="3">
        <f t="shared" si="32"/>
        <v>0</v>
      </c>
      <c r="R269" t="str">
        <f>IF(G269=0,"",_xlfn.XLOOKUP(G269,List_item!A:A,List_item!B:B))</f>
        <v/>
      </c>
    </row>
    <row r="270" spans="1:18" x14ac:dyDescent="0.35">
      <c r="A270" t="s">
        <v>2191</v>
      </c>
      <c r="B270" s="2">
        <v>32000</v>
      </c>
      <c r="C270" t="s">
        <v>9</v>
      </c>
      <c r="G270" s="3"/>
      <c r="H270" s="2">
        <v>0</v>
      </c>
      <c r="I270" s="26">
        <f t="shared" si="29"/>
        <v>0</v>
      </c>
      <c r="J270" s="3">
        <f t="shared" si="30"/>
        <v>0</v>
      </c>
      <c r="K270" s="31">
        <f t="shared" si="31"/>
        <v>0</v>
      </c>
      <c r="L270" s="3">
        <f t="shared" si="33"/>
        <v>0</v>
      </c>
      <c r="M270" s="3">
        <f t="shared" si="32"/>
        <v>0</v>
      </c>
      <c r="R270" t="str">
        <f>IF(G270=0,"",_xlfn.XLOOKUP(G270,List_item!A:A,List_item!B:B))</f>
        <v/>
      </c>
    </row>
    <row r="271" spans="1:18" x14ac:dyDescent="0.35">
      <c r="A271" t="s">
        <v>2192</v>
      </c>
      <c r="B271" s="2">
        <v>32000</v>
      </c>
      <c r="C271" t="s">
        <v>9</v>
      </c>
      <c r="E271" s="3"/>
      <c r="G271" s="3"/>
      <c r="H271" s="3">
        <v>0</v>
      </c>
      <c r="I271" s="26">
        <f t="shared" si="29"/>
        <v>0</v>
      </c>
      <c r="J271" s="3">
        <f t="shared" si="30"/>
        <v>0</v>
      </c>
      <c r="K271" s="31">
        <f t="shared" si="31"/>
        <v>0</v>
      </c>
      <c r="L271" s="3">
        <f t="shared" si="33"/>
        <v>0</v>
      </c>
      <c r="M271" s="3">
        <f t="shared" si="32"/>
        <v>0</v>
      </c>
      <c r="R271" t="str">
        <f>IF(G271=0,"",_xlfn.XLOOKUP(G271,List_item!A:A,List_item!B:B))</f>
        <v/>
      </c>
    </row>
    <row r="272" spans="1:18" x14ac:dyDescent="0.35">
      <c r="A272" t="s">
        <v>2193</v>
      </c>
      <c r="B272" s="2">
        <v>32000</v>
      </c>
      <c r="C272" t="s">
        <v>9</v>
      </c>
      <c r="G272" s="3"/>
      <c r="H272" s="2">
        <v>0</v>
      </c>
      <c r="I272" s="26">
        <f t="shared" si="29"/>
        <v>0</v>
      </c>
      <c r="J272" s="3">
        <f t="shared" si="30"/>
        <v>0</v>
      </c>
      <c r="K272" s="31">
        <f t="shared" si="31"/>
        <v>0</v>
      </c>
      <c r="L272" s="3">
        <f t="shared" si="33"/>
        <v>0</v>
      </c>
      <c r="M272" s="3">
        <f t="shared" si="32"/>
        <v>0</v>
      </c>
      <c r="R272" t="str">
        <f>IF(G272=0,"",_xlfn.XLOOKUP(G272,List_item!A:A,List_item!B:B))</f>
        <v/>
      </c>
    </row>
    <row r="273" spans="1:18" x14ac:dyDescent="0.35">
      <c r="A273" t="s">
        <v>2194</v>
      </c>
      <c r="B273" s="2" t="e">
        <f>_xlfn.XLOOKUP(A273,'Price list'!A:A,'Price list'!B:B)</f>
        <v>#N/A</v>
      </c>
      <c r="C273" t="s">
        <v>9</v>
      </c>
      <c r="E273" s="3"/>
      <c r="G273" s="3"/>
      <c r="H273" s="3">
        <v>0</v>
      </c>
      <c r="I273" s="26">
        <f t="shared" si="29"/>
        <v>0</v>
      </c>
      <c r="J273" s="3" t="e">
        <f t="shared" si="30"/>
        <v>#N/A</v>
      </c>
      <c r="K273" s="31">
        <f t="shared" si="31"/>
        <v>0</v>
      </c>
      <c r="L273" s="3">
        <f t="shared" si="33"/>
        <v>0</v>
      </c>
      <c r="M273" s="3">
        <f t="shared" si="32"/>
        <v>0</v>
      </c>
      <c r="R273" t="str">
        <f>IF(G273=0,"",_xlfn.XLOOKUP(G273,List_item!A:A,List_item!B:B))</f>
        <v/>
      </c>
    </row>
    <row r="274" spans="1:18" x14ac:dyDescent="0.35">
      <c r="A274" t="s">
        <v>2195</v>
      </c>
      <c r="B274" s="2" t="e">
        <f>_xlfn.XLOOKUP(A274,'Price list'!A:A,'Price list'!B:B)</f>
        <v>#N/A</v>
      </c>
      <c r="C274" t="s">
        <v>9</v>
      </c>
      <c r="E274" s="3"/>
      <c r="G274" s="3"/>
      <c r="H274" s="3">
        <v>0</v>
      </c>
      <c r="I274" s="26">
        <f t="shared" si="29"/>
        <v>0</v>
      </c>
      <c r="J274" s="3" t="e">
        <f t="shared" si="30"/>
        <v>#N/A</v>
      </c>
      <c r="K274" s="31">
        <f t="shared" si="31"/>
        <v>0</v>
      </c>
      <c r="L274" s="3">
        <f t="shared" si="33"/>
        <v>0</v>
      </c>
      <c r="M274" s="3">
        <f t="shared" si="32"/>
        <v>0</v>
      </c>
      <c r="R274" t="str">
        <f>IF(G274=0,"",_xlfn.XLOOKUP(G274,List_item!A:A,List_item!B:B))</f>
        <v/>
      </c>
    </row>
    <row r="275" spans="1:18" x14ac:dyDescent="0.35">
      <c r="A275" t="s">
        <v>2196</v>
      </c>
      <c r="B275" s="2">
        <v>32000</v>
      </c>
      <c r="C275" t="s">
        <v>9</v>
      </c>
      <c r="G275" s="3"/>
      <c r="H275" s="2">
        <v>0</v>
      </c>
      <c r="I275" s="26">
        <f t="shared" si="29"/>
        <v>0</v>
      </c>
      <c r="J275" s="3">
        <f t="shared" si="30"/>
        <v>0</v>
      </c>
      <c r="K275" s="31">
        <f t="shared" si="31"/>
        <v>0</v>
      </c>
      <c r="L275" s="3">
        <f t="shared" si="33"/>
        <v>0</v>
      </c>
      <c r="M275" s="3">
        <f t="shared" si="32"/>
        <v>0</v>
      </c>
      <c r="R275" t="str">
        <f>IF(G275=0,"",_xlfn.XLOOKUP(G275,List_item!A:A,List_item!B:B))</f>
        <v/>
      </c>
    </row>
    <row r="276" spans="1:18" x14ac:dyDescent="0.35">
      <c r="A276" t="s">
        <v>2197</v>
      </c>
      <c r="B276" s="2">
        <v>32000</v>
      </c>
      <c r="C276" t="s">
        <v>9</v>
      </c>
      <c r="E276" s="3"/>
      <c r="G276" s="3"/>
      <c r="H276" s="3">
        <v>0</v>
      </c>
      <c r="I276" s="26">
        <f t="shared" si="29"/>
        <v>0</v>
      </c>
      <c r="J276" s="3">
        <f t="shared" si="30"/>
        <v>0</v>
      </c>
      <c r="K276" s="31">
        <f t="shared" si="31"/>
        <v>0</v>
      </c>
      <c r="L276" s="3">
        <f t="shared" si="33"/>
        <v>0</v>
      </c>
      <c r="M276" s="3">
        <f t="shared" si="32"/>
        <v>0</v>
      </c>
      <c r="R276" t="str">
        <f>IF(G276=0,"",_xlfn.XLOOKUP(G276,List_item!A:A,List_item!B:B))</f>
        <v/>
      </c>
    </row>
    <row r="277" spans="1:18" x14ac:dyDescent="0.35">
      <c r="A277" t="s">
        <v>2198</v>
      </c>
      <c r="B277" s="2">
        <v>32000</v>
      </c>
      <c r="C277" t="s">
        <v>9</v>
      </c>
      <c r="E277" s="3"/>
      <c r="F277" s="3"/>
      <c r="G277" s="3"/>
      <c r="H277" s="3">
        <v>0</v>
      </c>
      <c r="I277" s="26">
        <f t="shared" si="29"/>
        <v>0</v>
      </c>
      <c r="J277" s="3">
        <f t="shared" si="30"/>
        <v>0</v>
      </c>
      <c r="K277" s="31">
        <f t="shared" si="31"/>
        <v>0</v>
      </c>
      <c r="L277" s="3">
        <f t="shared" si="33"/>
        <v>0</v>
      </c>
      <c r="M277" s="3">
        <f t="shared" si="32"/>
        <v>0</v>
      </c>
      <c r="R277" t="str">
        <f>IF(G277=0,"",_xlfn.XLOOKUP(G277,List_item!A:A,List_item!B:B))</f>
        <v/>
      </c>
    </row>
    <row r="278" spans="1:18" x14ac:dyDescent="0.35">
      <c r="A278" t="s">
        <v>8</v>
      </c>
      <c r="B278" s="2">
        <f>_xlfn.XLOOKUP(A278,'Price list'!A:A,'Price list'!B:B)</f>
        <v>50000</v>
      </c>
      <c r="C278" t="s">
        <v>9</v>
      </c>
      <c r="H278" s="2">
        <v>0</v>
      </c>
      <c r="I278" s="26">
        <f t="shared" si="29"/>
        <v>0</v>
      </c>
      <c r="J278" s="3">
        <f>+B278*(F278+H278)</f>
        <v>0</v>
      </c>
      <c r="K278" s="31">
        <f t="shared" si="31"/>
        <v>0</v>
      </c>
      <c r="L278" s="3">
        <f t="shared" si="33"/>
        <v>0</v>
      </c>
      <c r="M278" s="3">
        <f t="shared" si="32"/>
        <v>0</v>
      </c>
      <c r="R278" t="str">
        <f>IF(G278=0,"",_xlfn.XLOOKUP(G278,List_item!A:A,List_item!B:B))</f>
        <v/>
      </c>
    </row>
    <row r="279" spans="1:18" x14ac:dyDescent="0.35">
      <c r="A279" t="s">
        <v>10</v>
      </c>
      <c r="B279" s="2">
        <f>_xlfn.XLOOKUP(A279,'Price list'!A:A,'Price list'!B:B)</f>
        <v>48000</v>
      </c>
      <c r="C279" t="s">
        <v>9</v>
      </c>
      <c r="H279" s="2">
        <v>0</v>
      </c>
      <c r="I279" s="26">
        <f t="shared" si="29"/>
        <v>0</v>
      </c>
      <c r="J279" s="3">
        <f t="shared" ref="J279:J314" si="34">+B279*(F279+H279)</f>
        <v>0</v>
      </c>
      <c r="K279" s="31">
        <f t="shared" si="31"/>
        <v>0</v>
      </c>
      <c r="L279" s="3">
        <f t="shared" si="33"/>
        <v>0</v>
      </c>
      <c r="M279" s="3">
        <f t="shared" si="32"/>
        <v>0</v>
      </c>
      <c r="R279" t="str">
        <f>IF(G279=0,"",_xlfn.XLOOKUP(G279,List_item!A:A,List_item!B:B))</f>
        <v/>
      </c>
    </row>
    <row r="280" spans="1:18" x14ac:dyDescent="0.35">
      <c r="A280" t="s">
        <v>12</v>
      </c>
      <c r="B280" s="2">
        <f>_xlfn.XLOOKUP(A280,'Price list'!A:A,'Price list'!B:B)</f>
        <v>49000</v>
      </c>
      <c r="C280" t="s">
        <v>9</v>
      </c>
      <c r="H280" s="2">
        <v>0</v>
      </c>
      <c r="I280" s="26">
        <f t="shared" si="29"/>
        <v>0</v>
      </c>
      <c r="J280" s="3">
        <f t="shared" si="34"/>
        <v>0</v>
      </c>
      <c r="K280" s="31">
        <f t="shared" si="31"/>
        <v>0</v>
      </c>
      <c r="L280" s="3">
        <f t="shared" si="33"/>
        <v>0</v>
      </c>
      <c r="M280" s="3">
        <f t="shared" si="32"/>
        <v>0</v>
      </c>
      <c r="R280" t="str">
        <f>IF(G280=0,"",_xlfn.XLOOKUP(G280,List_item!A:A,List_item!B:B))</f>
        <v/>
      </c>
    </row>
    <row r="281" spans="1:18" x14ac:dyDescent="0.35">
      <c r="A281" t="s">
        <v>2159</v>
      </c>
      <c r="B281" s="2">
        <f>_xlfn.XLOOKUP(A281,'Price list'!A:A,'Price list'!B:B)</f>
        <v>5500</v>
      </c>
      <c r="C281" t="s">
        <v>9</v>
      </c>
      <c r="H281" s="2">
        <v>0</v>
      </c>
      <c r="I281" s="26">
        <f t="shared" si="29"/>
        <v>0</v>
      </c>
      <c r="J281" s="3">
        <f t="shared" si="34"/>
        <v>0</v>
      </c>
      <c r="K281" s="31">
        <f t="shared" si="31"/>
        <v>0</v>
      </c>
      <c r="L281" s="3">
        <f t="shared" si="33"/>
        <v>0</v>
      </c>
      <c r="M281" s="3">
        <f t="shared" si="32"/>
        <v>0</v>
      </c>
      <c r="R281" t="str">
        <f>IF(G281=0,"",_xlfn.XLOOKUP(G281,List_item!A:A,List_item!B:B))</f>
        <v/>
      </c>
    </row>
    <row r="282" spans="1:18" x14ac:dyDescent="0.35">
      <c r="A282" t="s">
        <v>2178</v>
      </c>
      <c r="B282" s="2" t="e">
        <f>_xlfn.XLOOKUP(A282,'Price list'!A:A,'Price list'!B:B)</f>
        <v>#N/A</v>
      </c>
      <c r="C282" t="s">
        <v>9</v>
      </c>
      <c r="H282" s="2">
        <v>0</v>
      </c>
      <c r="I282" s="26">
        <f t="shared" si="29"/>
        <v>0</v>
      </c>
      <c r="J282" s="3" t="e">
        <f t="shared" si="34"/>
        <v>#N/A</v>
      </c>
      <c r="K282" s="31">
        <f t="shared" si="31"/>
        <v>0</v>
      </c>
      <c r="L282" s="3">
        <f t="shared" si="33"/>
        <v>0</v>
      </c>
      <c r="M282" s="3">
        <f t="shared" si="32"/>
        <v>0</v>
      </c>
      <c r="R282" t="str">
        <f>IF(G282=0,"",_xlfn.XLOOKUP(G282,List_item!A:A,List_item!B:B))</f>
        <v/>
      </c>
    </row>
    <row r="283" spans="1:18" x14ac:dyDescent="0.35">
      <c r="A283" t="s">
        <v>2179</v>
      </c>
      <c r="B283" s="2" t="e">
        <f>_xlfn.XLOOKUP(A283,'Price list'!A:A,'Price list'!B:B)</f>
        <v>#N/A</v>
      </c>
      <c r="C283" t="s">
        <v>9</v>
      </c>
      <c r="H283" s="2">
        <v>0</v>
      </c>
      <c r="I283" s="26">
        <f t="shared" si="29"/>
        <v>0</v>
      </c>
      <c r="J283" s="3" t="e">
        <f t="shared" si="34"/>
        <v>#N/A</v>
      </c>
      <c r="K283" s="31">
        <f t="shared" si="31"/>
        <v>0</v>
      </c>
      <c r="L283" s="3">
        <f t="shared" si="33"/>
        <v>0</v>
      </c>
      <c r="M283" s="3">
        <f t="shared" si="32"/>
        <v>0</v>
      </c>
      <c r="R283" t="str">
        <f>IF(G283=0,"",_xlfn.XLOOKUP(G283,List_item!A:A,List_item!B:B))</f>
        <v/>
      </c>
    </row>
    <row r="284" spans="1:18" x14ac:dyDescent="0.35">
      <c r="A284" t="s">
        <v>2160</v>
      </c>
      <c r="B284" s="2">
        <f>_xlfn.XLOOKUP(A284,'Price list'!A:A,'Price list'!B:B)</f>
        <v>18000</v>
      </c>
      <c r="C284" t="s">
        <v>9</v>
      </c>
      <c r="H284" s="2">
        <v>0</v>
      </c>
      <c r="I284" s="26">
        <f t="shared" si="29"/>
        <v>0</v>
      </c>
      <c r="J284" s="3">
        <f t="shared" si="34"/>
        <v>0</v>
      </c>
      <c r="K284" s="31">
        <f t="shared" si="31"/>
        <v>0</v>
      </c>
      <c r="L284" s="3">
        <f t="shared" si="33"/>
        <v>0</v>
      </c>
      <c r="M284" s="3">
        <f t="shared" si="32"/>
        <v>0</v>
      </c>
      <c r="R284" t="str">
        <f>IF(G284=0,"",_xlfn.XLOOKUP(G284,List_item!A:A,List_item!B:B))</f>
        <v/>
      </c>
    </row>
    <row r="285" spans="1:18" x14ac:dyDescent="0.35">
      <c r="A285" t="s">
        <v>17</v>
      </c>
      <c r="B285" s="2">
        <f>_xlfn.XLOOKUP(A285,'Price list'!A:A,'Price list'!B:B)</f>
        <v>3500</v>
      </c>
      <c r="C285" t="s">
        <v>9</v>
      </c>
      <c r="H285" s="2">
        <v>0</v>
      </c>
      <c r="I285" s="26">
        <f t="shared" si="29"/>
        <v>0</v>
      </c>
      <c r="J285" s="3">
        <f t="shared" si="34"/>
        <v>0</v>
      </c>
      <c r="K285" s="31">
        <f t="shared" si="31"/>
        <v>0</v>
      </c>
      <c r="L285" s="3">
        <f t="shared" si="33"/>
        <v>0</v>
      </c>
      <c r="M285" s="3">
        <f t="shared" si="32"/>
        <v>0</v>
      </c>
      <c r="R285" t="str">
        <f>IF(G285=0,"",_xlfn.XLOOKUP(G285,List_item!A:A,List_item!B:B))</f>
        <v/>
      </c>
    </row>
    <row r="286" spans="1:18" x14ac:dyDescent="0.35">
      <c r="A286" t="s">
        <v>2199</v>
      </c>
      <c r="B286" s="2">
        <f>_xlfn.XLOOKUP(A286,'Price list'!A:A,'Price list'!B:B)</f>
        <v>38000</v>
      </c>
      <c r="C286" t="s">
        <v>9</v>
      </c>
      <c r="H286" s="2">
        <v>0</v>
      </c>
      <c r="I286" s="26">
        <f t="shared" si="29"/>
        <v>0</v>
      </c>
      <c r="J286" s="3">
        <f t="shared" si="34"/>
        <v>0</v>
      </c>
      <c r="K286" s="31">
        <f t="shared" si="31"/>
        <v>0</v>
      </c>
      <c r="L286" s="3">
        <f t="shared" si="33"/>
        <v>0</v>
      </c>
      <c r="M286" s="3">
        <f t="shared" si="32"/>
        <v>0</v>
      </c>
      <c r="R286" t="str">
        <f>IF(G286=0,"",_xlfn.XLOOKUP(G286,List_item!A:A,List_item!B:B))</f>
        <v/>
      </c>
    </row>
    <row r="287" spans="1:18" x14ac:dyDescent="0.35">
      <c r="A287" t="s">
        <v>2161</v>
      </c>
      <c r="B287" s="2">
        <f>_xlfn.XLOOKUP(A287,'Price list'!A:A,'Price list'!B:B)</f>
        <v>18000</v>
      </c>
      <c r="C287" t="s">
        <v>9</v>
      </c>
      <c r="G287" s="2" t="s">
        <v>19</v>
      </c>
      <c r="H287" s="2">
        <v>10.4</v>
      </c>
      <c r="I287" s="26">
        <f t="shared" si="29"/>
        <v>9.9047619047619049E-4</v>
      </c>
      <c r="J287" s="3">
        <f t="shared" si="34"/>
        <v>187200</v>
      </c>
      <c r="K287" s="31">
        <f t="shared" si="31"/>
        <v>0</v>
      </c>
      <c r="L287" s="3">
        <f t="shared" si="33"/>
        <v>0</v>
      </c>
      <c r="M287" s="3">
        <f t="shared" si="32"/>
        <v>0</v>
      </c>
      <c r="R287" t="str">
        <f>IF(G287=0,"",_xlfn.XLOOKUP(G287,List_item!A:A,List_item!B:B))</f>
        <v>Boneless BL Frozen Lemak</v>
      </c>
    </row>
    <row r="288" spans="1:18" x14ac:dyDescent="0.35">
      <c r="A288" t="s">
        <v>2162</v>
      </c>
      <c r="B288" s="2">
        <f>_xlfn.XLOOKUP(A288,'Price list'!A:A,'Price list'!B:B)</f>
        <v>8000</v>
      </c>
      <c r="C288" t="s">
        <v>9</v>
      </c>
      <c r="G288" s="2" t="s">
        <v>310</v>
      </c>
      <c r="H288" s="2">
        <v>276.39999999999998</v>
      </c>
      <c r="I288" s="26">
        <f t="shared" si="29"/>
        <v>2.632380952380952E-2</v>
      </c>
      <c r="J288" s="3">
        <f t="shared" si="34"/>
        <v>2211200</v>
      </c>
      <c r="K288" s="31">
        <f t="shared" si="31"/>
        <v>0</v>
      </c>
      <c r="L288" s="3">
        <f t="shared" si="33"/>
        <v>0</v>
      </c>
      <c r="M288" s="3">
        <f t="shared" si="32"/>
        <v>0</v>
      </c>
      <c r="R288" t="str">
        <f>IF(G288=0,"",_xlfn.XLOOKUP(G288,List_item!A:A,List_item!B:B))</f>
        <v>Boneless BL Frozen Kepala</v>
      </c>
    </row>
    <row r="289" spans="1:18" x14ac:dyDescent="0.35">
      <c r="A289" t="s">
        <v>0</v>
      </c>
      <c r="B289" s="2">
        <f>_xlfn.XLOOKUP(A289,'Price list'!A:A,'Price list'!B:B)</f>
        <v>10000</v>
      </c>
      <c r="C289" t="s">
        <v>9</v>
      </c>
      <c r="G289" s="2" t="s">
        <v>22</v>
      </c>
      <c r="H289" s="2">
        <v>169.1</v>
      </c>
      <c r="I289" s="26">
        <f t="shared" si="29"/>
        <v>1.6104761904761903E-2</v>
      </c>
      <c r="J289" s="3">
        <f t="shared" si="34"/>
        <v>1691000</v>
      </c>
      <c r="K289" s="31">
        <f t="shared" si="31"/>
        <v>0</v>
      </c>
      <c r="L289" s="3">
        <f t="shared" si="33"/>
        <v>0</v>
      </c>
      <c r="M289" s="3">
        <f t="shared" si="32"/>
        <v>0</v>
      </c>
      <c r="R289" t="str">
        <f>IF(G289=0,"",_xlfn.XLOOKUP(G289,List_item!A:A,List_item!B:B))</f>
        <v>Boneless BL Frozen Ceker</v>
      </c>
    </row>
    <row r="290" spans="1:18" x14ac:dyDescent="0.35">
      <c r="A290" t="s">
        <v>24</v>
      </c>
      <c r="B290" s="2">
        <f>_xlfn.XLOOKUP(A290,'Price list'!A:A,'Price list'!B:B)</f>
        <v>4000</v>
      </c>
      <c r="C290" t="s">
        <v>9</v>
      </c>
      <c r="H290" s="2">
        <v>0</v>
      </c>
      <c r="I290" s="26">
        <f t="shared" si="29"/>
        <v>0</v>
      </c>
      <c r="J290" s="3">
        <f t="shared" si="34"/>
        <v>0</v>
      </c>
      <c r="K290" s="31">
        <f t="shared" si="31"/>
        <v>0</v>
      </c>
      <c r="L290" s="3">
        <f t="shared" si="33"/>
        <v>0</v>
      </c>
      <c r="M290" s="3">
        <f t="shared" si="32"/>
        <v>0</v>
      </c>
      <c r="R290" t="str">
        <f>IF(G290=0,"",_xlfn.XLOOKUP(G290,List_item!A:A,List_item!B:B))</f>
        <v/>
      </c>
    </row>
    <row r="291" spans="1:18" x14ac:dyDescent="0.35">
      <c r="A291" s="32" t="s">
        <v>2200</v>
      </c>
      <c r="B291" s="30">
        <v>0</v>
      </c>
      <c r="C291" s="32" t="s">
        <v>9</v>
      </c>
      <c r="D291" s="32"/>
      <c r="E291" s="30"/>
      <c r="F291" s="30"/>
      <c r="G291" s="30"/>
      <c r="H291" s="30">
        <v>252.5</v>
      </c>
      <c r="I291" s="33">
        <f t="shared" si="29"/>
        <v>2.4047619047619047E-2</v>
      </c>
      <c r="J291" s="30">
        <f t="shared" si="34"/>
        <v>0</v>
      </c>
      <c r="K291" s="34">
        <f t="shared" si="31"/>
        <v>0</v>
      </c>
      <c r="L291" s="30">
        <f t="shared" si="33"/>
        <v>0</v>
      </c>
      <c r="M291" s="30">
        <f t="shared" si="32"/>
        <v>0</v>
      </c>
      <c r="N291" s="30" t="s">
        <v>3825</v>
      </c>
      <c r="R291" t="str">
        <f>IF(G291=0,"",_xlfn.XLOOKUP(G291,List_item!A:A,List_item!B:B))</f>
        <v/>
      </c>
    </row>
    <row r="292" spans="1:18" x14ac:dyDescent="0.35">
      <c r="A292" t="s">
        <v>2167</v>
      </c>
      <c r="B292" s="2">
        <f>_xlfn.XLOOKUP(A292,'Price list'!A:A,'Price list'!B:B)</f>
        <v>16000</v>
      </c>
      <c r="C292" t="s">
        <v>9</v>
      </c>
      <c r="H292" s="2">
        <v>0</v>
      </c>
      <c r="I292" s="26">
        <f t="shared" si="29"/>
        <v>0</v>
      </c>
      <c r="J292" s="3">
        <f t="shared" si="34"/>
        <v>0</v>
      </c>
      <c r="K292" s="31">
        <f t="shared" si="31"/>
        <v>0</v>
      </c>
      <c r="L292" s="3">
        <f t="shared" si="33"/>
        <v>0</v>
      </c>
      <c r="M292" s="3">
        <f t="shared" si="32"/>
        <v>0</v>
      </c>
      <c r="R292" t="str">
        <f>IF(G292=0,"",_xlfn.XLOOKUP(G292,List_item!A:A,List_item!B:B))</f>
        <v/>
      </c>
    </row>
    <row r="293" spans="1:18" x14ac:dyDescent="0.35">
      <c r="A293" t="s">
        <v>2168</v>
      </c>
      <c r="B293" s="2">
        <f>_xlfn.XLOOKUP(A293,'Price list'!A:A,'Price list'!B:B)</f>
        <v>10000</v>
      </c>
      <c r="C293" t="s">
        <v>9</v>
      </c>
      <c r="H293" s="2">
        <v>0</v>
      </c>
      <c r="I293" s="26">
        <f t="shared" si="29"/>
        <v>0</v>
      </c>
      <c r="J293" s="3">
        <f t="shared" si="34"/>
        <v>0</v>
      </c>
      <c r="K293" s="31">
        <f t="shared" si="31"/>
        <v>0</v>
      </c>
      <c r="L293" s="3">
        <f t="shared" si="33"/>
        <v>0</v>
      </c>
      <c r="M293" s="3">
        <f t="shared" si="32"/>
        <v>0</v>
      </c>
      <c r="R293" t="str">
        <f>IF(G293=0,"",_xlfn.XLOOKUP(G293,List_item!A:A,List_item!B:B))</f>
        <v/>
      </c>
    </row>
    <row r="294" spans="1:18" x14ac:dyDescent="0.35">
      <c r="A294" t="s">
        <v>2169</v>
      </c>
      <c r="B294" s="2">
        <f>_xlfn.XLOOKUP(A294,'Price list'!A:A,'Price list'!B:B)</f>
        <v>5000</v>
      </c>
      <c r="C294" t="s">
        <v>9</v>
      </c>
      <c r="H294" s="2">
        <v>0</v>
      </c>
      <c r="I294" s="26">
        <f t="shared" si="29"/>
        <v>0</v>
      </c>
      <c r="J294" s="3">
        <f t="shared" si="34"/>
        <v>0</v>
      </c>
      <c r="K294" s="31">
        <f t="shared" si="31"/>
        <v>0</v>
      </c>
      <c r="L294" s="3">
        <f t="shared" si="33"/>
        <v>0</v>
      </c>
      <c r="M294" s="3">
        <f t="shared" si="32"/>
        <v>0</v>
      </c>
      <c r="R294" t="str">
        <f>IF(G294=0,"",_xlfn.XLOOKUP(G294,List_item!A:A,List_item!B:B))</f>
        <v/>
      </c>
    </row>
    <row r="295" spans="1:18" x14ac:dyDescent="0.35">
      <c r="A295" t="s">
        <v>2201</v>
      </c>
      <c r="B295" s="2">
        <v>700</v>
      </c>
      <c r="C295" t="s">
        <v>9</v>
      </c>
      <c r="H295" s="2">
        <v>0</v>
      </c>
      <c r="I295" s="26">
        <f t="shared" si="29"/>
        <v>0</v>
      </c>
      <c r="J295" s="3">
        <f t="shared" si="34"/>
        <v>0</v>
      </c>
      <c r="K295" s="31">
        <f t="shared" si="31"/>
        <v>0</v>
      </c>
      <c r="L295" s="3">
        <f t="shared" si="33"/>
        <v>0</v>
      </c>
      <c r="M295" s="3">
        <f t="shared" si="32"/>
        <v>0</v>
      </c>
      <c r="R295" t="str">
        <f>IF(G295=0,"",_xlfn.XLOOKUP(G295,List_item!A:A,List_item!B:B))</f>
        <v/>
      </c>
    </row>
    <row r="296" spans="1:18" x14ac:dyDescent="0.35">
      <c r="A296" t="s">
        <v>2170</v>
      </c>
      <c r="B296" s="2">
        <f>_xlfn.XLOOKUP(A296,'Price list'!A:A,'Price list'!B:B)</f>
        <v>45000</v>
      </c>
      <c r="C296" t="s">
        <v>9</v>
      </c>
      <c r="H296" s="2">
        <v>0</v>
      </c>
      <c r="I296" s="26">
        <f t="shared" si="29"/>
        <v>0</v>
      </c>
      <c r="J296" s="3">
        <f t="shared" si="34"/>
        <v>0</v>
      </c>
      <c r="K296" s="31">
        <f t="shared" si="31"/>
        <v>0</v>
      </c>
      <c r="L296" s="3">
        <f t="shared" si="33"/>
        <v>0</v>
      </c>
      <c r="M296" s="3">
        <f t="shared" si="32"/>
        <v>0</v>
      </c>
      <c r="R296" t="str">
        <f>IF(G296=0,"",_xlfn.XLOOKUP(G296,List_item!A:A,List_item!B:B))</f>
        <v/>
      </c>
    </row>
    <row r="297" spans="1:18" x14ac:dyDescent="0.35">
      <c r="A297" t="s">
        <v>2171</v>
      </c>
      <c r="B297" s="2">
        <f>_xlfn.XLOOKUP(A297,'Price list'!A:A,'Price list'!B:B)</f>
        <v>44000</v>
      </c>
      <c r="C297" t="s">
        <v>9</v>
      </c>
      <c r="H297" s="2">
        <v>0</v>
      </c>
      <c r="I297" s="26">
        <f t="shared" si="29"/>
        <v>0</v>
      </c>
      <c r="J297" s="3">
        <f t="shared" si="34"/>
        <v>0</v>
      </c>
      <c r="K297" s="31">
        <f t="shared" si="31"/>
        <v>0</v>
      </c>
      <c r="L297" s="3">
        <f t="shared" si="33"/>
        <v>0</v>
      </c>
      <c r="M297" s="3">
        <f t="shared" si="32"/>
        <v>0</v>
      </c>
      <c r="R297" t="str">
        <f>IF(G297=0,"",_xlfn.XLOOKUP(G297,List_item!A:A,List_item!B:B))</f>
        <v/>
      </c>
    </row>
    <row r="298" spans="1:18" x14ac:dyDescent="0.35">
      <c r="A298" t="s">
        <v>2202</v>
      </c>
      <c r="B298" s="2">
        <v>30000</v>
      </c>
      <c r="C298" t="s">
        <v>9</v>
      </c>
      <c r="G298" s="2" t="s">
        <v>505</v>
      </c>
      <c r="H298" s="2">
        <v>2.2999999999999998</v>
      </c>
      <c r="I298" s="26">
        <f t="shared" si="29"/>
        <v>2.1904761904761904E-4</v>
      </c>
      <c r="J298" s="3">
        <f t="shared" si="34"/>
        <v>69000</v>
      </c>
      <c r="K298" s="31">
        <f t="shared" si="31"/>
        <v>0</v>
      </c>
      <c r="L298" s="3">
        <f t="shared" si="33"/>
        <v>0</v>
      </c>
      <c r="M298" s="3">
        <f t="shared" si="32"/>
        <v>0</v>
      </c>
      <c r="R298" t="str">
        <f>IF(G298=0,"",_xlfn.XLOOKUP(G298,List_item!A:A,List_item!B:B))</f>
        <v>Karkas Uk 0.4 Karkas Uk 0.4 Frozen Grade A</v>
      </c>
    </row>
    <row r="299" spans="1:18" x14ac:dyDescent="0.35">
      <c r="A299" t="s">
        <v>2203</v>
      </c>
      <c r="B299" s="2">
        <v>30000</v>
      </c>
      <c r="C299" t="s">
        <v>9</v>
      </c>
      <c r="G299" s="2" t="s">
        <v>571</v>
      </c>
      <c r="H299" s="2">
        <v>10</v>
      </c>
      <c r="I299" s="26">
        <f t="shared" si="29"/>
        <v>9.5238095238095238E-4</v>
      </c>
      <c r="J299" s="3">
        <f t="shared" si="34"/>
        <v>300000</v>
      </c>
      <c r="K299" s="31">
        <f t="shared" si="31"/>
        <v>0</v>
      </c>
      <c r="L299" s="3">
        <f t="shared" si="33"/>
        <v>0</v>
      </c>
      <c r="M299" s="3">
        <f t="shared" si="32"/>
        <v>0</v>
      </c>
      <c r="R299" t="str">
        <f>IF(G299=0,"",_xlfn.XLOOKUP(G299,List_item!A:A,List_item!B:B))</f>
        <v>Karkas Uk 0.5 Karkas Uk 0.5 Frozen Grade A</v>
      </c>
    </row>
    <row r="300" spans="1:18" x14ac:dyDescent="0.35">
      <c r="A300" t="s">
        <v>2204</v>
      </c>
      <c r="B300" s="2">
        <v>30000</v>
      </c>
      <c r="C300" t="s">
        <v>9</v>
      </c>
      <c r="G300" s="2" t="s">
        <v>636</v>
      </c>
      <c r="H300" s="2">
        <v>27.9</v>
      </c>
      <c r="I300" s="26">
        <f t="shared" si="29"/>
        <v>2.657142857142857E-3</v>
      </c>
      <c r="J300" s="3">
        <f t="shared" si="34"/>
        <v>837000</v>
      </c>
      <c r="K300" s="31">
        <f t="shared" si="31"/>
        <v>0</v>
      </c>
      <c r="L300" s="3">
        <f t="shared" si="33"/>
        <v>0</v>
      </c>
      <c r="M300" s="3">
        <f t="shared" si="32"/>
        <v>0</v>
      </c>
      <c r="R300" t="str">
        <f>IF(G300=0,"",_xlfn.XLOOKUP(G300,List_item!A:A,List_item!B:B))</f>
        <v>Karkas Uk 0.6 Karkas Uk 0.6 Frozen Grade A</v>
      </c>
    </row>
    <row r="301" spans="1:18" x14ac:dyDescent="0.35">
      <c r="A301" t="s">
        <v>2205</v>
      </c>
      <c r="B301" s="2">
        <v>30000</v>
      </c>
      <c r="C301" t="s">
        <v>9</v>
      </c>
      <c r="G301" s="2" t="s">
        <v>701</v>
      </c>
      <c r="H301" s="2">
        <v>60</v>
      </c>
      <c r="I301" s="26">
        <f t="shared" si="29"/>
        <v>5.7142857142857143E-3</v>
      </c>
      <c r="J301" s="3">
        <f t="shared" si="34"/>
        <v>1800000</v>
      </c>
      <c r="K301" s="31">
        <f t="shared" si="31"/>
        <v>0</v>
      </c>
      <c r="L301" s="3">
        <f t="shared" si="33"/>
        <v>0</v>
      </c>
      <c r="M301" s="3">
        <f t="shared" si="32"/>
        <v>0</v>
      </c>
      <c r="R301" t="str">
        <f>IF(G301=0,"",_xlfn.XLOOKUP(G301,List_item!A:A,List_item!B:B))</f>
        <v>Karkas Uk 0.7 Karkas Uk 0.7 Frozen Grade A</v>
      </c>
    </row>
    <row r="302" spans="1:18" x14ac:dyDescent="0.35">
      <c r="A302" t="s">
        <v>2206</v>
      </c>
      <c r="B302" s="2">
        <v>30000</v>
      </c>
      <c r="C302" t="s">
        <v>9</v>
      </c>
      <c r="G302" s="2" t="s">
        <v>766</v>
      </c>
      <c r="H302" s="2">
        <v>62.2</v>
      </c>
      <c r="I302" s="26">
        <f t="shared" si="29"/>
        <v>5.9238095238095239E-3</v>
      </c>
      <c r="J302" s="3">
        <f t="shared" si="34"/>
        <v>1866000</v>
      </c>
      <c r="K302" s="31">
        <f t="shared" si="31"/>
        <v>0</v>
      </c>
      <c r="L302" s="3">
        <f t="shared" si="33"/>
        <v>0</v>
      </c>
      <c r="M302" s="3">
        <f t="shared" si="32"/>
        <v>0</v>
      </c>
      <c r="R302" t="str">
        <f>IF(G302=0,"",_xlfn.XLOOKUP(G302,List_item!A:A,List_item!B:B))</f>
        <v>Karkas Uk 0.8 Karkas Uk 0.8 Frozen Grade A</v>
      </c>
    </row>
    <row r="303" spans="1:18" x14ac:dyDescent="0.35">
      <c r="A303" t="s">
        <v>2207</v>
      </c>
      <c r="B303" s="2">
        <v>30000</v>
      </c>
      <c r="C303" t="s">
        <v>9</v>
      </c>
      <c r="G303" s="2" t="s">
        <v>831</v>
      </c>
      <c r="H303" s="2">
        <v>59.1</v>
      </c>
      <c r="I303" s="26">
        <f t="shared" si="29"/>
        <v>5.628571428571429E-3</v>
      </c>
      <c r="J303" s="3">
        <f t="shared" si="34"/>
        <v>1773000</v>
      </c>
      <c r="K303" s="31">
        <f t="shared" si="31"/>
        <v>0</v>
      </c>
      <c r="L303" s="3">
        <f t="shared" si="33"/>
        <v>0</v>
      </c>
      <c r="M303" s="3">
        <f t="shared" si="32"/>
        <v>0</v>
      </c>
      <c r="R303" t="str">
        <f>IF(G303=0,"",_xlfn.XLOOKUP(G303,List_item!A:A,List_item!B:B))</f>
        <v>Karkas Uk 0.9 Karkas Uk 0.9 Frozen Grade A</v>
      </c>
    </row>
    <row r="304" spans="1:18" x14ac:dyDescent="0.35">
      <c r="A304" t="s">
        <v>2208</v>
      </c>
      <c r="B304" s="2">
        <v>30000</v>
      </c>
      <c r="C304" t="s">
        <v>9</v>
      </c>
      <c r="G304" s="2" t="s">
        <v>896</v>
      </c>
      <c r="H304" s="2">
        <v>33.700000000000003</v>
      </c>
      <c r="I304" s="26">
        <f t="shared" si="29"/>
        <v>3.2095238095238097E-3</v>
      </c>
      <c r="J304" s="3">
        <f t="shared" si="34"/>
        <v>1011000.0000000001</v>
      </c>
      <c r="K304" s="31">
        <f t="shared" si="31"/>
        <v>0</v>
      </c>
      <c r="L304" s="3">
        <f t="shared" si="33"/>
        <v>0</v>
      </c>
      <c r="M304" s="3">
        <f t="shared" si="32"/>
        <v>0</v>
      </c>
      <c r="R304" t="str">
        <f>IF(G304=0,"",_xlfn.XLOOKUP(G304,List_item!A:A,List_item!B:B))</f>
        <v>Karkas Uk 1.0 Karkas Uk 1.0 Frozen Grade A</v>
      </c>
    </row>
    <row r="305" spans="1:18" x14ac:dyDescent="0.35">
      <c r="A305" t="s">
        <v>2209</v>
      </c>
      <c r="B305" s="2">
        <v>30000</v>
      </c>
      <c r="C305" t="s">
        <v>9</v>
      </c>
      <c r="G305" s="2" t="s">
        <v>962</v>
      </c>
      <c r="H305" s="2">
        <v>4.7</v>
      </c>
      <c r="I305" s="26">
        <f t="shared" si="29"/>
        <v>4.4761904761904766E-4</v>
      </c>
      <c r="J305" s="3">
        <f t="shared" si="34"/>
        <v>141000</v>
      </c>
      <c r="K305" s="31">
        <f t="shared" si="31"/>
        <v>0</v>
      </c>
      <c r="L305" s="3">
        <f t="shared" si="33"/>
        <v>0</v>
      </c>
      <c r="M305" s="3">
        <f t="shared" si="32"/>
        <v>0</v>
      </c>
      <c r="R305" t="str">
        <f>IF(G305=0,"",_xlfn.XLOOKUP(G305,List_item!A:A,List_item!B:B))</f>
        <v>Karkas Uk 1.1 Karkas Uk 1.1 Frozen Grade A</v>
      </c>
    </row>
    <row r="306" spans="1:18" x14ac:dyDescent="0.35">
      <c r="A306" t="s">
        <v>2210</v>
      </c>
      <c r="B306" s="2" t="e">
        <f>_xlfn.XLOOKUP(A306,'Price list'!A:A,'Price list'!B:B)</f>
        <v>#N/A</v>
      </c>
      <c r="C306" t="s">
        <v>9</v>
      </c>
      <c r="G306" s="2" t="s">
        <v>1028</v>
      </c>
      <c r="H306" s="2">
        <v>5.0999999999999996</v>
      </c>
      <c r="I306" s="26">
        <f t="shared" si="29"/>
        <v>4.8571428571428566E-4</v>
      </c>
      <c r="J306" s="3" t="e">
        <f t="shared" si="34"/>
        <v>#N/A</v>
      </c>
      <c r="K306" s="31">
        <f t="shared" si="31"/>
        <v>0</v>
      </c>
      <c r="L306" s="3">
        <f t="shared" si="33"/>
        <v>0</v>
      </c>
      <c r="M306" s="3">
        <f t="shared" si="32"/>
        <v>0</v>
      </c>
      <c r="R306" t="str">
        <f>IF(G306=0,"",_xlfn.XLOOKUP(G306,List_item!A:A,List_item!B:B))</f>
        <v>Karkas Uk 1.2 Karkas Uk 1.2 Frozen Grade A</v>
      </c>
    </row>
    <row r="307" spans="1:18" x14ac:dyDescent="0.35">
      <c r="A307" t="s">
        <v>2211</v>
      </c>
      <c r="B307" s="2" t="e">
        <f>_xlfn.XLOOKUP(A307,'Price list'!A:A,'Price list'!B:B)</f>
        <v>#N/A</v>
      </c>
      <c r="C307" t="s">
        <v>9</v>
      </c>
      <c r="H307" s="2">
        <v>0</v>
      </c>
      <c r="I307" s="26">
        <f t="shared" si="29"/>
        <v>0</v>
      </c>
      <c r="J307" s="3" t="e">
        <f t="shared" si="34"/>
        <v>#N/A</v>
      </c>
      <c r="K307" s="31">
        <f t="shared" si="31"/>
        <v>0</v>
      </c>
      <c r="L307" s="3">
        <f t="shared" si="33"/>
        <v>0</v>
      </c>
      <c r="M307" s="3">
        <f t="shared" si="32"/>
        <v>0</v>
      </c>
      <c r="R307" t="str">
        <f>IF(G307=0,"",_xlfn.XLOOKUP(G307,List_item!A:A,List_item!B:B))</f>
        <v/>
      </c>
    </row>
    <row r="308" spans="1:18" x14ac:dyDescent="0.35">
      <c r="A308" t="s">
        <v>2212</v>
      </c>
      <c r="B308" s="2">
        <v>30000</v>
      </c>
      <c r="C308" t="s">
        <v>9</v>
      </c>
      <c r="H308" s="2">
        <v>0</v>
      </c>
      <c r="I308" s="26">
        <f t="shared" si="29"/>
        <v>0</v>
      </c>
      <c r="J308" s="3">
        <f t="shared" si="34"/>
        <v>0</v>
      </c>
      <c r="K308" s="31">
        <f t="shared" si="31"/>
        <v>0</v>
      </c>
      <c r="L308" s="3">
        <f t="shared" si="33"/>
        <v>0</v>
      </c>
      <c r="M308" s="3">
        <f t="shared" si="32"/>
        <v>0</v>
      </c>
      <c r="R308" t="str">
        <f>IF(G308=0,"",_xlfn.XLOOKUP(G308,List_item!A:A,List_item!B:B))</f>
        <v/>
      </c>
    </row>
    <row r="309" spans="1:18" x14ac:dyDescent="0.35">
      <c r="A309" t="s">
        <v>2213</v>
      </c>
      <c r="B309" s="2">
        <v>30000</v>
      </c>
      <c r="C309" t="s">
        <v>9</v>
      </c>
      <c r="H309" s="2">
        <v>0</v>
      </c>
      <c r="I309" s="26">
        <f t="shared" si="29"/>
        <v>0</v>
      </c>
      <c r="J309" s="3">
        <f t="shared" si="34"/>
        <v>0</v>
      </c>
      <c r="K309" s="31">
        <f t="shared" si="31"/>
        <v>0</v>
      </c>
      <c r="L309" s="3">
        <f t="shared" si="33"/>
        <v>0</v>
      </c>
      <c r="M309" s="3">
        <f t="shared" si="32"/>
        <v>0</v>
      </c>
      <c r="R309" t="str">
        <f>IF(G309=0,"",_xlfn.XLOOKUP(G309,List_item!A:A,List_item!B:B))</f>
        <v/>
      </c>
    </row>
    <row r="310" spans="1:18" x14ac:dyDescent="0.35">
      <c r="A310" t="s">
        <v>2214</v>
      </c>
      <c r="B310" s="2">
        <v>30000</v>
      </c>
      <c r="C310" t="s">
        <v>9</v>
      </c>
      <c r="H310" s="2">
        <v>0</v>
      </c>
      <c r="I310" s="26">
        <f t="shared" si="29"/>
        <v>0</v>
      </c>
      <c r="J310" s="3">
        <f t="shared" si="34"/>
        <v>0</v>
      </c>
      <c r="K310" s="31">
        <f t="shared" si="31"/>
        <v>0</v>
      </c>
      <c r="L310" s="3">
        <f t="shared" si="33"/>
        <v>0</v>
      </c>
      <c r="M310" s="3">
        <f t="shared" si="32"/>
        <v>0</v>
      </c>
      <c r="R310" t="str">
        <f>IF(G310=0,"",_xlfn.XLOOKUP(G310,List_item!A:A,List_item!B:B))</f>
        <v/>
      </c>
    </row>
    <row r="311" spans="1:18" x14ac:dyDescent="0.35">
      <c r="A311" t="s">
        <v>2215</v>
      </c>
      <c r="B311" s="2">
        <v>30000</v>
      </c>
      <c r="C311" t="s">
        <v>9</v>
      </c>
      <c r="H311" s="2">
        <v>0</v>
      </c>
      <c r="I311" s="26">
        <f t="shared" si="29"/>
        <v>0</v>
      </c>
      <c r="J311" s="3">
        <f t="shared" si="34"/>
        <v>0</v>
      </c>
      <c r="K311" s="31">
        <f t="shared" si="31"/>
        <v>0</v>
      </c>
      <c r="L311" s="3">
        <f t="shared" si="33"/>
        <v>0</v>
      </c>
      <c r="M311" s="3">
        <f t="shared" si="32"/>
        <v>0</v>
      </c>
      <c r="R311" t="str">
        <f>IF(G311=0,"",_xlfn.XLOOKUP(G311,List_item!A:A,List_item!B:B))</f>
        <v/>
      </c>
    </row>
    <row r="312" spans="1:18" x14ac:dyDescent="0.35">
      <c r="A312" t="s">
        <v>2216</v>
      </c>
      <c r="B312" s="2">
        <v>30000</v>
      </c>
      <c r="C312" t="s">
        <v>9</v>
      </c>
      <c r="H312" s="2">
        <v>0</v>
      </c>
      <c r="I312" s="26">
        <f t="shared" si="29"/>
        <v>0</v>
      </c>
      <c r="J312" s="3">
        <f t="shared" si="34"/>
        <v>0</v>
      </c>
      <c r="K312" s="31">
        <f t="shared" si="31"/>
        <v>0</v>
      </c>
      <c r="L312" s="3">
        <f t="shared" si="33"/>
        <v>0</v>
      </c>
      <c r="M312" s="3">
        <f t="shared" si="32"/>
        <v>0</v>
      </c>
      <c r="R312" t="str">
        <f>IF(G312=0,"",_xlfn.XLOOKUP(G312,List_item!A:A,List_item!B:B))</f>
        <v/>
      </c>
    </row>
    <row r="313" spans="1:18" x14ac:dyDescent="0.35">
      <c r="A313" t="s">
        <v>2217</v>
      </c>
      <c r="B313" s="2">
        <v>30000</v>
      </c>
      <c r="C313" t="s">
        <v>9</v>
      </c>
      <c r="H313" s="2">
        <v>0</v>
      </c>
      <c r="I313" s="26">
        <f t="shared" si="29"/>
        <v>0</v>
      </c>
      <c r="J313" s="3">
        <f t="shared" si="34"/>
        <v>0</v>
      </c>
      <c r="K313" s="31">
        <f t="shared" si="31"/>
        <v>0</v>
      </c>
      <c r="L313" s="3">
        <f t="shared" si="33"/>
        <v>0</v>
      </c>
      <c r="M313" s="3">
        <f t="shared" si="32"/>
        <v>0</v>
      </c>
      <c r="R313" t="str">
        <f>IF(G313=0,"",_xlfn.XLOOKUP(G313,List_item!A:A,List_item!B:B))</f>
        <v/>
      </c>
    </row>
    <row r="314" spans="1:18" x14ac:dyDescent="0.35">
      <c r="A314" t="s">
        <v>2218</v>
      </c>
      <c r="B314" s="2">
        <v>30000</v>
      </c>
      <c r="C314" t="s">
        <v>9</v>
      </c>
      <c r="H314" s="2">
        <v>0</v>
      </c>
      <c r="I314" s="26">
        <f t="shared" si="29"/>
        <v>0</v>
      </c>
      <c r="J314" s="3">
        <f t="shared" si="34"/>
        <v>0</v>
      </c>
      <c r="K314" s="31">
        <f t="shared" si="31"/>
        <v>0</v>
      </c>
      <c r="L314" s="3">
        <f t="shared" si="33"/>
        <v>0</v>
      </c>
      <c r="M314" s="3">
        <f t="shared" si="32"/>
        <v>0</v>
      </c>
    </row>
  </sheetData>
  <mergeCells count="83">
    <mergeCell ref="G3:G5"/>
    <mergeCell ref="A3:A5"/>
    <mergeCell ref="B3:B5"/>
    <mergeCell ref="C3:C5"/>
    <mergeCell ref="E3:E5"/>
    <mergeCell ref="F3:F5"/>
    <mergeCell ref="N3:N5"/>
    <mergeCell ref="O3:O5"/>
    <mergeCell ref="A66:A68"/>
    <mergeCell ref="B66:B68"/>
    <mergeCell ref="C66:C68"/>
    <mergeCell ref="E66:E68"/>
    <mergeCell ref="F66:F68"/>
    <mergeCell ref="G66:G68"/>
    <mergeCell ref="H66:H68"/>
    <mergeCell ref="I66:I68"/>
    <mergeCell ref="H3:H5"/>
    <mergeCell ref="I3:I5"/>
    <mergeCell ref="J3:J5"/>
    <mergeCell ref="K3:K5"/>
    <mergeCell ref="L3:L5"/>
    <mergeCell ref="M3:M5"/>
    <mergeCell ref="Y66:Y68"/>
    <mergeCell ref="J66:J68"/>
    <mergeCell ref="K66:K68"/>
    <mergeCell ref="L66:L68"/>
    <mergeCell ref="M66:M68"/>
    <mergeCell ref="N66:N68"/>
    <mergeCell ref="O66:O68"/>
    <mergeCell ref="S66:S68"/>
    <mergeCell ref="T66:T68"/>
    <mergeCell ref="U66:U68"/>
    <mergeCell ref="W66:W68"/>
    <mergeCell ref="X66:X68"/>
    <mergeCell ref="AF66:AF68"/>
    <mergeCell ref="A130:A132"/>
    <mergeCell ref="B130:B132"/>
    <mergeCell ref="C130:C132"/>
    <mergeCell ref="E130:E132"/>
    <mergeCell ref="F130:F132"/>
    <mergeCell ref="G130:G132"/>
    <mergeCell ref="H130:H132"/>
    <mergeCell ref="I130:I132"/>
    <mergeCell ref="J130:J132"/>
    <mergeCell ref="Z66:Z68"/>
    <mergeCell ref="AA66:AA68"/>
    <mergeCell ref="AB66:AB68"/>
    <mergeCell ref="AC66:AC68"/>
    <mergeCell ref="AD66:AD68"/>
    <mergeCell ref="AE66:AE68"/>
    <mergeCell ref="A192:A194"/>
    <mergeCell ref="B192:B194"/>
    <mergeCell ref="C192:C194"/>
    <mergeCell ref="E192:E194"/>
    <mergeCell ref="F192:F194"/>
    <mergeCell ref="K130:K132"/>
    <mergeCell ref="L130:L132"/>
    <mergeCell ref="M130:M132"/>
    <mergeCell ref="N130:N132"/>
    <mergeCell ref="O130:O132"/>
    <mergeCell ref="M192:M194"/>
    <mergeCell ref="N192:N194"/>
    <mergeCell ref="O192:O194"/>
    <mergeCell ref="A256:A258"/>
    <mergeCell ref="B256:B258"/>
    <mergeCell ref="C256:C258"/>
    <mergeCell ref="E256:E258"/>
    <mergeCell ref="F256:F258"/>
    <mergeCell ref="G256:G258"/>
    <mergeCell ref="H256:H258"/>
    <mergeCell ref="G192:G194"/>
    <mergeCell ref="H192:H194"/>
    <mergeCell ref="I192:I194"/>
    <mergeCell ref="J192:J194"/>
    <mergeCell ref="K192:K194"/>
    <mergeCell ref="L192:L194"/>
    <mergeCell ref="O256:O258"/>
    <mergeCell ref="I256:I258"/>
    <mergeCell ref="J256:J258"/>
    <mergeCell ref="K256:K258"/>
    <mergeCell ref="L256:L258"/>
    <mergeCell ref="M256:M258"/>
    <mergeCell ref="N256:N258"/>
  </mergeCells>
  <pageMargins left="0.7" right="0.7" top="0.75" bottom="0.75" header="0.3" footer="0.3"/>
  <pageSetup paperSize="9" scale="53" fitToWidth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5BA5-1599-4D56-89D5-E80F62053752}">
  <dimension ref="A1:O56"/>
  <sheetViews>
    <sheetView workbookViewId="0">
      <selection activeCell="F1" sqref="F1:F1048576"/>
    </sheetView>
  </sheetViews>
  <sheetFormatPr defaultRowHeight="14.5" x14ac:dyDescent="0.35"/>
  <cols>
    <col min="5" max="5" width="15.1796875" bestFit="1" customWidth="1"/>
  </cols>
  <sheetData>
    <row r="1" spans="1:15" x14ac:dyDescent="0.35">
      <c r="A1" s="182" t="s">
        <v>3844</v>
      </c>
      <c r="B1" s="182" t="s">
        <v>3845</v>
      </c>
      <c r="C1" s="184"/>
      <c r="D1" s="69"/>
      <c r="E1" s="182" t="s">
        <v>3844</v>
      </c>
      <c r="F1" s="80" t="s">
        <v>3846</v>
      </c>
      <c r="G1" s="68"/>
      <c r="H1" s="69"/>
      <c r="I1" s="182" t="s">
        <v>3844</v>
      </c>
      <c r="J1" s="182" t="s">
        <v>3847</v>
      </c>
      <c r="K1" s="184"/>
      <c r="L1" s="70"/>
      <c r="M1" s="182" t="s">
        <v>3844</v>
      </c>
      <c r="N1" s="182" t="s">
        <v>3848</v>
      </c>
      <c r="O1" s="184"/>
    </row>
    <row r="2" spans="1:15" x14ac:dyDescent="0.35">
      <c r="A2" s="183"/>
      <c r="B2" s="183"/>
      <c r="C2" s="185"/>
      <c r="D2" s="69"/>
      <c r="E2" s="183"/>
      <c r="F2" s="71"/>
      <c r="G2" s="72"/>
      <c r="H2" s="69"/>
      <c r="I2" s="183"/>
      <c r="J2" s="183"/>
      <c r="K2" s="185"/>
      <c r="L2" s="73"/>
      <c r="M2" s="183"/>
      <c r="N2" s="183"/>
      <c r="O2" s="185"/>
    </row>
    <row r="3" spans="1:15" x14ac:dyDescent="0.35">
      <c r="A3" s="74" t="s">
        <v>2182</v>
      </c>
      <c r="B3" s="181">
        <v>32000</v>
      </c>
      <c r="C3" s="180"/>
      <c r="D3" s="77"/>
      <c r="E3" s="74" t="s">
        <v>2182</v>
      </c>
      <c r="F3" s="75">
        <v>28000</v>
      </c>
      <c r="G3" s="76"/>
      <c r="H3" s="73"/>
      <c r="I3" s="74" t="s">
        <v>2182</v>
      </c>
      <c r="J3" s="181">
        <v>29000</v>
      </c>
      <c r="K3" s="180"/>
      <c r="L3" s="73"/>
      <c r="M3" s="74" t="s">
        <v>2182</v>
      </c>
      <c r="N3" s="181">
        <v>30500</v>
      </c>
      <c r="O3" s="180"/>
    </row>
    <row r="4" spans="1:15" x14ac:dyDescent="0.35">
      <c r="A4" s="74" t="s">
        <v>2183</v>
      </c>
      <c r="B4" s="181">
        <v>32000</v>
      </c>
      <c r="C4" s="180"/>
      <c r="D4" s="77"/>
      <c r="E4" s="74" t="s">
        <v>2183</v>
      </c>
      <c r="F4" s="75">
        <v>28000</v>
      </c>
      <c r="G4" s="76"/>
      <c r="H4" s="73"/>
      <c r="I4" s="74" t="s">
        <v>2183</v>
      </c>
      <c r="J4" s="181">
        <v>29000</v>
      </c>
      <c r="K4" s="180"/>
      <c r="L4" s="73"/>
      <c r="M4" s="74" t="s">
        <v>2183</v>
      </c>
      <c r="N4" s="181">
        <v>30500</v>
      </c>
      <c r="O4" s="180"/>
    </row>
    <row r="5" spans="1:15" x14ac:dyDescent="0.35">
      <c r="A5" s="74" t="s">
        <v>2184</v>
      </c>
      <c r="B5" s="181">
        <v>32000</v>
      </c>
      <c r="C5" s="180"/>
      <c r="D5" s="77"/>
      <c r="E5" s="74" t="s">
        <v>2184</v>
      </c>
      <c r="F5" s="75">
        <v>28000</v>
      </c>
      <c r="G5" s="76"/>
      <c r="H5" s="73"/>
      <c r="I5" s="74" t="s">
        <v>2184</v>
      </c>
      <c r="J5" s="181">
        <v>29000</v>
      </c>
      <c r="K5" s="180"/>
      <c r="L5" s="73"/>
      <c r="M5" s="74" t="s">
        <v>2184</v>
      </c>
      <c r="N5" s="181">
        <v>30500</v>
      </c>
      <c r="O5" s="180"/>
    </row>
    <row r="6" spans="1:15" x14ac:dyDescent="0.35">
      <c r="A6" s="74" t="s">
        <v>2185</v>
      </c>
      <c r="B6" s="181">
        <v>32000</v>
      </c>
      <c r="C6" s="180"/>
      <c r="D6" s="77"/>
      <c r="E6" s="74" t="s">
        <v>2185</v>
      </c>
      <c r="F6" s="75">
        <v>28000</v>
      </c>
      <c r="G6" s="76"/>
      <c r="H6" s="73"/>
      <c r="I6" s="74" t="s">
        <v>2185</v>
      </c>
      <c r="J6" s="181">
        <v>29000</v>
      </c>
      <c r="K6" s="180"/>
      <c r="L6" s="73"/>
      <c r="M6" s="74" t="s">
        <v>2185</v>
      </c>
      <c r="N6" s="181">
        <v>30500</v>
      </c>
      <c r="O6" s="180"/>
    </row>
    <row r="7" spans="1:15" x14ac:dyDescent="0.35">
      <c r="A7" s="74" t="s">
        <v>2186</v>
      </c>
      <c r="B7" s="181">
        <v>32000</v>
      </c>
      <c r="C7" s="180"/>
      <c r="D7" s="77"/>
      <c r="E7" s="74" t="s">
        <v>2186</v>
      </c>
      <c r="F7" s="75">
        <v>28000</v>
      </c>
      <c r="G7" s="76"/>
      <c r="H7" s="73"/>
      <c r="I7" s="74" t="s">
        <v>2186</v>
      </c>
      <c r="J7" s="181">
        <v>29000</v>
      </c>
      <c r="K7" s="180"/>
      <c r="L7" s="73"/>
      <c r="M7" s="74" t="s">
        <v>2186</v>
      </c>
      <c r="N7" s="181">
        <v>30500</v>
      </c>
      <c r="O7" s="180"/>
    </row>
    <row r="8" spans="1:15" x14ac:dyDescent="0.35">
      <c r="A8" s="74" t="s">
        <v>2187</v>
      </c>
      <c r="B8" s="181">
        <v>31500</v>
      </c>
      <c r="C8" s="180"/>
      <c r="D8" s="77"/>
      <c r="E8" s="74" t="s">
        <v>2187</v>
      </c>
      <c r="F8" s="75">
        <v>26500</v>
      </c>
      <c r="G8" s="76"/>
      <c r="H8" s="73"/>
      <c r="I8" s="74" t="s">
        <v>2187</v>
      </c>
      <c r="J8" s="181">
        <v>27000</v>
      </c>
      <c r="K8" s="180"/>
      <c r="L8" s="73"/>
      <c r="M8" s="74" t="s">
        <v>2187</v>
      </c>
      <c r="N8" s="181">
        <v>27500</v>
      </c>
      <c r="O8" s="180"/>
    </row>
    <row r="9" spans="1:15" x14ac:dyDescent="0.35">
      <c r="A9" s="74" t="s">
        <v>2188</v>
      </c>
      <c r="B9" s="181">
        <v>31500</v>
      </c>
      <c r="C9" s="180"/>
      <c r="D9" s="77"/>
      <c r="E9" s="74" t="s">
        <v>2188</v>
      </c>
      <c r="F9" s="75">
        <v>26500</v>
      </c>
      <c r="G9" s="76"/>
      <c r="H9" s="73"/>
      <c r="I9" s="74" t="s">
        <v>2188</v>
      </c>
      <c r="J9" s="181">
        <v>27000</v>
      </c>
      <c r="K9" s="180"/>
      <c r="L9" s="73"/>
      <c r="M9" s="74" t="s">
        <v>2188</v>
      </c>
      <c r="N9" s="181">
        <v>27500</v>
      </c>
      <c r="O9" s="180"/>
    </row>
    <row r="10" spans="1:15" x14ac:dyDescent="0.35">
      <c r="A10" s="74" t="s">
        <v>2189</v>
      </c>
      <c r="B10" s="181">
        <v>31500</v>
      </c>
      <c r="C10" s="180"/>
      <c r="D10" s="77"/>
      <c r="E10" s="74" t="s">
        <v>2189</v>
      </c>
      <c r="F10" s="75">
        <v>26500</v>
      </c>
      <c r="G10" s="76"/>
      <c r="H10" s="73"/>
      <c r="I10" s="74" t="s">
        <v>2189</v>
      </c>
      <c r="J10" s="181">
        <v>27000</v>
      </c>
      <c r="K10" s="180"/>
      <c r="L10" s="73"/>
      <c r="M10" s="74" t="s">
        <v>2189</v>
      </c>
      <c r="N10" s="181">
        <v>27500</v>
      </c>
      <c r="O10" s="180"/>
    </row>
    <row r="11" spans="1:15" x14ac:dyDescent="0.35">
      <c r="A11" s="74" t="s">
        <v>2190</v>
      </c>
      <c r="B11" s="181">
        <v>31500</v>
      </c>
      <c r="C11" s="180"/>
      <c r="D11" s="77"/>
      <c r="E11" s="74" t="s">
        <v>2190</v>
      </c>
      <c r="F11" s="75">
        <v>26500</v>
      </c>
      <c r="G11" s="76"/>
      <c r="H11" s="73"/>
      <c r="I11" s="74" t="s">
        <v>2190</v>
      </c>
      <c r="J11" s="181">
        <v>27000</v>
      </c>
      <c r="K11" s="180"/>
      <c r="L11" s="73"/>
      <c r="M11" s="74" t="s">
        <v>2190</v>
      </c>
      <c r="N11" s="181">
        <v>27500</v>
      </c>
      <c r="O11" s="180"/>
    </row>
    <row r="12" spans="1:15" x14ac:dyDescent="0.35">
      <c r="A12" s="74" t="s">
        <v>2191</v>
      </c>
      <c r="B12" s="181">
        <v>31500</v>
      </c>
      <c r="C12" s="180"/>
      <c r="D12" s="77"/>
      <c r="E12" s="74" t="s">
        <v>2191</v>
      </c>
      <c r="F12" s="75">
        <v>26500</v>
      </c>
      <c r="G12" s="76"/>
      <c r="H12" s="73"/>
      <c r="I12" s="74" t="s">
        <v>2191</v>
      </c>
      <c r="J12" s="181">
        <v>27000</v>
      </c>
      <c r="K12" s="180"/>
      <c r="L12" s="73"/>
      <c r="M12" s="74" t="s">
        <v>2191</v>
      </c>
      <c r="N12" s="181">
        <v>27500</v>
      </c>
      <c r="O12" s="180"/>
    </row>
    <row r="13" spans="1:15" x14ac:dyDescent="0.35">
      <c r="A13" s="74" t="s">
        <v>2192</v>
      </c>
      <c r="B13" s="181">
        <v>31500</v>
      </c>
      <c r="C13" s="180"/>
      <c r="D13" s="77"/>
      <c r="E13" s="74" t="s">
        <v>2192</v>
      </c>
      <c r="F13" s="75">
        <v>26500</v>
      </c>
      <c r="G13" s="76"/>
      <c r="H13" s="73"/>
      <c r="I13" s="74" t="s">
        <v>2192</v>
      </c>
      <c r="J13" s="181">
        <v>27000</v>
      </c>
      <c r="K13" s="180"/>
      <c r="L13" s="73"/>
      <c r="M13" s="74" t="s">
        <v>2192</v>
      </c>
      <c r="N13" s="181">
        <v>27500</v>
      </c>
      <c r="O13" s="180"/>
    </row>
    <row r="14" spans="1:15" x14ac:dyDescent="0.35">
      <c r="A14" s="74" t="s">
        <v>2193</v>
      </c>
      <c r="B14" s="181">
        <v>31500</v>
      </c>
      <c r="C14" s="180"/>
      <c r="D14" s="77"/>
      <c r="E14" s="74" t="s">
        <v>2193</v>
      </c>
      <c r="F14" s="75">
        <v>26500</v>
      </c>
      <c r="G14" s="76"/>
      <c r="H14" s="73"/>
      <c r="I14" s="74" t="s">
        <v>2193</v>
      </c>
      <c r="J14" s="181">
        <v>27000</v>
      </c>
      <c r="K14" s="180"/>
      <c r="L14" s="73"/>
      <c r="M14" s="74" t="s">
        <v>2193</v>
      </c>
      <c r="N14" s="181">
        <v>27500</v>
      </c>
      <c r="O14" s="180"/>
    </row>
    <row r="15" spans="1:15" x14ac:dyDescent="0.35">
      <c r="A15" s="74" t="s">
        <v>2194</v>
      </c>
      <c r="B15" s="181">
        <v>31500</v>
      </c>
      <c r="C15" s="180"/>
      <c r="D15" s="77"/>
      <c r="E15" s="74" t="s">
        <v>2194</v>
      </c>
      <c r="F15" s="75">
        <v>26500</v>
      </c>
      <c r="G15" s="76"/>
      <c r="H15" s="73"/>
      <c r="I15" s="74" t="s">
        <v>2194</v>
      </c>
      <c r="J15" s="181">
        <v>27000</v>
      </c>
      <c r="K15" s="180"/>
      <c r="L15" s="73"/>
      <c r="M15" s="74" t="s">
        <v>2194</v>
      </c>
      <c r="N15" s="181">
        <v>27500</v>
      </c>
      <c r="O15" s="180"/>
    </row>
    <row r="16" spans="1:15" x14ac:dyDescent="0.35">
      <c r="A16" s="74" t="s">
        <v>2195</v>
      </c>
      <c r="B16" s="181">
        <v>31500</v>
      </c>
      <c r="C16" s="180"/>
      <c r="D16" s="77"/>
      <c r="E16" s="74" t="s">
        <v>2195</v>
      </c>
      <c r="F16" s="75">
        <v>26500</v>
      </c>
      <c r="G16" s="76"/>
      <c r="H16" s="73"/>
      <c r="I16" s="74" t="s">
        <v>2195</v>
      </c>
      <c r="J16" s="181">
        <v>27000</v>
      </c>
      <c r="K16" s="180"/>
      <c r="L16" s="73"/>
      <c r="M16" s="74" t="s">
        <v>2195</v>
      </c>
      <c r="N16" s="181">
        <v>27500</v>
      </c>
      <c r="O16" s="180"/>
    </row>
    <row r="17" spans="1:15" x14ac:dyDescent="0.35">
      <c r="A17" s="74" t="s">
        <v>2196</v>
      </c>
      <c r="B17" s="181">
        <v>31500</v>
      </c>
      <c r="C17" s="180"/>
      <c r="D17" s="77"/>
      <c r="E17" s="74" t="s">
        <v>2196</v>
      </c>
      <c r="F17" s="75">
        <v>26500</v>
      </c>
      <c r="G17" s="76"/>
      <c r="H17" s="73"/>
      <c r="I17" s="74" t="s">
        <v>2196</v>
      </c>
      <c r="J17" s="181">
        <v>27000</v>
      </c>
      <c r="K17" s="180"/>
      <c r="L17" s="73"/>
      <c r="M17" s="74" t="s">
        <v>2196</v>
      </c>
      <c r="N17" s="181">
        <v>27500</v>
      </c>
      <c r="O17" s="180"/>
    </row>
    <row r="18" spans="1:15" x14ac:dyDescent="0.35">
      <c r="A18" s="74" t="s">
        <v>2197</v>
      </c>
      <c r="B18" s="181">
        <v>31500</v>
      </c>
      <c r="C18" s="180"/>
      <c r="D18" s="77"/>
      <c r="E18" s="74" t="s">
        <v>2197</v>
      </c>
      <c r="F18" s="75">
        <v>26500</v>
      </c>
      <c r="G18" s="76"/>
      <c r="H18" s="73"/>
      <c r="I18" s="74" t="s">
        <v>2197</v>
      </c>
      <c r="J18" s="181">
        <v>27000</v>
      </c>
      <c r="K18" s="180"/>
      <c r="L18" s="73"/>
      <c r="M18" s="74" t="s">
        <v>2197</v>
      </c>
      <c r="N18" s="181">
        <v>27500</v>
      </c>
      <c r="O18" s="180"/>
    </row>
    <row r="19" spans="1:15" x14ac:dyDescent="0.35">
      <c r="A19" s="74" t="s">
        <v>3849</v>
      </c>
      <c r="B19" s="181">
        <v>31500</v>
      </c>
      <c r="C19" s="180"/>
      <c r="D19" s="77"/>
      <c r="E19" s="74" t="s">
        <v>3849</v>
      </c>
      <c r="F19" s="75">
        <v>26500</v>
      </c>
      <c r="G19" s="76"/>
      <c r="H19" s="73"/>
      <c r="I19" s="74" t="s">
        <v>3849</v>
      </c>
      <c r="J19" s="181">
        <v>27000</v>
      </c>
      <c r="K19" s="180"/>
      <c r="L19" s="73"/>
      <c r="M19" s="74" t="s">
        <v>3849</v>
      </c>
      <c r="N19" s="181">
        <v>27000</v>
      </c>
      <c r="O19" s="180"/>
    </row>
    <row r="20" spans="1:15" x14ac:dyDescent="0.35">
      <c r="A20" s="74" t="s">
        <v>8</v>
      </c>
      <c r="B20" s="181">
        <v>39000</v>
      </c>
      <c r="C20" s="180"/>
      <c r="D20" s="77"/>
      <c r="E20" s="74" t="s">
        <v>8</v>
      </c>
      <c r="F20" s="75">
        <v>36000</v>
      </c>
      <c r="G20" s="76"/>
      <c r="H20" s="73"/>
      <c r="I20" s="74" t="s">
        <v>8</v>
      </c>
      <c r="J20" s="181">
        <v>36000</v>
      </c>
      <c r="K20" s="180"/>
      <c r="L20" s="73"/>
      <c r="M20" s="74" t="s">
        <v>8</v>
      </c>
      <c r="N20" s="181">
        <v>36000</v>
      </c>
      <c r="O20" s="180"/>
    </row>
    <row r="21" spans="1:15" x14ac:dyDescent="0.35">
      <c r="A21" s="74" t="s">
        <v>10</v>
      </c>
      <c r="B21" s="181">
        <v>37000</v>
      </c>
      <c r="C21" s="180"/>
      <c r="D21" s="77"/>
      <c r="E21" s="74" t="s">
        <v>10</v>
      </c>
      <c r="F21" s="75">
        <v>34000</v>
      </c>
      <c r="G21" s="76"/>
      <c r="H21" s="73"/>
      <c r="I21" s="74" t="s">
        <v>10</v>
      </c>
      <c r="J21" s="181">
        <v>34000</v>
      </c>
      <c r="K21" s="180"/>
      <c r="L21" s="73"/>
      <c r="M21" s="74" t="s">
        <v>10</v>
      </c>
      <c r="N21" s="181">
        <v>34000</v>
      </c>
      <c r="O21" s="180"/>
    </row>
    <row r="22" spans="1:15" x14ac:dyDescent="0.35">
      <c r="A22" s="74" t="s">
        <v>12</v>
      </c>
      <c r="B22" s="181">
        <v>38000</v>
      </c>
      <c r="C22" s="180"/>
      <c r="D22" s="77"/>
      <c r="E22" s="74" t="s">
        <v>12</v>
      </c>
      <c r="F22" s="75">
        <v>35000</v>
      </c>
      <c r="G22" s="76"/>
      <c r="H22" s="73"/>
      <c r="I22" s="74" t="s">
        <v>12</v>
      </c>
      <c r="J22" s="181">
        <v>35000</v>
      </c>
      <c r="K22" s="180"/>
      <c r="L22" s="73"/>
      <c r="M22" s="74" t="s">
        <v>12</v>
      </c>
      <c r="N22" s="181">
        <v>35000</v>
      </c>
      <c r="O22" s="180"/>
    </row>
    <row r="23" spans="1:15" x14ac:dyDescent="0.35">
      <c r="A23" s="74" t="s">
        <v>3850</v>
      </c>
      <c r="B23" s="181">
        <v>10500</v>
      </c>
      <c r="C23" s="180"/>
      <c r="D23" s="77"/>
      <c r="E23" s="74" t="s">
        <v>3850</v>
      </c>
      <c r="F23" s="75">
        <v>8000</v>
      </c>
      <c r="G23" s="76"/>
      <c r="H23" s="73"/>
      <c r="I23" s="74" t="s">
        <v>3850</v>
      </c>
      <c r="J23" s="181">
        <v>9000</v>
      </c>
      <c r="K23" s="180"/>
      <c r="L23" s="73"/>
      <c r="M23" s="74" t="s">
        <v>3850</v>
      </c>
      <c r="N23" s="181">
        <v>9000</v>
      </c>
      <c r="O23" s="180"/>
    </row>
    <row r="24" spans="1:15" x14ac:dyDescent="0.35">
      <c r="A24" s="74" t="s">
        <v>3851</v>
      </c>
      <c r="B24" s="181">
        <v>27000</v>
      </c>
      <c r="C24" s="180"/>
      <c r="D24" s="77"/>
      <c r="E24" s="74" t="s">
        <v>3851</v>
      </c>
      <c r="F24" s="75">
        <v>22000</v>
      </c>
      <c r="G24" s="76"/>
      <c r="H24" s="73"/>
      <c r="I24" s="74" t="s">
        <v>3851</v>
      </c>
      <c r="J24" s="181">
        <v>22500</v>
      </c>
      <c r="K24" s="180"/>
      <c r="L24" s="73"/>
      <c r="M24" s="74" t="s">
        <v>3851</v>
      </c>
      <c r="N24" s="181">
        <v>22000</v>
      </c>
      <c r="O24" s="180"/>
    </row>
    <row r="25" spans="1:15" x14ac:dyDescent="0.35">
      <c r="A25" s="74" t="s">
        <v>2179</v>
      </c>
      <c r="B25" s="181">
        <v>29500</v>
      </c>
      <c r="C25" s="180"/>
      <c r="D25" s="77"/>
      <c r="E25" s="74" t="s">
        <v>2179</v>
      </c>
      <c r="F25" s="75">
        <v>22000</v>
      </c>
      <c r="G25" s="76"/>
      <c r="H25" s="73"/>
      <c r="I25" s="74" t="s">
        <v>2179</v>
      </c>
      <c r="J25" s="181">
        <v>24000</v>
      </c>
      <c r="K25" s="180"/>
      <c r="L25" s="73"/>
      <c r="M25" s="74" t="s">
        <v>2179</v>
      </c>
      <c r="N25" s="181">
        <v>22000</v>
      </c>
      <c r="O25" s="180"/>
    </row>
    <row r="26" spans="1:15" x14ac:dyDescent="0.35">
      <c r="A26" s="74" t="s">
        <v>3852</v>
      </c>
      <c r="B26" s="181">
        <v>26500</v>
      </c>
      <c r="C26" s="180"/>
      <c r="D26" s="77"/>
      <c r="E26" s="74" t="s">
        <v>3852</v>
      </c>
      <c r="F26" s="75">
        <v>20000</v>
      </c>
      <c r="G26" s="76"/>
      <c r="H26" s="73"/>
      <c r="I26" s="74" t="s">
        <v>3852</v>
      </c>
      <c r="J26" s="181">
        <v>20000</v>
      </c>
      <c r="K26" s="180"/>
      <c r="L26" s="73"/>
      <c r="M26" s="74" t="s">
        <v>3852</v>
      </c>
      <c r="N26" s="181">
        <v>20000</v>
      </c>
      <c r="O26" s="180"/>
    </row>
    <row r="27" spans="1:15" x14ac:dyDescent="0.35">
      <c r="A27" s="74" t="s">
        <v>17</v>
      </c>
      <c r="B27" s="181">
        <v>4500</v>
      </c>
      <c r="C27" s="180"/>
      <c r="D27" s="77"/>
      <c r="E27" s="74" t="s">
        <v>17</v>
      </c>
      <c r="F27" s="75">
        <v>1500</v>
      </c>
      <c r="G27" s="76"/>
      <c r="H27" s="73"/>
      <c r="I27" s="74" t="s">
        <v>17</v>
      </c>
      <c r="J27" s="181">
        <v>1500</v>
      </c>
      <c r="K27" s="180"/>
      <c r="L27" s="73"/>
      <c r="M27" s="74" t="s">
        <v>17</v>
      </c>
      <c r="N27" s="181">
        <v>1500</v>
      </c>
      <c r="O27" s="180"/>
    </row>
    <row r="28" spans="1:15" x14ac:dyDescent="0.35">
      <c r="A28" s="74" t="s">
        <v>2199</v>
      </c>
      <c r="B28" s="181">
        <v>34000</v>
      </c>
      <c r="C28" s="180"/>
      <c r="D28" s="77"/>
      <c r="E28" s="74" t="s">
        <v>2199</v>
      </c>
      <c r="F28" s="75">
        <v>28000</v>
      </c>
      <c r="G28" s="76"/>
      <c r="H28" s="73"/>
      <c r="I28" s="74" t="s">
        <v>2199</v>
      </c>
      <c r="J28" s="181">
        <v>28000</v>
      </c>
      <c r="K28" s="180"/>
      <c r="L28" s="73"/>
      <c r="M28" s="74" t="s">
        <v>2199</v>
      </c>
      <c r="N28" s="181">
        <v>28000</v>
      </c>
      <c r="O28" s="180"/>
    </row>
    <row r="29" spans="1:15" x14ac:dyDescent="0.35">
      <c r="A29" s="74" t="s">
        <v>2161</v>
      </c>
      <c r="B29" s="181">
        <v>20000</v>
      </c>
      <c r="C29" s="180"/>
      <c r="D29" s="77"/>
      <c r="E29" s="74" t="s">
        <v>2161</v>
      </c>
      <c r="F29" s="75">
        <v>14000</v>
      </c>
      <c r="G29" s="76"/>
      <c r="H29" s="73"/>
      <c r="I29" s="74" t="s">
        <v>2161</v>
      </c>
      <c r="J29" s="181">
        <v>14000</v>
      </c>
      <c r="K29" s="180"/>
      <c r="L29" s="73"/>
      <c r="M29" s="74" t="s">
        <v>2161</v>
      </c>
      <c r="N29" s="181">
        <v>14000</v>
      </c>
      <c r="O29" s="180"/>
    </row>
    <row r="30" spans="1:15" x14ac:dyDescent="0.35">
      <c r="A30" s="74" t="s">
        <v>2162</v>
      </c>
      <c r="B30" s="181">
        <v>9500</v>
      </c>
      <c r="C30" s="180"/>
      <c r="D30" s="77"/>
      <c r="E30" s="74" t="s">
        <v>2162</v>
      </c>
      <c r="F30" s="75">
        <v>8000</v>
      </c>
      <c r="G30" s="76"/>
      <c r="H30" s="73"/>
      <c r="I30" s="74" t="s">
        <v>2162</v>
      </c>
      <c r="J30" s="181">
        <v>8000</v>
      </c>
      <c r="K30" s="180"/>
      <c r="L30" s="73"/>
      <c r="M30" s="74" t="s">
        <v>2162</v>
      </c>
      <c r="N30" s="181">
        <v>8000</v>
      </c>
      <c r="O30" s="180"/>
    </row>
    <row r="31" spans="1:15" x14ac:dyDescent="0.35">
      <c r="A31" s="74" t="s">
        <v>0</v>
      </c>
      <c r="B31" s="181">
        <v>12000</v>
      </c>
      <c r="C31" s="180"/>
      <c r="D31" s="77"/>
      <c r="E31" s="74" t="s">
        <v>0</v>
      </c>
      <c r="F31" s="75">
        <v>10000</v>
      </c>
      <c r="G31" s="76"/>
      <c r="H31" s="73"/>
      <c r="I31" s="74" t="s">
        <v>0</v>
      </c>
      <c r="J31" s="181">
        <v>10000</v>
      </c>
      <c r="K31" s="180"/>
      <c r="L31" s="73"/>
      <c r="M31" s="74" t="s">
        <v>0</v>
      </c>
      <c r="N31" s="181">
        <v>10000</v>
      </c>
      <c r="O31" s="180"/>
    </row>
    <row r="32" spans="1:15" x14ac:dyDescent="0.35">
      <c r="A32" s="74" t="s">
        <v>24</v>
      </c>
      <c r="B32" s="181">
        <v>700</v>
      </c>
      <c r="C32" s="180"/>
      <c r="D32" s="77"/>
      <c r="E32" s="74" t="s">
        <v>24</v>
      </c>
      <c r="F32" s="75">
        <v>0</v>
      </c>
      <c r="G32" s="76"/>
      <c r="H32" s="73"/>
      <c r="I32" s="74" t="s">
        <v>24</v>
      </c>
      <c r="J32" s="181">
        <v>0</v>
      </c>
      <c r="K32" s="180"/>
      <c r="L32" s="73"/>
      <c r="M32" s="74" t="s">
        <v>24</v>
      </c>
      <c r="N32" s="181">
        <v>0</v>
      </c>
      <c r="O32" s="180"/>
    </row>
    <row r="33" spans="1:15" x14ac:dyDescent="0.35">
      <c r="A33" s="74" t="s">
        <v>2200</v>
      </c>
      <c r="B33" s="181">
        <v>0</v>
      </c>
      <c r="C33" s="180"/>
      <c r="D33" s="77"/>
      <c r="E33" s="74" t="s">
        <v>2200</v>
      </c>
      <c r="F33" s="75">
        <v>0</v>
      </c>
      <c r="G33" s="76"/>
      <c r="H33" s="73"/>
      <c r="I33" s="74" t="s">
        <v>2200</v>
      </c>
      <c r="J33" s="181">
        <v>0</v>
      </c>
      <c r="K33" s="180"/>
      <c r="L33" s="73"/>
      <c r="M33" s="74" t="s">
        <v>2200</v>
      </c>
      <c r="N33" s="181">
        <v>0</v>
      </c>
      <c r="O33" s="180"/>
    </row>
    <row r="34" spans="1:15" x14ac:dyDescent="0.35">
      <c r="A34" s="74" t="s">
        <v>2167</v>
      </c>
      <c r="B34" s="181">
        <v>8000</v>
      </c>
      <c r="C34" s="180"/>
      <c r="D34" s="77"/>
      <c r="E34" s="74" t="s">
        <v>2167</v>
      </c>
      <c r="F34" s="75">
        <v>4000</v>
      </c>
      <c r="G34" s="76"/>
      <c r="H34" s="73"/>
      <c r="I34" s="74" t="s">
        <v>2167</v>
      </c>
      <c r="J34" s="181">
        <v>4000</v>
      </c>
      <c r="K34" s="180"/>
      <c r="L34" s="73"/>
      <c r="M34" s="74" t="s">
        <v>2167</v>
      </c>
      <c r="N34" s="181">
        <v>4000</v>
      </c>
      <c r="O34" s="180"/>
    </row>
    <row r="35" spans="1:15" x14ac:dyDescent="0.35">
      <c r="A35" s="74" t="s">
        <v>2168</v>
      </c>
      <c r="B35" s="181">
        <v>8000</v>
      </c>
      <c r="C35" s="180"/>
      <c r="D35" s="77"/>
      <c r="E35" s="74" t="s">
        <v>2168</v>
      </c>
      <c r="F35" s="75">
        <v>6000</v>
      </c>
      <c r="G35" s="76"/>
      <c r="H35" s="73"/>
      <c r="I35" s="74" t="s">
        <v>2168</v>
      </c>
      <c r="J35" s="181">
        <v>6000</v>
      </c>
      <c r="K35" s="180"/>
      <c r="L35" s="73"/>
      <c r="M35" s="74" t="s">
        <v>2168</v>
      </c>
      <c r="N35" s="181">
        <v>6000</v>
      </c>
      <c r="O35" s="180"/>
    </row>
    <row r="36" spans="1:15" x14ac:dyDescent="0.35">
      <c r="A36" s="74" t="s">
        <v>2169</v>
      </c>
      <c r="B36" s="181">
        <v>8000</v>
      </c>
      <c r="C36" s="180"/>
      <c r="D36" s="77"/>
      <c r="E36" s="74" t="s">
        <v>2169</v>
      </c>
      <c r="F36" s="75">
        <v>5000</v>
      </c>
      <c r="G36" s="76"/>
      <c r="H36" s="73"/>
      <c r="I36" s="74" t="s">
        <v>2169</v>
      </c>
      <c r="J36" s="181">
        <v>5000</v>
      </c>
      <c r="K36" s="180"/>
      <c r="L36" s="73"/>
      <c r="M36" s="74" t="s">
        <v>2169</v>
      </c>
      <c r="N36" s="181">
        <v>5000</v>
      </c>
      <c r="O36" s="180"/>
    </row>
    <row r="37" spans="1:15" x14ac:dyDescent="0.35">
      <c r="A37" s="74" t="s">
        <v>2201</v>
      </c>
      <c r="B37" s="181">
        <v>0</v>
      </c>
      <c r="C37" s="180"/>
      <c r="D37" s="77"/>
      <c r="E37" s="74" t="s">
        <v>2201</v>
      </c>
      <c r="F37" s="75">
        <v>0</v>
      </c>
      <c r="G37" s="76"/>
      <c r="H37" s="73"/>
      <c r="I37" s="74" t="s">
        <v>2201</v>
      </c>
      <c r="J37" s="181">
        <v>0</v>
      </c>
      <c r="K37" s="180"/>
      <c r="L37" s="73"/>
      <c r="M37" s="74" t="s">
        <v>2201</v>
      </c>
      <c r="N37" s="181">
        <v>0</v>
      </c>
      <c r="O37" s="180"/>
    </row>
    <row r="38" spans="1:15" x14ac:dyDescent="0.35">
      <c r="A38" s="74" t="s">
        <v>2170</v>
      </c>
      <c r="B38" s="181">
        <v>32000</v>
      </c>
      <c r="C38" s="180"/>
      <c r="D38" s="77"/>
      <c r="E38" s="74" t="s">
        <v>2170</v>
      </c>
      <c r="F38" s="75">
        <v>24000</v>
      </c>
      <c r="G38" s="76"/>
      <c r="H38" s="73"/>
      <c r="I38" s="74" t="s">
        <v>2170</v>
      </c>
      <c r="J38" s="181">
        <v>24000</v>
      </c>
      <c r="K38" s="180"/>
      <c r="L38" s="73"/>
      <c r="M38" s="74" t="s">
        <v>2170</v>
      </c>
      <c r="N38" s="181">
        <v>24000</v>
      </c>
      <c r="O38" s="180"/>
    </row>
    <row r="39" spans="1:15" x14ac:dyDescent="0.35">
      <c r="A39" s="74" t="s">
        <v>2171</v>
      </c>
      <c r="B39" s="181">
        <v>32000</v>
      </c>
      <c r="C39" s="180"/>
      <c r="D39" s="77"/>
      <c r="E39" s="74" t="s">
        <v>2171</v>
      </c>
      <c r="F39" s="75">
        <v>24000</v>
      </c>
      <c r="G39" s="76"/>
      <c r="H39" s="73"/>
      <c r="I39" s="74" t="s">
        <v>2171</v>
      </c>
      <c r="J39" s="181">
        <v>24000</v>
      </c>
      <c r="K39" s="180"/>
      <c r="L39" s="73"/>
      <c r="M39" s="74" t="s">
        <v>2171</v>
      </c>
      <c r="N39" s="181">
        <v>24000</v>
      </c>
      <c r="O39" s="180"/>
    </row>
    <row r="40" spans="1:15" x14ac:dyDescent="0.35">
      <c r="A40" s="78" t="s">
        <v>2202</v>
      </c>
      <c r="B40" s="179">
        <v>29500</v>
      </c>
      <c r="C40" s="180"/>
      <c r="E40" s="78" t="s">
        <v>2202</v>
      </c>
      <c r="F40" s="79">
        <v>20000</v>
      </c>
      <c r="G40" s="76"/>
      <c r="I40" s="78" t="s">
        <v>2202</v>
      </c>
      <c r="J40" s="179">
        <v>20000</v>
      </c>
      <c r="K40" s="180"/>
      <c r="M40" s="78" t="s">
        <v>2202</v>
      </c>
      <c r="N40" s="179">
        <v>20000</v>
      </c>
      <c r="O40" s="180"/>
    </row>
    <row r="41" spans="1:15" x14ac:dyDescent="0.35">
      <c r="A41" s="78" t="s">
        <v>2203</v>
      </c>
      <c r="B41" s="179">
        <v>29500</v>
      </c>
      <c r="C41" s="180"/>
      <c r="E41" s="78" t="s">
        <v>2203</v>
      </c>
      <c r="F41" s="79">
        <v>20000</v>
      </c>
      <c r="G41" s="76"/>
      <c r="I41" s="78" t="s">
        <v>2203</v>
      </c>
      <c r="J41" s="179">
        <v>20000</v>
      </c>
      <c r="K41" s="180"/>
      <c r="M41" s="78" t="s">
        <v>2203</v>
      </c>
      <c r="N41" s="179">
        <v>20000</v>
      </c>
      <c r="O41" s="180"/>
    </row>
    <row r="42" spans="1:15" x14ac:dyDescent="0.35">
      <c r="A42" s="78" t="s">
        <v>2204</v>
      </c>
      <c r="B42" s="179">
        <v>29500</v>
      </c>
      <c r="C42" s="180"/>
      <c r="E42" s="78" t="s">
        <v>2204</v>
      </c>
      <c r="F42" s="79">
        <v>20000</v>
      </c>
      <c r="G42" s="76"/>
      <c r="I42" s="78" t="s">
        <v>2204</v>
      </c>
      <c r="J42" s="179">
        <v>20000</v>
      </c>
      <c r="K42" s="180"/>
      <c r="M42" s="78" t="s">
        <v>2204</v>
      </c>
      <c r="N42" s="179">
        <v>20000</v>
      </c>
      <c r="O42" s="180"/>
    </row>
    <row r="43" spans="1:15" x14ac:dyDescent="0.35">
      <c r="A43" s="78" t="s">
        <v>2205</v>
      </c>
      <c r="B43" s="179">
        <v>29500</v>
      </c>
      <c r="C43" s="180"/>
      <c r="E43" s="78" t="s">
        <v>2205</v>
      </c>
      <c r="F43" s="79">
        <v>20000</v>
      </c>
      <c r="G43" s="76"/>
      <c r="I43" s="78" t="s">
        <v>2205</v>
      </c>
      <c r="J43" s="179">
        <v>20000</v>
      </c>
      <c r="K43" s="180"/>
      <c r="M43" s="78" t="s">
        <v>2205</v>
      </c>
      <c r="N43" s="179">
        <v>20000</v>
      </c>
      <c r="O43" s="180"/>
    </row>
    <row r="44" spans="1:15" x14ac:dyDescent="0.35">
      <c r="A44" s="78" t="s">
        <v>2206</v>
      </c>
      <c r="B44" s="179">
        <v>29500</v>
      </c>
      <c r="C44" s="180"/>
      <c r="E44" s="78" t="s">
        <v>2206</v>
      </c>
      <c r="F44" s="79">
        <v>20000</v>
      </c>
      <c r="G44" s="76"/>
      <c r="I44" s="78" t="s">
        <v>2206</v>
      </c>
      <c r="J44" s="179">
        <v>20000</v>
      </c>
      <c r="K44" s="180"/>
      <c r="M44" s="78" t="s">
        <v>2206</v>
      </c>
      <c r="N44" s="179">
        <v>20000</v>
      </c>
      <c r="O44" s="180"/>
    </row>
    <row r="45" spans="1:15" x14ac:dyDescent="0.35">
      <c r="A45" s="78" t="s">
        <v>2207</v>
      </c>
      <c r="B45" s="179">
        <v>29500</v>
      </c>
      <c r="C45" s="180"/>
      <c r="E45" s="78" t="s">
        <v>2207</v>
      </c>
      <c r="F45" s="79">
        <v>20000</v>
      </c>
      <c r="G45" s="76"/>
      <c r="I45" s="78" t="s">
        <v>2207</v>
      </c>
      <c r="J45" s="179">
        <v>20000</v>
      </c>
      <c r="K45" s="180"/>
      <c r="M45" s="78" t="s">
        <v>2207</v>
      </c>
      <c r="N45" s="179">
        <v>20000</v>
      </c>
      <c r="O45" s="180"/>
    </row>
    <row r="46" spans="1:15" x14ac:dyDescent="0.35">
      <c r="A46" s="78" t="s">
        <v>2208</v>
      </c>
      <c r="B46" s="179">
        <v>29500</v>
      </c>
      <c r="C46" s="180"/>
      <c r="E46" s="78" t="s">
        <v>2208</v>
      </c>
      <c r="F46" s="79">
        <v>20000</v>
      </c>
      <c r="G46" s="76"/>
      <c r="I46" s="78" t="s">
        <v>2208</v>
      </c>
      <c r="J46" s="179">
        <v>20000</v>
      </c>
      <c r="K46" s="180"/>
      <c r="M46" s="78" t="s">
        <v>2208</v>
      </c>
      <c r="N46" s="179">
        <v>20000</v>
      </c>
      <c r="O46" s="180"/>
    </row>
    <row r="47" spans="1:15" x14ac:dyDescent="0.35">
      <c r="A47" s="78" t="s">
        <v>2209</v>
      </c>
      <c r="B47" s="179">
        <v>29500</v>
      </c>
      <c r="C47" s="180"/>
      <c r="E47" s="78" t="s">
        <v>2209</v>
      </c>
      <c r="F47" s="79">
        <v>20000</v>
      </c>
      <c r="G47" s="76"/>
      <c r="I47" s="78" t="s">
        <v>2209</v>
      </c>
      <c r="J47" s="179">
        <v>20000</v>
      </c>
      <c r="K47" s="180"/>
      <c r="M47" s="78" t="s">
        <v>2209</v>
      </c>
      <c r="N47" s="179">
        <v>20000</v>
      </c>
      <c r="O47" s="180"/>
    </row>
    <row r="48" spans="1:15" x14ac:dyDescent="0.35">
      <c r="A48" s="78" t="s">
        <v>2210</v>
      </c>
      <c r="B48" s="179">
        <v>29500</v>
      </c>
      <c r="C48" s="180"/>
      <c r="E48" s="78" t="s">
        <v>2210</v>
      </c>
      <c r="F48" s="79">
        <v>20000</v>
      </c>
      <c r="G48" s="76"/>
      <c r="I48" s="78" t="s">
        <v>2210</v>
      </c>
      <c r="J48" s="179">
        <v>20000</v>
      </c>
      <c r="K48" s="180"/>
      <c r="M48" s="78" t="s">
        <v>2210</v>
      </c>
      <c r="N48" s="179">
        <v>20000</v>
      </c>
      <c r="O48" s="180"/>
    </row>
    <row r="49" spans="1:15" x14ac:dyDescent="0.35">
      <c r="A49" s="78" t="s">
        <v>2211</v>
      </c>
      <c r="B49" s="179">
        <v>29500</v>
      </c>
      <c r="C49" s="180"/>
      <c r="E49" s="78" t="s">
        <v>2211</v>
      </c>
      <c r="F49" s="79">
        <v>20000</v>
      </c>
      <c r="G49" s="76"/>
      <c r="I49" s="78" t="s">
        <v>2211</v>
      </c>
      <c r="J49" s="179">
        <v>20000</v>
      </c>
      <c r="K49" s="180"/>
      <c r="M49" s="78" t="s">
        <v>2211</v>
      </c>
      <c r="N49" s="179">
        <v>20000</v>
      </c>
      <c r="O49" s="180"/>
    </row>
    <row r="50" spans="1:15" x14ac:dyDescent="0.35">
      <c r="A50" s="78" t="s">
        <v>2212</v>
      </c>
      <c r="B50" s="179">
        <v>29500</v>
      </c>
      <c r="C50" s="180"/>
      <c r="E50" s="78" t="s">
        <v>2212</v>
      </c>
      <c r="F50" s="79">
        <v>20000</v>
      </c>
      <c r="G50" s="76"/>
      <c r="I50" s="78" t="s">
        <v>2212</v>
      </c>
      <c r="J50" s="179">
        <v>20000</v>
      </c>
      <c r="K50" s="180"/>
      <c r="M50" s="78" t="s">
        <v>2212</v>
      </c>
      <c r="N50" s="179">
        <v>20000</v>
      </c>
      <c r="O50" s="180"/>
    </row>
    <row r="51" spans="1:15" x14ac:dyDescent="0.35">
      <c r="A51" s="78" t="s">
        <v>2213</v>
      </c>
      <c r="B51" s="179">
        <v>29500</v>
      </c>
      <c r="C51" s="180"/>
      <c r="E51" s="78" t="s">
        <v>2213</v>
      </c>
      <c r="F51" s="79">
        <v>20000</v>
      </c>
      <c r="G51" s="76"/>
      <c r="I51" s="78" t="s">
        <v>2213</v>
      </c>
      <c r="J51" s="179">
        <v>20000</v>
      </c>
      <c r="K51" s="180"/>
      <c r="M51" s="78" t="s">
        <v>2213</v>
      </c>
      <c r="N51" s="179">
        <v>20000</v>
      </c>
      <c r="O51" s="180"/>
    </row>
    <row r="52" spans="1:15" x14ac:dyDescent="0.35">
      <c r="A52" s="78" t="s">
        <v>2214</v>
      </c>
      <c r="B52" s="179">
        <v>29500</v>
      </c>
      <c r="C52" s="180"/>
      <c r="E52" s="78" t="s">
        <v>2214</v>
      </c>
      <c r="F52" s="79">
        <v>20000</v>
      </c>
      <c r="G52" s="76"/>
      <c r="I52" s="78" t="s">
        <v>2214</v>
      </c>
      <c r="J52" s="179">
        <v>20000</v>
      </c>
      <c r="K52" s="180"/>
      <c r="M52" s="78" t="s">
        <v>2214</v>
      </c>
      <c r="N52" s="179">
        <v>20000</v>
      </c>
      <c r="O52" s="180"/>
    </row>
    <row r="53" spans="1:15" x14ac:dyDescent="0.35">
      <c r="A53" s="78" t="s">
        <v>2215</v>
      </c>
      <c r="B53" s="179">
        <v>29500</v>
      </c>
      <c r="C53" s="180"/>
      <c r="E53" s="78" t="s">
        <v>2215</v>
      </c>
      <c r="F53" s="79">
        <v>20000</v>
      </c>
      <c r="G53" s="76"/>
      <c r="I53" s="78" t="s">
        <v>2215</v>
      </c>
      <c r="J53" s="179">
        <v>20000</v>
      </c>
      <c r="K53" s="180"/>
      <c r="M53" s="78" t="s">
        <v>2215</v>
      </c>
      <c r="N53" s="179">
        <v>20000</v>
      </c>
      <c r="O53" s="180"/>
    </row>
    <row r="54" spans="1:15" x14ac:dyDescent="0.35">
      <c r="A54" s="78" t="s">
        <v>2216</v>
      </c>
      <c r="B54" s="179">
        <v>29500</v>
      </c>
      <c r="C54" s="180"/>
      <c r="E54" s="78" t="s">
        <v>2216</v>
      </c>
      <c r="F54" s="79">
        <v>20000</v>
      </c>
      <c r="G54" s="76"/>
      <c r="I54" s="78" t="s">
        <v>2216</v>
      </c>
      <c r="J54" s="179">
        <v>20000</v>
      </c>
      <c r="K54" s="180"/>
      <c r="M54" s="78" t="s">
        <v>2216</v>
      </c>
      <c r="N54" s="179">
        <v>20000</v>
      </c>
      <c r="O54" s="180"/>
    </row>
    <row r="55" spans="1:15" x14ac:dyDescent="0.35">
      <c r="A55" s="78" t="s">
        <v>2217</v>
      </c>
      <c r="B55" s="179">
        <v>29500</v>
      </c>
      <c r="C55" s="180"/>
      <c r="E55" s="78" t="s">
        <v>2217</v>
      </c>
      <c r="F55" s="79">
        <v>20000</v>
      </c>
      <c r="G55" s="76"/>
      <c r="I55" s="78" t="s">
        <v>2217</v>
      </c>
      <c r="J55" s="179">
        <v>20000</v>
      </c>
      <c r="K55" s="180"/>
      <c r="M55" s="78" t="s">
        <v>2217</v>
      </c>
      <c r="N55" s="179">
        <v>20000</v>
      </c>
      <c r="O55" s="180"/>
    </row>
    <row r="56" spans="1:15" x14ac:dyDescent="0.35">
      <c r="A56" s="78" t="s">
        <v>2218</v>
      </c>
      <c r="B56" s="179">
        <v>29500</v>
      </c>
      <c r="C56" s="180"/>
      <c r="E56" s="78" t="s">
        <v>2218</v>
      </c>
      <c r="F56" s="79">
        <v>20000</v>
      </c>
      <c r="G56" s="76"/>
      <c r="I56" s="78" t="s">
        <v>2218</v>
      </c>
      <c r="J56" s="179">
        <v>20000</v>
      </c>
      <c r="K56" s="180"/>
      <c r="M56" s="78" t="s">
        <v>2218</v>
      </c>
      <c r="N56" s="179">
        <v>20000</v>
      </c>
      <c r="O56" s="180"/>
    </row>
  </sheetData>
  <mergeCells count="169">
    <mergeCell ref="A1:A2"/>
    <mergeCell ref="B1:C2"/>
    <mergeCell ref="E1:E2"/>
    <mergeCell ref="I1:I2"/>
    <mergeCell ref="J1:K2"/>
    <mergeCell ref="B4:C4"/>
    <mergeCell ref="J4:K4"/>
    <mergeCell ref="N4:O4"/>
    <mergeCell ref="B5:C5"/>
    <mergeCell ref="J5:K5"/>
    <mergeCell ref="N5:O5"/>
    <mergeCell ref="M1:M2"/>
    <mergeCell ref="N1:O2"/>
    <mergeCell ref="B3:C3"/>
    <mergeCell ref="J3:K3"/>
    <mergeCell ref="N3:O3"/>
    <mergeCell ref="B8:C8"/>
    <mergeCell ref="J8:K8"/>
    <mergeCell ref="N8:O8"/>
    <mergeCell ref="B9:C9"/>
    <mergeCell ref="J9:K9"/>
    <mergeCell ref="N9:O9"/>
    <mergeCell ref="B6:C6"/>
    <mergeCell ref="J6:K6"/>
    <mergeCell ref="N6:O6"/>
    <mergeCell ref="B7:C7"/>
    <mergeCell ref="J7:K7"/>
    <mergeCell ref="N7:O7"/>
    <mergeCell ref="B12:C12"/>
    <mergeCell ref="J12:K12"/>
    <mergeCell ref="N12:O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20:C20"/>
    <mergeCell ref="J20:K20"/>
    <mergeCell ref="N20:O20"/>
    <mergeCell ref="B21:C21"/>
    <mergeCell ref="J21:K21"/>
    <mergeCell ref="N21:O21"/>
    <mergeCell ref="B18:C18"/>
    <mergeCell ref="J18:K18"/>
    <mergeCell ref="N18:O18"/>
    <mergeCell ref="B19:C19"/>
    <mergeCell ref="J19:K19"/>
    <mergeCell ref="N19:O19"/>
    <mergeCell ref="B24:C24"/>
    <mergeCell ref="J24:K24"/>
    <mergeCell ref="N24:O24"/>
    <mergeCell ref="B25:C25"/>
    <mergeCell ref="J25:K25"/>
    <mergeCell ref="N25:O25"/>
    <mergeCell ref="B22:C22"/>
    <mergeCell ref="J22:K22"/>
    <mergeCell ref="N22:O22"/>
    <mergeCell ref="B23:C23"/>
    <mergeCell ref="J23:K23"/>
    <mergeCell ref="N23:O23"/>
    <mergeCell ref="B28:C28"/>
    <mergeCell ref="J28:K28"/>
    <mergeCell ref="N28:O28"/>
    <mergeCell ref="B29:C29"/>
    <mergeCell ref="J29:K29"/>
    <mergeCell ref="N29:O29"/>
    <mergeCell ref="B26:C26"/>
    <mergeCell ref="J26:K26"/>
    <mergeCell ref="N26:O26"/>
    <mergeCell ref="B27:C27"/>
    <mergeCell ref="J27:K27"/>
    <mergeCell ref="N27:O27"/>
    <mergeCell ref="B32:C32"/>
    <mergeCell ref="J32:K32"/>
    <mergeCell ref="N32:O32"/>
    <mergeCell ref="B33:C33"/>
    <mergeCell ref="J33:K33"/>
    <mergeCell ref="N33:O33"/>
    <mergeCell ref="B30:C30"/>
    <mergeCell ref="J30:K30"/>
    <mergeCell ref="N30:O30"/>
    <mergeCell ref="B31:C31"/>
    <mergeCell ref="J31:K31"/>
    <mergeCell ref="N31:O31"/>
    <mergeCell ref="B36:C36"/>
    <mergeCell ref="J36:K36"/>
    <mergeCell ref="N36:O36"/>
    <mergeCell ref="B37:C37"/>
    <mergeCell ref="J37:K37"/>
    <mergeCell ref="N37:O37"/>
    <mergeCell ref="B34:C34"/>
    <mergeCell ref="J34:K34"/>
    <mergeCell ref="N34:O34"/>
    <mergeCell ref="B35:C35"/>
    <mergeCell ref="J35:K35"/>
    <mergeCell ref="N35:O35"/>
    <mergeCell ref="B40:C40"/>
    <mergeCell ref="J40:K40"/>
    <mergeCell ref="N40:O40"/>
    <mergeCell ref="B41:C41"/>
    <mergeCell ref="J41:K41"/>
    <mergeCell ref="N41:O41"/>
    <mergeCell ref="B38:C38"/>
    <mergeCell ref="J38:K38"/>
    <mergeCell ref="N38:O38"/>
    <mergeCell ref="B39:C39"/>
    <mergeCell ref="J39:K39"/>
    <mergeCell ref="N39:O39"/>
    <mergeCell ref="B44:C44"/>
    <mergeCell ref="J44:K44"/>
    <mergeCell ref="N44:O44"/>
    <mergeCell ref="B45:C45"/>
    <mergeCell ref="J45:K45"/>
    <mergeCell ref="N45:O45"/>
    <mergeCell ref="B42:C42"/>
    <mergeCell ref="J42:K42"/>
    <mergeCell ref="N42:O42"/>
    <mergeCell ref="B43:C43"/>
    <mergeCell ref="J43:K43"/>
    <mergeCell ref="N43:O43"/>
    <mergeCell ref="B48:C48"/>
    <mergeCell ref="J48:K48"/>
    <mergeCell ref="N48:O48"/>
    <mergeCell ref="B49:C49"/>
    <mergeCell ref="J49:K49"/>
    <mergeCell ref="N49:O49"/>
    <mergeCell ref="B46:C46"/>
    <mergeCell ref="J46:K46"/>
    <mergeCell ref="N46:O46"/>
    <mergeCell ref="B47:C47"/>
    <mergeCell ref="J47:K47"/>
    <mergeCell ref="N47:O47"/>
    <mergeCell ref="B52:C52"/>
    <mergeCell ref="J52:K52"/>
    <mergeCell ref="N52:O52"/>
    <mergeCell ref="B53:C53"/>
    <mergeCell ref="J53:K53"/>
    <mergeCell ref="N53:O53"/>
    <mergeCell ref="B50:C50"/>
    <mergeCell ref="J50:K50"/>
    <mergeCell ref="N50:O50"/>
    <mergeCell ref="B51:C51"/>
    <mergeCell ref="J51:K51"/>
    <mergeCell ref="N51:O51"/>
    <mergeCell ref="B56:C56"/>
    <mergeCell ref="J56:K56"/>
    <mergeCell ref="N56:O56"/>
    <mergeCell ref="B54:C54"/>
    <mergeCell ref="J54:K54"/>
    <mergeCell ref="N54:O54"/>
    <mergeCell ref="B55:C55"/>
    <mergeCell ref="J55:K55"/>
    <mergeCell ref="N55:O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47</vt:i4>
      </vt:variant>
    </vt:vector>
  </HeadingPairs>
  <TitlesOfParts>
    <vt:vector size="80" baseType="lpstr">
      <vt:lpstr>Sheet3</vt:lpstr>
      <vt:lpstr>Pot_ISA11+Blasting</vt:lpstr>
      <vt:lpstr>Pot_ISA10+Blasting</vt:lpstr>
      <vt:lpstr>Pot_ISA30</vt:lpstr>
      <vt:lpstr>Pot_ISA29</vt:lpstr>
      <vt:lpstr>Pot_AGRO30</vt:lpstr>
      <vt:lpstr>Pot_AGRO29</vt:lpstr>
      <vt:lpstr>Pot_ISA28</vt:lpstr>
      <vt:lpstr>Pot_AGRO28</vt:lpstr>
      <vt:lpstr>Pot_AGRO25</vt:lpstr>
      <vt:lpstr>Pot_ISA25</vt:lpstr>
      <vt:lpstr>Pot_AGRO24</vt:lpstr>
      <vt:lpstr>Pot_ISA24</vt:lpstr>
      <vt:lpstr>Pot_AGRO22</vt:lpstr>
      <vt:lpstr>Pot_ISA22</vt:lpstr>
      <vt:lpstr>Pot_ISA21</vt:lpstr>
      <vt:lpstr>Pot_ISA18</vt:lpstr>
      <vt:lpstr>Pot_ISA17</vt:lpstr>
      <vt:lpstr>Pot_ISA16</vt:lpstr>
      <vt:lpstr>Pot_ISA10</vt:lpstr>
      <vt:lpstr>Pot_ISA09 (2)</vt:lpstr>
      <vt:lpstr>Pot_ISA09</vt:lpstr>
      <vt:lpstr>Pot_ISA07</vt:lpstr>
      <vt:lpstr>Boneless</vt:lpstr>
      <vt:lpstr>Pot_ISA03</vt:lpstr>
      <vt:lpstr>Pot_ISA02</vt:lpstr>
      <vt:lpstr>Pot_ISA01</vt:lpstr>
      <vt:lpstr>List_item</vt:lpstr>
      <vt:lpstr>Price list</vt:lpstr>
      <vt:lpstr>Albertus_TRD</vt:lpstr>
      <vt:lpstr>Pot_ISA</vt:lpstr>
      <vt:lpstr>Pot_ISA (2)</vt:lpstr>
      <vt:lpstr>Sheet5</vt:lpstr>
      <vt:lpstr>Albertus_TRD!Print_Area</vt:lpstr>
      <vt:lpstr>Pot_AGRO22!Print_Area</vt:lpstr>
      <vt:lpstr>Pot_AGRO24!Print_Area</vt:lpstr>
      <vt:lpstr>Pot_AGRO25!Print_Area</vt:lpstr>
      <vt:lpstr>Pot_AGRO28!Print_Area</vt:lpstr>
      <vt:lpstr>Pot_AGRO29!Print_Area</vt:lpstr>
      <vt:lpstr>Pot_AGRO30!Print_Area</vt:lpstr>
      <vt:lpstr>Pot_ISA!Print_Area</vt:lpstr>
      <vt:lpstr>'Pot_ISA (2)'!Print_Area</vt:lpstr>
      <vt:lpstr>Pot_ISA01!Print_Area</vt:lpstr>
      <vt:lpstr>Pot_ISA02!Print_Area</vt:lpstr>
      <vt:lpstr>Pot_ISA03!Print_Area</vt:lpstr>
      <vt:lpstr>Pot_ISA07!Print_Area</vt:lpstr>
      <vt:lpstr>Pot_ISA09!Print_Area</vt:lpstr>
      <vt:lpstr>'Pot_ISA09 (2)'!Print_Area</vt:lpstr>
      <vt:lpstr>Pot_ISA10!Print_Area</vt:lpstr>
      <vt:lpstr>'Pot_ISA10+Blasting'!Print_Area</vt:lpstr>
      <vt:lpstr>'Pot_ISA11+Blasting'!Print_Area</vt:lpstr>
      <vt:lpstr>Pot_ISA16!Print_Area</vt:lpstr>
      <vt:lpstr>Pot_ISA17!Print_Area</vt:lpstr>
      <vt:lpstr>Pot_ISA18!Print_Area</vt:lpstr>
      <vt:lpstr>Pot_ISA21!Print_Area</vt:lpstr>
      <vt:lpstr>Pot_ISA22!Print_Area</vt:lpstr>
      <vt:lpstr>Pot_ISA24!Print_Area</vt:lpstr>
      <vt:lpstr>Pot_ISA25!Print_Area</vt:lpstr>
      <vt:lpstr>Pot_ISA28!Print_Area</vt:lpstr>
      <vt:lpstr>Pot_ISA29!Print_Area</vt:lpstr>
      <vt:lpstr>Pot_ISA30!Print_Area</vt:lpstr>
      <vt:lpstr>Pot_AGRO22!Print_Titles</vt:lpstr>
      <vt:lpstr>Pot_AGRO24!Print_Titles</vt:lpstr>
      <vt:lpstr>Pot_AGRO25!Print_Titles</vt:lpstr>
      <vt:lpstr>Pot_AGRO28!Print_Titles</vt:lpstr>
      <vt:lpstr>Pot_AGRO29!Print_Titles</vt:lpstr>
      <vt:lpstr>Pot_AGRO30!Print_Titles</vt:lpstr>
      <vt:lpstr>Pot_ISA09!Print_Titles</vt:lpstr>
      <vt:lpstr>'Pot_ISA09 (2)'!Print_Titles</vt:lpstr>
      <vt:lpstr>Pot_ISA10!Print_Titles</vt:lpstr>
      <vt:lpstr>Pot_ISA16!Print_Titles</vt:lpstr>
      <vt:lpstr>Pot_ISA17!Print_Titles</vt:lpstr>
      <vt:lpstr>Pot_ISA18!Print_Titles</vt:lpstr>
      <vt:lpstr>Pot_ISA21!Print_Titles</vt:lpstr>
      <vt:lpstr>Pot_ISA22!Print_Titles</vt:lpstr>
      <vt:lpstr>Pot_ISA24!Print_Titles</vt:lpstr>
      <vt:lpstr>Pot_ISA25!Print_Titles</vt:lpstr>
      <vt:lpstr>Pot_ISA28!Print_Titles</vt:lpstr>
      <vt:lpstr>Pot_ISA29!Print_Titles</vt:lpstr>
      <vt:lpstr>Pot_ISA30!Print_Titles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 mawan</dc:creator>
  <cp:lastModifiedBy>Dika Gustiana</cp:lastModifiedBy>
  <cp:lastPrinted>2026-09-16T12:30:10Z</cp:lastPrinted>
  <dcterms:created xsi:type="dcterms:W3CDTF">2026-05-25T06:22:14Z</dcterms:created>
  <dcterms:modified xsi:type="dcterms:W3CDTF">2026-10-14T13:31:39Z</dcterms:modified>
</cp:coreProperties>
</file>